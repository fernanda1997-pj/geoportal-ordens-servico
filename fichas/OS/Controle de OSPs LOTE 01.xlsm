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Guilherme\Desktop\-\1. ENGENHARIA\1. TRABALHO\1. RTA\03. OSP\"/>
    </mc:Choice>
  </mc:AlternateContent>
  <xr:revisionPtr revIDLastSave="0" documentId="13_ncr:1_{5582E2E6-3F7C-43D3-96E0-48CBADC784C6}" xr6:coauthVersionLast="47" xr6:coauthVersionMax="47" xr10:uidLastSave="{00000000-0000-0000-0000-000000000000}"/>
  <bookViews>
    <workbookView xWindow="-28920" yWindow="-120" windowWidth="29040" windowHeight="15720" tabRatio="620" xr2:uid="{00000000-000D-0000-FFFF-FFFF00000000}"/>
  </bookViews>
  <sheets>
    <sheet name="DASHBOARD" sheetId="4" r:id="rId1"/>
    <sheet name="DETALHAMENTO" sheetId="23" r:id="rId2"/>
    <sheet name="REGIÃO 01 - RESUMO" sheetId="8" state="hidden" r:id="rId3"/>
    <sheet name="REGIÃO 01 - HISTÓRICO" sheetId="3" state="hidden" r:id="rId4"/>
    <sheet name="REGIÃO 02 - RESUMO" sheetId="12" state="hidden" r:id="rId5"/>
    <sheet name="REGIÃO 02 - HISTÓRICO" sheetId="13" state="hidden" r:id="rId6"/>
    <sheet name="REGIÃO 03 - RESUMO" sheetId="15" state="hidden" r:id="rId7"/>
    <sheet name="REGIÃO 03 - HISTÓRICO" sheetId="14" state="hidden" r:id="rId8"/>
    <sheet name="REGIÃO 14 - RESUMO" sheetId="16" state="hidden" r:id="rId9"/>
    <sheet name="REGIÃO 14 - HISTÓRICO" sheetId="18" state="hidden" r:id="rId10"/>
    <sheet name="REGIÃO 15 - RESUMO" sheetId="19" state="hidden" r:id="rId11"/>
    <sheet name="REGIÃO 15 - HISTÓRICO" sheetId="17" state="hidden" r:id="rId12"/>
    <sheet name="REGIÃO 16 - RESUMO" sheetId="20" state="hidden" r:id="rId13"/>
    <sheet name="REGIÃO 16 - HISTÓRICO" sheetId="21" state="hidden" r:id="rId14"/>
    <sheet name="REGIÃO 01 - TRECHOS" sheetId="7" state="hidden" r:id="rId15"/>
    <sheet name="REGIÃO 02 - TRECHOS" sheetId="10" state="hidden" r:id="rId16"/>
    <sheet name="REGIÃO 03 - TRECHOS" sheetId="11" state="hidden" r:id="rId17"/>
    <sheet name="Tabelas Auxiliares" sheetId="6" r:id="rId18"/>
    <sheet name="BASE DASHBOARD" sheetId="22" state="hidden" r:id="rId19"/>
  </sheets>
  <functionGroups builtInGroupCount="19"/>
  <definedNames>
    <definedName name="tabOSP" comment="Tabela ''Cadastro de OSPs" localSheetId="5">tbResumoR01[#All]</definedName>
    <definedName name="tabOSP" comment="Tabela ''Cadastro de OSPs" localSheetId="4">#REF!</definedName>
    <definedName name="tabOSP" comment="Tabela ''Cadastro de OSPs" localSheetId="7">tbResumoR01[#All]</definedName>
    <definedName name="tabOSP" comment="Tabela ''Cadastro de OSPs" localSheetId="6">#REF!</definedName>
    <definedName name="tabOSP" comment="Tabela ''Cadastro de OSPs" localSheetId="9">tbResumoR01[#All]</definedName>
    <definedName name="tabOSP" comment="Tabela ''Cadastro de OSPs" localSheetId="8">#REF!</definedName>
    <definedName name="tabOSP" comment="Tabela ''Cadastro de OSPs" localSheetId="11">tbResumoR01[#All]</definedName>
    <definedName name="tabOSP" comment="Tabela ''Cadastro de OSPs" localSheetId="10">#REF!</definedName>
    <definedName name="tabOSP" comment="Tabela ''Cadastro de OSPs" localSheetId="13">tbResumoR01[#All]</definedName>
    <definedName name="tabOSP" comment="Tabela ''Cadastro de OSPs" localSheetId="12">#REF!</definedName>
    <definedName name="tabOSP" comment="Tabela ''Cadastro de OSPs">tbResumoR01[#All]</definedName>
    <definedName name="tbContratos">'Tabelas Auxiliares'!$D$3:$E$10</definedName>
    <definedName name="tbServicos">'Tabelas Auxiliares'!$H$3:$H$8</definedName>
    <definedName name="tbSituacao">'Tabelas Auxiliares'!$M$2:$M$10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" i="20" l="1"/>
  <c r="D9" i="20"/>
  <c r="E9" i="20"/>
  <c r="G9" i="20"/>
  <c r="I9" i="20"/>
  <c r="K9" i="20"/>
  <c r="L9" i="20"/>
  <c r="F9" i="21"/>
  <c r="G9" i="21"/>
  <c r="H9" i="21"/>
  <c r="I9" i="21" a="1"/>
  <c r="I9" i="21" s="1"/>
  <c r="B11" i="16" l="1"/>
  <c r="D11" i="16"/>
  <c r="E11" i="16"/>
  <c r="G11" i="16"/>
  <c r="I11" i="16"/>
  <c r="K11" i="16"/>
  <c r="L11" i="16"/>
  <c r="I11" i="18" a="1"/>
  <c r="I11" i="18" s="1"/>
  <c r="F11" i="18"/>
  <c r="H11" i="18" s="1"/>
  <c r="G11" i="18" l="1"/>
  <c r="K59" i="15" l="1"/>
  <c r="I59" i="15"/>
  <c r="G59" i="15"/>
  <c r="E59" i="15"/>
  <c r="I59" i="14" a="1"/>
  <c r="I59" i="14" s="1"/>
  <c r="L59" i="15" s="1"/>
  <c r="H59" i="14"/>
  <c r="G59" i="14"/>
  <c r="F59" i="14"/>
  <c r="I68" i="12" l="1"/>
  <c r="E68" i="12"/>
  <c r="B68" i="12"/>
  <c r="D68" i="12"/>
  <c r="G68" i="12"/>
  <c r="K68" i="12"/>
  <c r="L68" i="12"/>
  <c r="I68" i="13" a="1"/>
  <c r="I68" i="13" s="1"/>
  <c r="H68" i="13"/>
  <c r="G68" i="13"/>
  <c r="F68" i="13"/>
  <c r="K63" i="12" l="1"/>
  <c r="K64" i="12"/>
  <c r="K65" i="12"/>
  <c r="K66" i="12"/>
  <c r="K67" i="12"/>
  <c r="I63" i="12"/>
  <c r="I64" i="12"/>
  <c r="I65" i="12"/>
  <c r="I66" i="12"/>
  <c r="I67" i="12"/>
  <c r="D63" i="12"/>
  <c r="D64" i="12"/>
  <c r="D65" i="12"/>
  <c r="D66" i="12"/>
  <c r="D67" i="12"/>
  <c r="E63" i="12"/>
  <c r="E64" i="12"/>
  <c r="E65" i="12"/>
  <c r="E66" i="12"/>
  <c r="E67" i="12"/>
  <c r="B67" i="12"/>
  <c r="G67" i="12"/>
  <c r="B63" i="12"/>
  <c r="B64" i="12"/>
  <c r="B65" i="12"/>
  <c r="B66" i="12"/>
  <c r="G63" i="12"/>
  <c r="G64" i="12"/>
  <c r="G65" i="12"/>
  <c r="G66" i="12"/>
  <c r="I62" i="13" a="1"/>
  <c r="I62" i="13" s="1"/>
  <c r="L62" i="12" s="1"/>
  <c r="I63" i="13" a="1"/>
  <c r="I63" i="13" s="1"/>
  <c r="L63" i="12" s="1"/>
  <c r="I64" i="13" a="1"/>
  <c r="I64" i="13" s="1"/>
  <c r="L64" i="12" s="1"/>
  <c r="I65" i="13" a="1"/>
  <c r="I65" i="13" s="1"/>
  <c r="L65" i="12" s="1"/>
  <c r="I66" i="13" a="1"/>
  <c r="I66" i="13" s="1"/>
  <c r="L66" i="12" s="1"/>
  <c r="I67" i="13" a="1"/>
  <c r="I67" i="13" s="1"/>
  <c r="L67" i="12" s="1"/>
  <c r="F62" i="13"/>
  <c r="H62" i="13" s="1"/>
  <c r="F63" i="13"/>
  <c r="H63" i="13" s="1"/>
  <c r="F64" i="13"/>
  <c r="G64" i="13" s="1"/>
  <c r="F65" i="13"/>
  <c r="G65" i="13" s="1"/>
  <c r="F66" i="13"/>
  <c r="H66" i="13" s="1"/>
  <c r="F67" i="13"/>
  <c r="H67" i="13" s="1"/>
  <c r="G66" i="13" l="1"/>
  <c r="H65" i="13"/>
  <c r="H64" i="13"/>
  <c r="G67" i="13"/>
  <c r="G63" i="13"/>
  <c r="G62" i="13"/>
  <c r="F6" i="17"/>
  <c r="G6" i="17" s="1"/>
  <c r="I6" i="17" a="1"/>
  <c r="I6" i="17" s="1"/>
  <c r="L6" i="19" s="1"/>
  <c r="F5" i="17"/>
  <c r="G5" i="17"/>
  <c r="H5" i="17"/>
  <c r="I5" i="17" a="1"/>
  <c r="I5" i="17" s="1"/>
  <c r="L5" i="19" s="1"/>
  <c r="G5" i="19"/>
  <c r="L7" i="19"/>
  <c r="L8" i="19"/>
  <c r="K5" i="19"/>
  <c r="K6" i="19"/>
  <c r="K7" i="19"/>
  <c r="K8" i="19"/>
  <c r="D9" i="19"/>
  <c r="B9" i="19"/>
  <c r="B8" i="19"/>
  <c r="D8" i="19"/>
  <c r="E8" i="19"/>
  <c r="G8" i="19"/>
  <c r="I8" i="19"/>
  <c r="B7" i="19"/>
  <c r="D7" i="19"/>
  <c r="E7" i="19"/>
  <c r="G7" i="19"/>
  <c r="I7" i="19"/>
  <c r="B6" i="19"/>
  <c r="D6" i="19"/>
  <c r="E6" i="19"/>
  <c r="G6" i="19"/>
  <c r="I6" i="19"/>
  <c r="B5" i="19"/>
  <c r="D5" i="19"/>
  <c r="E5" i="19"/>
  <c r="I5" i="19"/>
  <c r="H6" i="17" l="1"/>
  <c r="K5" i="16" l="1"/>
  <c r="K6" i="16"/>
  <c r="K7" i="16"/>
  <c r="K8" i="16"/>
  <c r="K9" i="16"/>
  <c r="K10" i="16"/>
  <c r="F6" i="18"/>
  <c r="H6" i="18" s="1"/>
  <c r="F7" i="18"/>
  <c r="H7" i="18" s="1"/>
  <c r="F8" i="18"/>
  <c r="H8" i="18" s="1"/>
  <c r="F9" i="18"/>
  <c r="H9" i="18" s="1"/>
  <c r="F10" i="18"/>
  <c r="H10" i="18" s="1"/>
  <c r="G6" i="18"/>
  <c r="G7" i="18"/>
  <c r="G8" i="18"/>
  <c r="I6" i="18" a="1"/>
  <c r="I6" i="18"/>
  <c r="I7" i="18" a="1"/>
  <c r="I7" i="18" s="1"/>
  <c r="L7" i="16" s="1"/>
  <c r="I8" i="18" a="1"/>
  <c r="I8" i="18" s="1"/>
  <c r="I9" i="18" a="1"/>
  <c r="I9" i="18" s="1"/>
  <c r="I10" i="18" a="1"/>
  <c r="I10" i="18" s="1"/>
  <c r="F5" i="18"/>
  <c r="G5" i="18" s="1"/>
  <c r="I5" i="18" a="1"/>
  <c r="I5" i="18" s="1"/>
  <c r="L5" i="16" s="1"/>
  <c r="B5" i="16"/>
  <c r="B6" i="16"/>
  <c r="B7" i="16"/>
  <c r="D5" i="16"/>
  <c r="D6" i="16"/>
  <c r="D7" i="16"/>
  <c r="E5" i="16"/>
  <c r="E6" i="16"/>
  <c r="E7" i="16"/>
  <c r="G5" i="16"/>
  <c r="I5" i="16"/>
  <c r="I6" i="16"/>
  <c r="I7" i="16"/>
  <c r="L6" i="16"/>
  <c r="H5" i="18" l="1"/>
  <c r="G10" i="18"/>
  <c r="G9" i="18"/>
  <c r="K53" i="15"/>
  <c r="K54" i="15"/>
  <c r="K55" i="15"/>
  <c r="K56" i="15"/>
  <c r="K57" i="15"/>
  <c r="K58" i="15"/>
  <c r="B58" i="15"/>
  <c r="D58" i="15"/>
  <c r="E58" i="15"/>
  <c r="G58" i="15"/>
  <c r="I58" i="15"/>
  <c r="B57" i="15"/>
  <c r="D57" i="15"/>
  <c r="E57" i="15"/>
  <c r="G57" i="15"/>
  <c r="I57" i="15"/>
  <c r="D59" i="15"/>
  <c r="B59" i="15"/>
  <c r="I57" i="14" a="1"/>
  <c r="I57" i="14" s="1"/>
  <c r="L57" i="15" s="1"/>
  <c r="F57" i="14"/>
  <c r="H57" i="14" s="1"/>
  <c r="I58" i="14" a="1"/>
  <c r="I58" i="14" s="1"/>
  <c r="L58" i="15" s="1"/>
  <c r="F58" i="14"/>
  <c r="H58" i="14" s="1"/>
  <c r="G57" i="14" l="1"/>
  <c r="G58" i="14"/>
  <c r="H48" i="3" l="1"/>
  <c r="H49" i="3"/>
  <c r="B51" i="8"/>
  <c r="D51" i="8"/>
  <c r="B52" i="8"/>
  <c r="B50" i="8"/>
  <c r="D50" i="8"/>
  <c r="G8" i="20" l="1"/>
  <c r="E8" i="20" l="1"/>
  <c r="K8" i="20"/>
  <c r="I8" i="20"/>
  <c r="D8" i="20"/>
  <c r="B8" i="20"/>
  <c r="I8" i="21" a="1"/>
  <c r="I8" i="21" s="1"/>
  <c r="L8" i="20" s="1"/>
  <c r="F8" i="21"/>
  <c r="H8" i="21" s="1"/>
  <c r="G8" i="21" l="1"/>
  <c r="G56" i="15" l="1"/>
  <c r="E54" i="15"/>
  <c r="E55" i="15"/>
  <c r="E56" i="15"/>
  <c r="B54" i="15"/>
  <c r="B55" i="15"/>
  <c r="D54" i="15"/>
  <c r="D55" i="15"/>
  <c r="G54" i="15"/>
  <c r="G55" i="15"/>
  <c r="I54" i="15"/>
  <c r="I55" i="15"/>
  <c r="B56" i="15"/>
  <c r="D56" i="15"/>
  <c r="I56" i="15"/>
  <c r="I54" i="14" a="1"/>
  <c r="I54" i="14" s="1"/>
  <c r="F54" i="14"/>
  <c r="G54" i="14" s="1"/>
  <c r="I55" i="14" a="1"/>
  <c r="I55" i="14" s="1"/>
  <c r="L55" i="15" s="1"/>
  <c r="F55" i="14"/>
  <c r="H55" i="14" s="1"/>
  <c r="H54" i="14" l="1"/>
  <c r="L54" i="15"/>
  <c r="G55" i="14"/>
  <c r="I56" i="14" l="1" a="1"/>
  <c r="I56" i="14" s="1"/>
  <c r="L56" i="15" s="1"/>
  <c r="F56" i="14"/>
  <c r="H56" i="14" s="1"/>
  <c r="G56" i="14" l="1"/>
  <c r="I60" i="13" l="1" a="1"/>
  <c r="I60" i="13" s="1"/>
  <c r="I61" i="13" a="1"/>
  <c r="I61" i="13" s="1"/>
  <c r="I34" i="13" a="1"/>
  <c r="I34" i="13" s="1"/>
  <c r="I35" i="13" a="1"/>
  <c r="I35" i="13" s="1"/>
  <c r="I36" i="13" a="1"/>
  <c r="I36" i="13" s="1"/>
  <c r="I37" i="13" a="1"/>
  <c r="I37" i="13" s="1"/>
  <c r="I38" i="13" a="1"/>
  <c r="I38" i="13" s="1"/>
  <c r="I39" i="13" a="1"/>
  <c r="I39" i="13" s="1"/>
  <c r="I40" i="13" a="1"/>
  <c r="I40" i="13" s="1"/>
  <c r="I41" i="13" a="1"/>
  <c r="I41" i="13" s="1"/>
  <c r="I42" i="13" a="1"/>
  <c r="I42" i="13" s="1"/>
  <c r="I43" i="13" a="1"/>
  <c r="I43" i="13" s="1"/>
  <c r="I44" i="13" a="1"/>
  <c r="I44" i="13" s="1"/>
  <c r="I45" i="13" a="1"/>
  <c r="I45" i="13" s="1"/>
  <c r="I46" i="13" a="1"/>
  <c r="I46" i="13" s="1"/>
  <c r="I47" i="13" a="1"/>
  <c r="I47" i="13" s="1"/>
  <c r="I48" i="13" a="1"/>
  <c r="I48" i="13" s="1"/>
  <c r="I49" i="13" a="1"/>
  <c r="I49" i="13" s="1"/>
  <c r="I50" i="13" a="1"/>
  <c r="I50" i="13" s="1"/>
  <c r="I51" i="13" a="1"/>
  <c r="I51" i="13" s="1"/>
  <c r="I52" i="13" a="1"/>
  <c r="I52" i="13" s="1"/>
  <c r="I53" i="13" a="1"/>
  <c r="I53" i="13" s="1"/>
  <c r="I54" i="13" a="1"/>
  <c r="I54" i="13" s="1"/>
  <c r="I55" i="13" a="1"/>
  <c r="I55" i="13" s="1"/>
  <c r="I56" i="13" a="1"/>
  <c r="I56" i="13" s="1"/>
  <c r="I57" i="13" a="1"/>
  <c r="I57" i="13" s="1"/>
  <c r="I58" i="13" a="1"/>
  <c r="I58" i="13" s="1"/>
  <c r="K62" i="12" l="1"/>
  <c r="I62" i="12"/>
  <c r="G62" i="12"/>
  <c r="E62" i="12"/>
  <c r="D62" i="12"/>
  <c r="B62" i="13"/>
  <c r="B62" i="12" s="1"/>
  <c r="P7" i="6" l="1"/>
  <c r="D31" i="23"/>
  <c r="D30" i="23"/>
  <c r="D29" i="23"/>
  <c r="D27" i="23"/>
  <c r="D26" i="23"/>
  <c r="D28" i="23"/>
  <c r="B163" i="22"/>
  <c r="AF163" i="22" s="1"/>
  <c r="E163" i="22"/>
  <c r="F163" i="22"/>
  <c r="H163" i="22"/>
  <c r="M163" i="22"/>
  <c r="N163" i="22"/>
  <c r="O163" i="22"/>
  <c r="P163" i="22"/>
  <c r="Q163" i="22"/>
  <c r="R163" i="22"/>
  <c r="S163" i="22"/>
  <c r="T163" i="22"/>
  <c r="U163" i="22"/>
  <c r="V163" i="22"/>
  <c r="W163" i="22"/>
  <c r="X163" i="22"/>
  <c r="B162" i="22"/>
  <c r="AF162" i="22" s="1"/>
  <c r="E162" i="22"/>
  <c r="F162" i="22"/>
  <c r="H162" i="22"/>
  <c r="M162" i="22"/>
  <c r="N162" i="22"/>
  <c r="O162" i="22"/>
  <c r="P162" i="22"/>
  <c r="Q162" i="22"/>
  <c r="R162" i="22"/>
  <c r="S162" i="22"/>
  <c r="T162" i="22"/>
  <c r="U162" i="22"/>
  <c r="V162" i="22"/>
  <c r="W162" i="22"/>
  <c r="X162" i="22"/>
  <c r="B158" i="22"/>
  <c r="AF158" i="22" s="1"/>
  <c r="E158" i="22"/>
  <c r="F158" i="22"/>
  <c r="H158" i="22"/>
  <c r="M158" i="22"/>
  <c r="N158" i="22"/>
  <c r="O158" i="22"/>
  <c r="P158" i="22"/>
  <c r="Q158" i="22"/>
  <c r="R158" i="22"/>
  <c r="S158" i="22"/>
  <c r="T158" i="22"/>
  <c r="U158" i="22"/>
  <c r="V158" i="22"/>
  <c r="W158" i="22"/>
  <c r="X158" i="22"/>
  <c r="B108" i="22"/>
  <c r="AF108" i="22" s="1"/>
  <c r="E108" i="22"/>
  <c r="F108" i="22"/>
  <c r="H108" i="22"/>
  <c r="M108" i="22"/>
  <c r="N108" i="22"/>
  <c r="O108" i="22"/>
  <c r="P108" i="22"/>
  <c r="Q108" i="22"/>
  <c r="R108" i="22"/>
  <c r="S108" i="22"/>
  <c r="T108" i="22"/>
  <c r="U108" i="22"/>
  <c r="V108" i="22"/>
  <c r="W108" i="22"/>
  <c r="X108" i="22"/>
  <c r="H111" i="22"/>
  <c r="E111" i="22"/>
  <c r="B111" i="22"/>
  <c r="AF111" i="22" s="1"/>
  <c r="H109" i="22"/>
  <c r="E109" i="22"/>
  <c r="B109" i="22"/>
  <c r="AF109" i="22" s="1"/>
  <c r="H107" i="22"/>
  <c r="E107" i="22"/>
  <c r="B107" i="22"/>
  <c r="AF107" i="22" s="1"/>
  <c r="H85" i="22"/>
  <c r="E85" i="22"/>
  <c r="B85" i="22"/>
  <c r="AF85" i="22" s="1"/>
  <c r="H50" i="22"/>
  <c r="E50" i="22"/>
  <c r="B50" i="22"/>
  <c r="AF50" i="22" s="1"/>
  <c r="H4" i="22"/>
  <c r="E4" i="22"/>
  <c r="B4" i="22"/>
  <c r="AF4" i="22" s="1"/>
  <c r="D8" i="23"/>
  <c r="M8" i="23"/>
  <c r="D9" i="23"/>
  <c r="M9" i="23"/>
  <c r="D10" i="23"/>
  <c r="M10" i="23"/>
  <c r="D11" i="23"/>
  <c r="M11" i="23"/>
  <c r="D12" i="23"/>
  <c r="M12" i="23"/>
  <c r="D13" i="23"/>
  <c r="M13" i="23"/>
  <c r="D14" i="23"/>
  <c r="M14" i="23"/>
  <c r="D15" i="23"/>
  <c r="M15" i="23"/>
  <c r="D16" i="23"/>
  <c r="M16" i="23"/>
  <c r="D17" i="23"/>
  <c r="M17" i="23"/>
  <c r="C26" i="23"/>
  <c r="R72" i="23" s="1"/>
  <c r="C27" i="23"/>
  <c r="R73" i="23" s="1"/>
  <c r="C29" i="23"/>
  <c r="R75" i="23" s="1"/>
  <c r="C30" i="23"/>
  <c r="R76" i="23" s="1"/>
  <c r="C31" i="23"/>
  <c r="C41" i="23"/>
  <c r="C42" i="23"/>
  <c r="C43" i="23"/>
  <c r="C44" i="23"/>
  <c r="C45" i="23"/>
  <c r="D7" i="4"/>
  <c r="F7" i="4"/>
  <c r="H7" i="4"/>
  <c r="J7" i="4"/>
  <c r="L7" i="4"/>
  <c r="N7" i="4"/>
  <c r="AA56" i="22"/>
  <c r="AB56" i="22"/>
  <c r="AC56" i="22"/>
  <c r="AD56" i="22" s="1"/>
  <c r="AA57" i="22"/>
  <c r="AB57" i="22"/>
  <c r="AC57" i="22"/>
  <c r="AD57" i="22" s="1"/>
  <c r="AA58" i="22"/>
  <c r="AB58" i="22"/>
  <c r="AC58" i="22"/>
  <c r="AD58" i="22" s="1"/>
  <c r="AA59" i="22"/>
  <c r="AB59" i="22"/>
  <c r="AC59" i="22"/>
  <c r="AD59" i="22" s="1"/>
  <c r="B134" i="22"/>
  <c r="AF134" i="22" s="1"/>
  <c r="E134" i="22"/>
  <c r="F134" i="22"/>
  <c r="H134" i="22"/>
  <c r="M134" i="22"/>
  <c r="N134" i="22"/>
  <c r="O134" i="22"/>
  <c r="P134" i="22"/>
  <c r="Q134" i="22"/>
  <c r="R134" i="22"/>
  <c r="S134" i="22"/>
  <c r="T134" i="22"/>
  <c r="U134" i="22"/>
  <c r="V134" i="22"/>
  <c r="W134" i="22"/>
  <c r="X134" i="22"/>
  <c r="B135" i="22"/>
  <c r="AF135" i="22" s="1"/>
  <c r="E135" i="22"/>
  <c r="F135" i="22"/>
  <c r="H135" i="22"/>
  <c r="M135" i="22"/>
  <c r="N135" i="22"/>
  <c r="O135" i="22"/>
  <c r="P135" i="22"/>
  <c r="Q135" i="22"/>
  <c r="R135" i="22"/>
  <c r="S135" i="22"/>
  <c r="T135" i="22"/>
  <c r="U135" i="22"/>
  <c r="V135" i="22"/>
  <c r="W135" i="22"/>
  <c r="X135" i="22"/>
  <c r="B136" i="22"/>
  <c r="AF136" i="22" s="1"/>
  <c r="E136" i="22"/>
  <c r="F136" i="22"/>
  <c r="H136" i="22"/>
  <c r="M136" i="22"/>
  <c r="N136" i="22"/>
  <c r="O136" i="22"/>
  <c r="P136" i="22"/>
  <c r="Q136" i="22"/>
  <c r="R136" i="22"/>
  <c r="S136" i="22"/>
  <c r="T136" i="22"/>
  <c r="U136" i="22"/>
  <c r="V136" i="22"/>
  <c r="W136" i="22"/>
  <c r="X136" i="22"/>
  <c r="B137" i="22"/>
  <c r="AF137" i="22" s="1"/>
  <c r="E137" i="22"/>
  <c r="F137" i="22"/>
  <c r="H137" i="22"/>
  <c r="M137" i="22"/>
  <c r="N137" i="22"/>
  <c r="O137" i="22"/>
  <c r="P137" i="22"/>
  <c r="Q137" i="22"/>
  <c r="R137" i="22"/>
  <c r="S137" i="22"/>
  <c r="T137" i="22"/>
  <c r="U137" i="22"/>
  <c r="V137" i="22"/>
  <c r="W137" i="22"/>
  <c r="X137" i="22"/>
  <c r="B138" i="22"/>
  <c r="AF138" i="22" s="1"/>
  <c r="E138" i="22"/>
  <c r="F138" i="22"/>
  <c r="H138" i="22"/>
  <c r="M138" i="22"/>
  <c r="N138" i="22"/>
  <c r="O138" i="22"/>
  <c r="P138" i="22"/>
  <c r="Q138" i="22"/>
  <c r="R138" i="22"/>
  <c r="S138" i="22"/>
  <c r="T138" i="22"/>
  <c r="U138" i="22"/>
  <c r="V138" i="22"/>
  <c r="W138" i="22"/>
  <c r="X138" i="22"/>
  <c r="B139" i="22"/>
  <c r="AF139" i="22" s="1"/>
  <c r="E139" i="22"/>
  <c r="F139" i="22"/>
  <c r="H139" i="22"/>
  <c r="M139" i="22"/>
  <c r="N139" i="22"/>
  <c r="O139" i="22"/>
  <c r="P139" i="22"/>
  <c r="Q139" i="22"/>
  <c r="R139" i="22"/>
  <c r="S139" i="22"/>
  <c r="T139" i="22"/>
  <c r="U139" i="22"/>
  <c r="V139" i="22"/>
  <c r="W139" i="22"/>
  <c r="X139" i="22"/>
  <c r="B140" i="22"/>
  <c r="E140" i="22"/>
  <c r="F140" i="22"/>
  <c r="H140" i="22"/>
  <c r="M140" i="22"/>
  <c r="N140" i="22"/>
  <c r="O140" i="22"/>
  <c r="P140" i="22"/>
  <c r="Q140" i="22"/>
  <c r="R140" i="22"/>
  <c r="S140" i="22"/>
  <c r="T140" i="22"/>
  <c r="U140" i="22"/>
  <c r="V140" i="22"/>
  <c r="W140" i="22"/>
  <c r="X140" i="22"/>
  <c r="B141" i="22"/>
  <c r="AF141" i="22" s="1"/>
  <c r="E141" i="22"/>
  <c r="F141" i="22"/>
  <c r="H141" i="22"/>
  <c r="M141" i="22"/>
  <c r="N141" i="22"/>
  <c r="O141" i="22"/>
  <c r="P141" i="22"/>
  <c r="Q141" i="22"/>
  <c r="R141" i="22"/>
  <c r="S141" i="22"/>
  <c r="T141" i="22"/>
  <c r="U141" i="22"/>
  <c r="V141" i="22"/>
  <c r="W141" i="22"/>
  <c r="X141" i="22"/>
  <c r="B142" i="22"/>
  <c r="E142" i="22"/>
  <c r="F142" i="22"/>
  <c r="H142" i="22"/>
  <c r="M142" i="22"/>
  <c r="N142" i="22"/>
  <c r="O142" i="22"/>
  <c r="P142" i="22"/>
  <c r="Q142" i="22"/>
  <c r="R142" i="22"/>
  <c r="S142" i="22"/>
  <c r="T142" i="22"/>
  <c r="U142" i="22"/>
  <c r="V142" i="22"/>
  <c r="W142" i="22"/>
  <c r="X142" i="22"/>
  <c r="B143" i="22"/>
  <c r="AF143" i="22" s="1"/>
  <c r="E143" i="22"/>
  <c r="F143" i="22"/>
  <c r="H143" i="22"/>
  <c r="M143" i="22"/>
  <c r="N143" i="22"/>
  <c r="O143" i="22"/>
  <c r="P143" i="22"/>
  <c r="Q143" i="22"/>
  <c r="R143" i="22"/>
  <c r="S143" i="22"/>
  <c r="T143" i="22"/>
  <c r="U143" i="22"/>
  <c r="V143" i="22"/>
  <c r="W143" i="22"/>
  <c r="X143" i="22"/>
  <c r="B144" i="22"/>
  <c r="AF144" i="22" s="1"/>
  <c r="E144" i="22"/>
  <c r="F144" i="22"/>
  <c r="H144" i="22"/>
  <c r="M144" i="22"/>
  <c r="N144" i="22"/>
  <c r="O144" i="22"/>
  <c r="P144" i="22"/>
  <c r="Q144" i="22"/>
  <c r="R144" i="22"/>
  <c r="S144" i="22"/>
  <c r="T144" i="22"/>
  <c r="U144" i="22"/>
  <c r="V144" i="22"/>
  <c r="W144" i="22"/>
  <c r="X144" i="22"/>
  <c r="B145" i="22"/>
  <c r="AF145" i="22" s="1"/>
  <c r="E145" i="22"/>
  <c r="F145" i="22"/>
  <c r="H145" i="22"/>
  <c r="M145" i="22"/>
  <c r="N145" i="22"/>
  <c r="O145" i="22"/>
  <c r="P145" i="22"/>
  <c r="Q145" i="22"/>
  <c r="R145" i="22"/>
  <c r="S145" i="22"/>
  <c r="T145" i="22"/>
  <c r="U145" i="22"/>
  <c r="V145" i="22"/>
  <c r="W145" i="22"/>
  <c r="X145" i="22"/>
  <c r="B146" i="22"/>
  <c r="AF146" i="22" s="1"/>
  <c r="E146" i="22"/>
  <c r="F146" i="22"/>
  <c r="H146" i="22"/>
  <c r="M146" i="22"/>
  <c r="N146" i="22"/>
  <c r="O146" i="22"/>
  <c r="P146" i="22"/>
  <c r="Q146" i="22"/>
  <c r="R146" i="22"/>
  <c r="S146" i="22"/>
  <c r="T146" i="22"/>
  <c r="U146" i="22"/>
  <c r="V146" i="22"/>
  <c r="W146" i="22"/>
  <c r="X146" i="22"/>
  <c r="B147" i="22"/>
  <c r="AF147" i="22" s="1"/>
  <c r="E147" i="22"/>
  <c r="F147" i="22"/>
  <c r="H147" i="22"/>
  <c r="M147" i="22"/>
  <c r="N147" i="22"/>
  <c r="O147" i="22"/>
  <c r="P147" i="22"/>
  <c r="Q147" i="22"/>
  <c r="R147" i="22"/>
  <c r="S147" i="22"/>
  <c r="T147" i="22"/>
  <c r="U147" i="22"/>
  <c r="V147" i="22"/>
  <c r="W147" i="22"/>
  <c r="X147" i="22"/>
  <c r="B148" i="22"/>
  <c r="E148" i="22"/>
  <c r="F148" i="22"/>
  <c r="H148" i="22"/>
  <c r="M148" i="22"/>
  <c r="N148" i="22"/>
  <c r="O148" i="22"/>
  <c r="P148" i="22"/>
  <c r="Q148" i="22"/>
  <c r="R148" i="22"/>
  <c r="S148" i="22"/>
  <c r="T148" i="22"/>
  <c r="U148" i="22"/>
  <c r="V148" i="22"/>
  <c r="W148" i="22"/>
  <c r="X148" i="22"/>
  <c r="B149" i="22"/>
  <c r="AF149" i="22" s="1"/>
  <c r="E149" i="22"/>
  <c r="F149" i="22"/>
  <c r="H149" i="22"/>
  <c r="M149" i="22"/>
  <c r="N149" i="22"/>
  <c r="O149" i="22"/>
  <c r="P149" i="22"/>
  <c r="Q149" i="22"/>
  <c r="R149" i="22"/>
  <c r="S149" i="22"/>
  <c r="T149" i="22"/>
  <c r="U149" i="22"/>
  <c r="V149" i="22"/>
  <c r="W149" i="22"/>
  <c r="X149" i="22"/>
  <c r="B150" i="22"/>
  <c r="AF150" i="22" s="1"/>
  <c r="E150" i="22"/>
  <c r="F150" i="22"/>
  <c r="H150" i="22"/>
  <c r="M150" i="22"/>
  <c r="N150" i="22"/>
  <c r="O150" i="22"/>
  <c r="P150" i="22"/>
  <c r="Q150" i="22"/>
  <c r="R150" i="22"/>
  <c r="S150" i="22"/>
  <c r="T150" i="22"/>
  <c r="U150" i="22"/>
  <c r="V150" i="22"/>
  <c r="W150" i="22"/>
  <c r="X150" i="22"/>
  <c r="B151" i="22"/>
  <c r="AF151" i="22" s="1"/>
  <c r="E151" i="22"/>
  <c r="F151" i="22"/>
  <c r="H151" i="22"/>
  <c r="M151" i="22"/>
  <c r="N151" i="22"/>
  <c r="O151" i="22"/>
  <c r="P151" i="22"/>
  <c r="Q151" i="22"/>
  <c r="R151" i="22"/>
  <c r="S151" i="22"/>
  <c r="T151" i="22"/>
  <c r="U151" i="22"/>
  <c r="V151" i="22"/>
  <c r="W151" i="22"/>
  <c r="X151" i="22"/>
  <c r="B152" i="22"/>
  <c r="AF152" i="22" s="1"/>
  <c r="E152" i="22"/>
  <c r="F152" i="22"/>
  <c r="H152" i="22"/>
  <c r="M152" i="22"/>
  <c r="N152" i="22"/>
  <c r="O152" i="22"/>
  <c r="P152" i="22"/>
  <c r="Q152" i="22"/>
  <c r="R152" i="22"/>
  <c r="S152" i="22"/>
  <c r="T152" i="22"/>
  <c r="U152" i="22"/>
  <c r="V152" i="22"/>
  <c r="W152" i="22"/>
  <c r="X152" i="22"/>
  <c r="B153" i="22"/>
  <c r="AF153" i="22" s="1"/>
  <c r="E153" i="22"/>
  <c r="F153" i="22"/>
  <c r="H153" i="22"/>
  <c r="M153" i="22"/>
  <c r="N153" i="22"/>
  <c r="O153" i="22"/>
  <c r="P153" i="22"/>
  <c r="Q153" i="22"/>
  <c r="R153" i="22"/>
  <c r="S153" i="22"/>
  <c r="T153" i="22"/>
  <c r="U153" i="22"/>
  <c r="V153" i="22"/>
  <c r="W153" i="22"/>
  <c r="X153" i="22"/>
  <c r="B154" i="22"/>
  <c r="AF154" i="22" s="1"/>
  <c r="E154" i="22"/>
  <c r="F154" i="22"/>
  <c r="H154" i="22"/>
  <c r="M154" i="22"/>
  <c r="N154" i="22"/>
  <c r="O154" i="22"/>
  <c r="P154" i="22"/>
  <c r="Q154" i="22"/>
  <c r="R154" i="22"/>
  <c r="S154" i="22"/>
  <c r="T154" i="22"/>
  <c r="U154" i="22"/>
  <c r="V154" i="22"/>
  <c r="W154" i="22"/>
  <c r="X154" i="22"/>
  <c r="B155" i="22"/>
  <c r="AF155" i="22" s="1"/>
  <c r="E155" i="22"/>
  <c r="F155" i="22"/>
  <c r="H155" i="22"/>
  <c r="M155" i="22"/>
  <c r="N155" i="22"/>
  <c r="O155" i="22"/>
  <c r="P155" i="22"/>
  <c r="Q155" i="22"/>
  <c r="R155" i="22"/>
  <c r="S155" i="22"/>
  <c r="T155" i="22"/>
  <c r="U155" i="22"/>
  <c r="V155" i="22"/>
  <c r="W155" i="22"/>
  <c r="X155" i="22"/>
  <c r="B156" i="22"/>
  <c r="AF156" i="22" s="1"/>
  <c r="E156" i="22"/>
  <c r="F156" i="22"/>
  <c r="H156" i="22"/>
  <c r="M156" i="22"/>
  <c r="N156" i="22"/>
  <c r="O156" i="22"/>
  <c r="P156" i="22"/>
  <c r="Q156" i="22"/>
  <c r="R156" i="22"/>
  <c r="S156" i="22"/>
  <c r="T156" i="22"/>
  <c r="U156" i="22"/>
  <c r="V156" i="22"/>
  <c r="W156" i="22"/>
  <c r="X156" i="22"/>
  <c r="B157" i="22"/>
  <c r="AF157" i="22" s="1"/>
  <c r="E157" i="22"/>
  <c r="F157" i="22"/>
  <c r="H157" i="22"/>
  <c r="M157" i="22"/>
  <c r="N157" i="22"/>
  <c r="O157" i="22"/>
  <c r="P157" i="22"/>
  <c r="Q157" i="22"/>
  <c r="R157" i="22"/>
  <c r="S157" i="22"/>
  <c r="T157" i="22"/>
  <c r="U157" i="22"/>
  <c r="V157" i="22"/>
  <c r="W157" i="22"/>
  <c r="X157" i="22"/>
  <c r="B159" i="22"/>
  <c r="AF159" i="22" s="1"/>
  <c r="E159" i="22"/>
  <c r="F159" i="22"/>
  <c r="H159" i="22"/>
  <c r="M159" i="22"/>
  <c r="N159" i="22"/>
  <c r="O159" i="22"/>
  <c r="P159" i="22"/>
  <c r="Q159" i="22"/>
  <c r="R159" i="22"/>
  <c r="S159" i="22"/>
  <c r="T159" i="22"/>
  <c r="U159" i="22"/>
  <c r="V159" i="22"/>
  <c r="W159" i="22"/>
  <c r="X159" i="22"/>
  <c r="B160" i="22"/>
  <c r="E160" i="22"/>
  <c r="F160" i="22"/>
  <c r="H160" i="22"/>
  <c r="M160" i="22"/>
  <c r="N160" i="22"/>
  <c r="O160" i="22"/>
  <c r="P160" i="22"/>
  <c r="Q160" i="22"/>
  <c r="R160" i="22"/>
  <c r="S160" i="22"/>
  <c r="T160" i="22"/>
  <c r="U160" i="22"/>
  <c r="V160" i="22"/>
  <c r="W160" i="22"/>
  <c r="X160" i="22"/>
  <c r="B161" i="22"/>
  <c r="AF161" i="22" s="1"/>
  <c r="E161" i="22"/>
  <c r="F161" i="22"/>
  <c r="H161" i="22"/>
  <c r="M161" i="22"/>
  <c r="N161" i="22"/>
  <c r="O161" i="22"/>
  <c r="P161" i="22"/>
  <c r="Q161" i="22"/>
  <c r="R161" i="22"/>
  <c r="S161" i="22"/>
  <c r="T161" i="22"/>
  <c r="U161" i="22"/>
  <c r="V161" i="22"/>
  <c r="W161" i="22"/>
  <c r="X161" i="22"/>
  <c r="B164" i="22"/>
  <c r="AF164" i="22" s="1"/>
  <c r="E164" i="22"/>
  <c r="F164" i="22"/>
  <c r="H164" i="22"/>
  <c r="M164" i="22"/>
  <c r="N164" i="22"/>
  <c r="O164" i="22"/>
  <c r="P164" i="22"/>
  <c r="Q164" i="22"/>
  <c r="R164" i="22"/>
  <c r="S164" i="22"/>
  <c r="T164" i="22"/>
  <c r="U164" i="22"/>
  <c r="V164" i="22"/>
  <c r="W164" i="22"/>
  <c r="X164" i="22"/>
  <c r="B165" i="22"/>
  <c r="AF165" i="22" s="1"/>
  <c r="E165" i="22"/>
  <c r="F165" i="22"/>
  <c r="H165" i="22"/>
  <c r="M165" i="22"/>
  <c r="N165" i="22"/>
  <c r="O165" i="22"/>
  <c r="P165" i="22"/>
  <c r="Q165" i="22"/>
  <c r="R165" i="22"/>
  <c r="S165" i="22"/>
  <c r="T165" i="22"/>
  <c r="U165" i="22"/>
  <c r="V165" i="22"/>
  <c r="W165" i="22"/>
  <c r="X165" i="22"/>
  <c r="B166" i="22"/>
  <c r="AF166" i="22" s="1"/>
  <c r="E166" i="22"/>
  <c r="F166" i="22"/>
  <c r="H166" i="22"/>
  <c r="M166" i="22"/>
  <c r="N166" i="22"/>
  <c r="O166" i="22"/>
  <c r="P166" i="22"/>
  <c r="Q166" i="22"/>
  <c r="R166" i="22"/>
  <c r="S166" i="22"/>
  <c r="T166" i="22"/>
  <c r="U166" i="22"/>
  <c r="V166" i="22"/>
  <c r="W166" i="22"/>
  <c r="X166" i="22"/>
  <c r="B69" i="22"/>
  <c r="AF69" i="22" s="1"/>
  <c r="E69" i="22"/>
  <c r="F69" i="22"/>
  <c r="H69" i="22"/>
  <c r="M69" i="22"/>
  <c r="N69" i="22"/>
  <c r="O69" i="22"/>
  <c r="P69" i="22"/>
  <c r="Q69" i="22"/>
  <c r="R69" i="22"/>
  <c r="S69" i="22"/>
  <c r="T69" i="22"/>
  <c r="U69" i="22"/>
  <c r="V69" i="22"/>
  <c r="W69" i="22"/>
  <c r="X69" i="22"/>
  <c r="B70" i="22"/>
  <c r="AF70" i="22" s="1"/>
  <c r="E70" i="22"/>
  <c r="F70" i="22"/>
  <c r="H70" i="22"/>
  <c r="M70" i="22"/>
  <c r="N70" i="22"/>
  <c r="O70" i="22"/>
  <c r="P70" i="22"/>
  <c r="Q70" i="22"/>
  <c r="R70" i="22"/>
  <c r="S70" i="22"/>
  <c r="T70" i="22"/>
  <c r="U70" i="22"/>
  <c r="V70" i="22"/>
  <c r="W70" i="22"/>
  <c r="X70" i="22"/>
  <c r="B71" i="22"/>
  <c r="AF71" i="22" s="1"/>
  <c r="E71" i="22"/>
  <c r="F71" i="22"/>
  <c r="H71" i="22"/>
  <c r="M71" i="22"/>
  <c r="N71" i="22"/>
  <c r="O71" i="22"/>
  <c r="P71" i="22"/>
  <c r="Q71" i="22"/>
  <c r="R71" i="22"/>
  <c r="S71" i="22"/>
  <c r="T71" i="22"/>
  <c r="U71" i="22"/>
  <c r="V71" i="22"/>
  <c r="W71" i="22"/>
  <c r="X71" i="22"/>
  <c r="B72" i="22"/>
  <c r="E72" i="22"/>
  <c r="F72" i="22"/>
  <c r="H72" i="22"/>
  <c r="M72" i="22"/>
  <c r="N72" i="22"/>
  <c r="O72" i="22"/>
  <c r="P72" i="22"/>
  <c r="Q72" i="22"/>
  <c r="R72" i="22"/>
  <c r="S72" i="22"/>
  <c r="T72" i="22"/>
  <c r="U72" i="22"/>
  <c r="V72" i="22"/>
  <c r="W72" i="22"/>
  <c r="X72" i="22"/>
  <c r="B73" i="22"/>
  <c r="AF73" i="22" s="1"/>
  <c r="E73" i="22"/>
  <c r="F73" i="22"/>
  <c r="H73" i="22"/>
  <c r="M73" i="22"/>
  <c r="N73" i="22"/>
  <c r="O73" i="22"/>
  <c r="P73" i="22"/>
  <c r="Q73" i="22"/>
  <c r="R73" i="22"/>
  <c r="S73" i="22"/>
  <c r="T73" i="22"/>
  <c r="U73" i="22"/>
  <c r="V73" i="22"/>
  <c r="W73" i="22"/>
  <c r="X73" i="22"/>
  <c r="B74" i="22"/>
  <c r="AF74" i="22" s="1"/>
  <c r="E74" i="22"/>
  <c r="F74" i="22"/>
  <c r="H74" i="22"/>
  <c r="M74" i="22"/>
  <c r="N74" i="22"/>
  <c r="O74" i="22"/>
  <c r="P74" i="22"/>
  <c r="Q74" i="22"/>
  <c r="R74" i="22"/>
  <c r="S74" i="22"/>
  <c r="T74" i="22"/>
  <c r="U74" i="22"/>
  <c r="V74" i="22"/>
  <c r="W74" i="22"/>
  <c r="X74" i="22"/>
  <c r="B75" i="22"/>
  <c r="AF75" i="22" s="1"/>
  <c r="E75" i="22"/>
  <c r="F75" i="22"/>
  <c r="H75" i="22"/>
  <c r="M75" i="22"/>
  <c r="N75" i="22"/>
  <c r="O75" i="22"/>
  <c r="P75" i="22"/>
  <c r="Q75" i="22"/>
  <c r="R75" i="22"/>
  <c r="S75" i="22"/>
  <c r="T75" i="22"/>
  <c r="U75" i="22"/>
  <c r="V75" i="22"/>
  <c r="W75" i="22"/>
  <c r="X75" i="22"/>
  <c r="B76" i="22"/>
  <c r="E76" i="22"/>
  <c r="F76" i="22"/>
  <c r="H76" i="22"/>
  <c r="M76" i="22"/>
  <c r="N76" i="22"/>
  <c r="O76" i="22"/>
  <c r="P76" i="22"/>
  <c r="Q76" i="22"/>
  <c r="R76" i="22"/>
  <c r="S76" i="22"/>
  <c r="T76" i="22"/>
  <c r="U76" i="22"/>
  <c r="V76" i="22"/>
  <c r="W76" i="22"/>
  <c r="X76" i="22"/>
  <c r="B77" i="22"/>
  <c r="AF77" i="22" s="1"/>
  <c r="E77" i="22"/>
  <c r="F77" i="22"/>
  <c r="H77" i="22"/>
  <c r="M77" i="22"/>
  <c r="N77" i="22"/>
  <c r="O77" i="22"/>
  <c r="P77" i="22"/>
  <c r="Q77" i="22"/>
  <c r="R77" i="22"/>
  <c r="S77" i="22"/>
  <c r="T77" i="22"/>
  <c r="U77" i="22"/>
  <c r="V77" i="22"/>
  <c r="W77" i="22"/>
  <c r="X77" i="22"/>
  <c r="B78" i="22"/>
  <c r="AF78" i="22" s="1"/>
  <c r="E78" i="22"/>
  <c r="F78" i="22"/>
  <c r="H78" i="22"/>
  <c r="M78" i="22"/>
  <c r="N78" i="22"/>
  <c r="O78" i="22"/>
  <c r="P78" i="22"/>
  <c r="Q78" i="22"/>
  <c r="R78" i="22"/>
  <c r="S78" i="22"/>
  <c r="T78" i="22"/>
  <c r="U78" i="22"/>
  <c r="V78" i="22"/>
  <c r="W78" i="22"/>
  <c r="X78" i="22"/>
  <c r="B79" i="22"/>
  <c r="AF79" i="22" s="1"/>
  <c r="E79" i="22"/>
  <c r="F79" i="22"/>
  <c r="H79" i="22"/>
  <c r="M79" i="22"/>
  <c r="N79" i="22"/>
  <c r="O79" i="22"/>
  <c r="P79" i="22"/>
  <c r="Q79" i="22"/>
  <c r="R79" i="22"/>
  <c r="S79" i="22"/>
  <c r="T79" i="22"/>
  <c r="U79" i="22"/>
  <c r="V79" i="22"/>
  <c r="W79" i="22"/>
  <c r="X79" i="22"/>
  <c r="B80" i="22"/>
  <c r="AF80" i="22" s="1"/>
  <c r="E80" i="22"/>
  <c r="F80" i="22"/>
  <c r="H80" i="22"/>
  <c r="M80" i="22"/>
  <c r="N80" i="22"/>
  <c r="O80" i="22"/>
  <c r="P80" i="22"/>
  <c r="Q80" i="22"/>
  <c r="R80" i="22"/>
  <c r="S80" i="22"/>
  <c r="T80" i="22"/>
  <c r="U80" i="22"/>
  <c r="V80" i="22"/>
  <c r="W80" i="22"/>
  <c r="X80" i="22"/>
  <c r="B81" i="22"/>
  <c r="AF81" i="22" s="1"/>
  <c r="E81" i="22"/>
  <c r="F81" i="22"/>
  <c r="H81" i="22"/>
  <c r="M81" i="22"/>
  <c r="N81" i="22"/>
  <c r="O81" i="22"/>
  <c r="P81" i="22"/>
  <c r="Q81" i="22"/>
  <c r="R81" i="22"/>
  <c r="S81" i="22"/>
  <c r="T81" i="22"/>
  <c r="U81" i="22"/>
  <c r="V81" i="22"/>
  <c r="W81" i="22"/>
  <c r="X81" i="22"/>
  <c r="B82" i="22"/>
  <c r="AF82" i="22" s="1"/>
  <c r="E82" i="22"/>
  <c r="F82" i="22"/>
  <c r="H82" i="22"/>
  <c r="M82" i="22"/>
  <c r="N82" i="22"/>
  <c r="O82" i="22"/>
  <c r="P82" i="22"/>
  <c r="Q82" i="22"/>
  <c r="R82" i="22"/>
  <c r="S82" i="22"/>
  <c r="T82" i="22"/>
  <c r="U82" i="22"/>
  <c r="V82" i="22"/>
  <c r="W82" i="22"/>
  <c r="X82" i="22"/>
  <c r="B83" i="22"/>
  <c r="AF83" i="22" s="1"/>
  <c r="E83" i="22"/>
  <c r="F83" i="22"/>
  <c r="H83" i="22"/>
  <c r="M83" i="22"/>
  <c r="N83" i="22"/>
  <c r="O83" i="22"/>
  <c r="P83" i="22"/>
  <c r="Q83" i="22"/>
  <c r="R83" i="22"/>
  <c r="S83" i="22"/>
  <c r="T83" i="22"/>
  <c r="U83" i="22"/>
  <c r="V83" i="22"/>
  <c r="W83" i="22"/>
  <c r="X83" i="22"/>
  <c r="B84" i="22"/>
  <c r="E84" i="22"/>
  <c r="F84" i="22"/>
  <c r="H84" i="22"/>
  <c r="M84" i="22"/>
  <c r="N84" i="22"/>
  <c r="O84" i="22"/>
  <c r="P84" i="22"/>
  <c r="Q84" i="22"/>
  <c r="R84" i="22"/>
  <c r="S84" i="22"/>
  <c r="T84" i="22"/>
  <c r="U84" i="22"/>
  <c r="V84" i="22"/>
  <c r="W84" i="22"/>
  <c r="X84" i="22"/>
  <c r="F85" i="22"/>
  <c r="M85" i="22"/>
  <c r="N85" i="22"/>
  <c r="O85" i="22"/>
  <c r="P85" i="22"/>
  <c r="Q85" i="22"/>
  <c r="R85" i="22"/>
  <c r="S85" i="22"/>
  <c r="T85" i="22"/>
  <c r="U85" i="22"/>
  <c r="V85" i="22"/>
  <c r="W85" i="22"/>
  <c r="X85" i="22"/>
  <c r="B86" i="22"/>
  <c r="AF86" i="22" s="1"/>
  <c r="E86" i="22"/>
  <c r="F86" i="22"/>
  <c r="H86" i="22"/>
  <c r="M86" i="22"/>
  <c r="N86" i="22"/>
  <c r="O86" i="22"/>
  <c r="P86" i="22"/>
  <c r="Q86" i="22"/>
  <c r="R86" i="22"/>
  <c r="S86" i="22"/>
  <c r="T86" i="22"/>
  <c r="U86" i="22"/>
  <c r="V86" i="22"/>
  <c r="W86" i="22"/>
  <c r="X86" i="22"/>
  <c r="B87" i="22"/>
  <c r="AF87" i="22" s="1"/>
  <c r="E87" i="22"/>
  <c r="F87" i="22"/>
  <c r="H87" i="22"/>
  <c r="M87" i="22"/>
  <c r="N87" i="22"/>
  <c r="O87" i="22"/>
  <c r="P87" i="22"/>
  <c r="Q87" i="22"/>
  <c r="R87" i="22"/>
  <c r="S87" i="22"/>
  <c r="T87" i="22"/>
  <c r="U87" i="22"/>
  <c r="V87" i="22"/>
  <c r="W87" i="22"/>
  <c r="X87" i="22"/>
  <c r="B88" i="22"/>
  <c r="AF88" i="22" s="1"/>
  <c r="E88" i="22"/>
  <c r="F88" i="22"/>
  <c r="H88" i="22"/>
  <c r="M88" i="22"/>
  <c r="N88" i="22"/>
  <c r="O88" i="22"/>
  <c r="P88" i="22"/>
  <c r="Q88" i="22"/>
  <c r="R88" i="22"/>
  <c r="S88" i="22"/>
  <c r="T88" i="22"/>
  <c r="U88" i="22"/>
  <c r="V88" i="22"/>
  <c r="W88" i="22"/>
  <c r="X88" i="22"/>
  <c r="B89" i="22"/>
  <c r="AF89" i="22" s="1"/>
  <c r="E89" i="22"/>
  <c r="F89" i="22"/>
  <c r="H89" i="22"/>
  <c r="M89" i="22"/>
  <c r="N89" i="22"/>
  <c r="O89" i="22"/>
  <c r="P89" i="22"/>
  <c r="Q89" i="22"/>
  <c r="R89" i="22"/>
  <c r="S89" i="22"/>
  <c r="T89" i="22"/>
  <c r="U89" i="22"/>
  <c r="V89" i="22"/>
  <c r="W89" i="22"/>
  <c r="X89" i="22"/>
  <c r="B90" i="22"/>
  <c r="AF90" i="22" s="1"/>
  <c r="E90" i="22"/>
  <c r="F90" i="22"/>
  <c r="H90" i="22"/>
  <c r="M90" i="22"/>
  <c r="N90" i="22"/>
  <c r="O90" i="22"/>
  <c r="P90" i="22"/>
  <c r="Q90" i="22"/>
  <c r="R90" i="22"/>
  <c r="S90" i="22"/>
  <c r="T90" i="22"/>
  <c r="U90" i="22"/>
  <c r="V90" i="22"/>
  <c r="W90" i="22"/>
  <c r="X90" i="22"/>
  <c r="B91" i="22"/>
  <c r="AF91" i="22" s="1"/>
  <c r="E91" i="22"/>
  <c r="F91" i="22"/>
  <c r="H91" i="22"/>
  <c r="M91" i="22"/>
  <c r="N91" i="22"/>
  <c r="O91" i="22"/>
  <c r="P91" i="22"/>
  <c r="Q91" i="22"/>
  <c r="R91" i="22"/>
  <c r="S91" i="22"/>
  <c r="T91" i="22"/>
  <c r="U91" i="22"/>
  <c r="V91" i="22"/>
  <c r="W91" i="22"/>
  <c r="X91" i="22"/>
  <c r="B92" i="22"/>
  <c r="E92" i="22"/>
  <c r="F92" i="22"/>
  <c r="H92" i="22"/>
  <c r="M92" i="22"/>
  <c r="N92" i="22"/>
  <c r="O92" i="22"/>
  <c r="P92" i="22"/>
  <c r="Q92" i="22"/>
  <c r="R92" i="22"/>
  <c r="S92" i="22"/>
  <c r="T92" i="22"/>
  <c r="U92" i="22"/>
  <c r="V92" i="22"/>
  <c r="W92" i="22"/>
  <c r="X92" i="22"/>
  <c r="B93" i="22"/>
  <c r="AF93" i="22" s="1"/>
  <c r="E93" i="22"/>
  <c r="F93" i="22"/>
  <c r="H93" i="22"/>
  <c r="M93" i="22"/>
  <c r="N93" i="22"/>
  <c r="O93" i="22"/>
  <c r="P93" i="22"/>
  <c r="Q93" i="22"/>
  <c r="R93" i="22"/>
  <c r="S93" i="22"/>
  <c r="T93" i="22"/>
  <c r="U93" i="22"/>
  <c r="V93" i="22"/>
  <c r="W93" i="22"/>
  <c r="X93" i="22"/>
  <c r="B94" i="22"/>
  <c r="AF94" i="22" s="1"/>
  <c r="E94" i="22"/>
  <c r="F94" i="22"/>
  <c r="H94" i="22"/>
  <c r="M94" i="22"/>
  <c r="N94" i="22"/>
  <c r="O94" i="22"/>
  <c r="P94" i="22"/>
  <c r="Q94" i="22"/>
  <c r="R94" i="22"/>
  <c r="S94" i="22"/>
  <c r="T94" i="22"/>
  <c r="U94" i="22"/>
  <c r="V94" i="22"/>
  <c r="W94" i="22"/>
  <c r="X94" i="22"/>
  <c r="B95" i="22"/>
  <c r="AF95" i="22" s="1"/>
  <c r="E95" i="22"/>
  <c r="F95" i="22"/>
  <c r="H95" i="22"/>
  <c r="M95" i="22"/>
  <c r="N95" i="22"/>
  <c r="O95" i="22"/>
  <c r="P95" i="22"/>
  <c r="Q95" i="22"/>
  <c r="R95" i="22"/>
  <c r="S95" i="22"/>
  <c r="T95" i="22"/>
  <c r="U95" i="22"/>
  <c r="V95" i="22"/>
  <c r="W95" i="22"/>
  <c r="X95" i="22"/>
  <c r="B96" i="22"/>
  <c r="E96" i="22"/>
  <c r="F96" i="22"/>
  <c r="H96" i="22"/>
  <c r="M96" i="22"/>
  <c r="N96" i="22"/>
  <c r="O96" i="22"/>
  <c r="P96" i="22"/>
  <c r="Q96" i="22"/>
  <c r="R96" i="22"/>
  <c r="S96" i="22"/>
  <c r="T96" i="22"/>
  <c r="U96" i="22"/>
  <c r="V96" i="22"/>
  <c r="W96" i="22"/>
  <c r="X96" i="22"/>
  <c r="B97" i="22"/>
  <c r="AF97" i="22" s="1"/>
  <c r="E97" i="22"/>
  <c r="F97" i="22"/>
  <c r="H97" i="22"/>
  <c r="M97" i="22"/>
  <c r="N97" i="22"/>
  <c r="O97" i="22"/>
  <c r="P97" i="22"/>
  <c r="Q97" i="22"/>
  <c r="R97" i="22"/>
  <c r="S97" i="22"/>
  <c r="T97" i="22"/>
  <c r="U97" i="22"/>
  <c r="V97" i="22"/>
  <c r="W97" i="22"/>
  <c r="X97" i="22"/>
  <c r="B98" i="22"/>
  <c r="AF98" i="22" s="1"/>
  <c r="E98" i="22"/>
  <c r="F98" i="22"/>
  <c r="H98" i="22"/>
  <c r="M98" i="22"/>
  <c r="N98" i="22"/>
  <c r="O98" i="22"/>
  <c r="P98" i="22"/>
  <c r="Q98" i="22"/>
  <c r="R98" i="22"/>
  <c r="S98" i="22"/>
  <c r="T98" i="22"/>
  <c r="U98" i="22"/>
  <c r="V98" i="22"/>
  <c r="W98" i="22"/>
  <c r="X98" i="22"/>
  <c r="B99" i="22"/>
  <c r="AF99" i="22" s="1"/>
  <c r="E99" i="22"/>
  <c r="F99" i="22"/>
  <c r="H99" i="22"/>
  <c r="M99" i="22"/>
  <c r="N99" i="22"/>
  <c r="O99" i="22"/>
  <c r="P99" i="22"/>
  <c r="Q99" i="22"/>
  <c r="R99" i="22"/>
  <c r="S99" i="22"/>
  <c r="T99" i="22"/>
  <c r="U99" i="22"/>
  <c r="V99" i="22"/>
  <c r="W99" i="22"/>
  <c r="X99" i="22"/>
  <c r="B100" i="22"/>
  <c r="E100" i="22"/>
  <c r="F100" i="22"/>
  <c r="H100" i="22"/>
  <c r="M100" i="22"/>
  <c r="N100" i="22"/>
  <c r="O100" i="22"/>
  <c r="P100" i="22"/>
  <c r="Q100" i="22"/>
  <c r="R100" i="22"/>
  <c r="S100" i="22"/>
  <c r="T100" i="22"/>
  <c r="U100" i="22"/>
  <c r="V100" i="22"/>
  <c r="W100" i="22"/>
  <c r="X100" i="22"/>
  <c r="B101" i="22"/>
  <c r="AF101" i="22" s="1"/>
  <c r="E101" i="22"/>
  <c r="F101" i="22"/>
  <c r="H101" i="22"/>
  <c r="M101" i="22"/>
  <c r="N101" i="22"/>
  <c r="O101" i="22"/>
  <c r="P101" i="22"/>
  <c r="Q101" i="22"/>
  <c r="R101" i="22"/>
  <c r="S101" i="22"/>
  <c r="T101" i="22"/>
  <c r="U101" i="22"/>
  <c r="V101" i="22"/>
  <c r="W101" i="22"/>
  <c r="X101" i="22"/>
  <c r="B102" i="22"/>
  <c r="AF102" i="22" s="1"/>
  <c r="E102" i="22"/>
  <c r="F102" i="22"/>
  <c r="H102" i="22"/>
  <c r="M102" i="22"/>
  <c r="N102" i="22"/>
  <c r="O102" i="22"/>
  <c r="P102" i="22"/>
  <c r="Q102" i="22"/>
  <c r="R102" i="22"/>
  <c r="S102" i="22"/>
  <c r="T102" i="22"/>
  <c r="U102" i="22"/>
  <c r="V102" i="22"/>
  <c r="W102" i="22"/>
  <c r="X102" i="22"/>
  <c r="B103" i="22"/>
  <c r="AF103" i="22" s="1"/>
  <c r="E103" i="22"/>
  <c r="F103" i="22"/>
  <c r="H103" i="22"/>
  <c r="M103" i="22"/>
  <c r="N103" i="22"/>
  <c r="O103" i="22"/>
  <c r="P103" i="22"/>
  <c r="Q103" i="22"/>
  <c r="R103" i="22"/>
  <c r="S103" i="22"/>
  <c r="T103" i="22"/>
  <c r="U103" i="22"/>
  <c r="V103" i="22"/>
  <c r="W103" i="22"/>
  <c r="X103" i="22"/>
  <c r="B104" i="22"/>
  <c r="E104" i="22"/>
  <c r="F104" i="22"/>
  <c r="H104" i="22"/>
  <c r="M104" i="22"/>
  <c r="N104" i="22"/>
  <c r="O104" i="22"/>
  <c r="P104" i="22"/>
  <c r="Q104" i="22"/>
  <c r="R104" i="22"/>
  <c r="S104" i="22"/>
  <c r="T104" i="22"/>
  <c r="U104" i="22"/>
  <c r="V104" i="22"/>
  <c r="W104" i="22"/>
  <c r="X104" i="22"/>
  <c r="B105" i="22"/>
  <c r="AF105" i="22" s="1"/>
  <c r="E105" i="22"/>
  <c r="F105" i="22"/>
  <c r="H105" i="22"/>
  <c r="M105" i="22"/>
  <c r="N105" i="22"/>
  <c r="O105" i="22"/>
  <c r="P105" i="22"/>
  <c r="Q105" i="22"/>
  <c r="R105" i="22"/>
  <c r="S105" i="22"/>
  <c r="T105" i="22"/>
  <c r="U105" i="22"/>
  <c r="V105" i="22"/>
  <c r="W105" i="22"/>
  <c r="X105" i="22"/>
  <c r="B106" i="22"/>
  <c r="AF106" i="22" s="1"/>
  <c r="E106" i="22"/>
  <c r="F106" i="22"/>
  <c r="H106" i="22"/>
  <c r="M106" i="22"/>
  <c r="N106" i="22"/>
  <c r="O106" i="22"/>
  <c r="P106" i="22"/>
  <c r="Q106" i="22"/>
  <c r="R106" i="22"/>
  <c r="S106" i="22"/>
  <c r="T106" i="22"/>
  <c r="U106" i="22"/>
  <c r="V106" i="22"/>
  <c r="W106" i="22"/>
  <c r="X106" i="22"/>
  <c r="F107" i="22"/>
  <c r="M107" i="22"/>
  <c r="N107" i="22"/>
  <c r="O107" i="22"/>
  <c r="P107" i="22"/>
  <c r="Q107" i="22"/>
  <c r="R107" i="22"/>
  <c r="S107" i="22"/>
  <c r="T107" i="22"/>
  <c r="U107" i="22"/>
  <c r="V107" i="22"/>
  <c r="W107" i="22"/>
  <c r="X107" i="22"/>
  <c r="F109" i="22"/>
  <c r="M109" i="22"/>
  <c r="N109" i="22"/>
  <c r="O109" i="22"/>
  <c r="P109" i="22"/>
  <c r="Q109" i="22"/>
  <c r="R109" i="22"/>
  <c r="S109" i="22"/>
  <c r="T109" i="22"/>
  <c r="U109" i="22"/>
  <c r="V109" i="22"/>
  <c r="W109" i="22"/>
  <c r="X109" i="22"/>
  <c r="B110" i="22"/>
  <c r="AF110" i="22" s="1"/>
  <c r="E110" i="22"/>
  <c r="F110" i="22"/>
  <c r="H110" i="22"/>
  <c r="M110" i="22"/>
  <c r="N110" i="22"/>
  <c r="O110" i="22"/>
  <c r="P110" i="22"/>
  <c r="Q110" i="22"/>
  <c r="R110" i="22"/>
  <c r="S110" i="22"/>
  <c r="T110" i="22"/>
  <c r="U110" i="22"/>
  <c r="V110" i="22"/>
  <c r="W110" i="22"/>
  <c r="X110" i="22"/>
  <c r="F111" i="22"/>
  <c r="M111" i="22"/>
  <c r="N111" i="22"/>
  <c r="O111" i="22"/>
  <c r="P111" i="22"/>
  <c r="Q111" i="22"/>
  <c r="R111" i="22"/>
  <c r="S111" i="22"/>
  <c r="T111" i="22"/>
  <c r="U111" i="22"/>
  <c r="V111" i="22"/>
  <c r="W111" i="22"/>
  <c r="X111" i="22"/>
  <c r="B112" i="22"/>
  <c r="E112" i="22"/>
  <c r="F112" i="22"/>
  <c r="H112" i="22"/>
  <c r="M112" i="22"/>
  <c r="N112" i="22"/>
  <c r="O112" i="22"/>
  <c r="P112" i="22"/>
  <c r="Q112" i="22"/>
  <c r="R112" i="22"/>
  <c r="S112" i="22"/>
  <c r="T112" i="22"/>
  <c r="U112" i="22"/>
  <c r="V112" i="22"/>
  <c r="W112" i="22"/>
  <c r="X112" i="22"/>
  <c r="B113" i="22"/>
  <c r="AF113" i="22" s="1"/>
  <c r="E113" i="22"/>
  <c r="F113" i="22"/>
  <c r="H113" i="22"/>
  <c r="M113" i="22"/>
  <c r="N113" i="22"/>
  <c r="O113" i="22"/>
  <c r="P113" i="22"/>
  <c r="Q113" i="22"/>
  <c r="R113" i="22"/>
  <c r="S113" i="22"/>
  <c r="T113" i="22"/>
  <c r="U113" i="22"/>
  <c r="V113" i="22"/>
  <c r="W113" i="22"/>
  <c r="X113" i="22"/>
  <c r="B114" i="22"/>
  <c r="AF114" i="22" s="1"/>
  <c r="E114" i="22"/>
  <c r="F114" i="22"/>
  <c r="H114" i="22"/>
  <c r="M114" i="22"/>
  <c r="N114" i="22"/>
  <c r="O114" i="22"/>
  <c r="P114" i="22"/>
  <c r="Q114" i="22"/>
  <c r="R114" i="22"/>
  <c r="S114" i="22"/>
  <c r="T114" i="22"/>
  <c r="U114" i="22"/>
  <c r="V114" i="22"/>
  <c r="W114" i="22"/>
  <c r="X114" i="22"/>
  <c r="B115" i="22"/>
  <c r="AF115" i="22" s="1"/>
  <c r="E115" i="22"/>
  <c r="F115" i="22"/>
  <c r="H115" i="22"/>
  <c r="M115" i="22"/>
  <c r="N115" i="22"/>
  <c r="O115" i="22"/>
  <c r="P115" i="22"/>
  <c r="Q115" i="22"/>
  <c r="R115" i="22"/>
  <c r="S115" i="22"/>
  <c r="T115" i="22"/>
  <c r="U115" i="22"/>
  <c r="V115" i="22"/>
  <c r="W115" i="22"/>
  <c r="X115" i="22"/>
  <c r="B116" i="22"/>
  <c r="E116" i="22"/>
  <c r="F116" i="22"/>
  <c r="H116" i="22"/>
  <c r="M116" i="22"/>
  <c r="N116" i="22"/>
  <c r="O116" i="22"/>
  <c r="P116" i="22"/>
  <c r="Q116" i="22"/>
  <c r="R116" i="22"/>
  <c r="S116" i="22"/>
  <c r="T116" i="22"/>
  <c r="U116" i="22"/>
  <c r="V116" i="22"/>
  <c r="W116" i="22"/>
  <c r="X116" i="22"/>
  <c r="B117" i="22"/>
  <c r="AF117" i="22" s="1"/>
  <c r="E117" i="22"/>
  <c r="F117" i="22"/>
  <c r="H117" i="22"/>
  <c r="M117" i="22"/>
  <c r="N117" i="22"/>
  <c r="O117" i="22"/>
  <c r="P117" i="22"/>
  <c r="Q117" i="22"/>
  <c r="R117" i="22"/>
  <c r="S117" i="22"/>
  <c r="T117" i="22"/>
  <c r="U117" i="22"/>
  <c r="V117" i="22"/>
  <c r="W117" i="22"/>
  <c r="X117" i="22"/>
  <c r="B118" i="22"/>
  <c r="AF118" i="22" s="1"/>
  <c r="E118" i="22"/>
  <c r="F118" i="22"/>
  <c r="H118" i="22"/>
  <c r="M118" i="22"/>
  <c r="N118" i="22"/>
  <c r="O118" i="22"/>
  <c r="P118" i="22"/>
  <c r="Q118" i="22"/>
  <c r="R118" i="22"/>
  <c r="S118" i="22"/>
  <c r="T118" i="22"/>
  <c r="U118" i="22"/>
  <c r="V118" i="22"/>
  <c r="W118" i="22"/>
  <c r="X118" i="22"/>
  <c r="B119" i="22"/>
  <c r="AF119" i="22" s="1"/>
  <c r="E119" i="22"/>
  <c r="F119" i="22"/>
  <c r="H119" i="22"/>
  <c r="M119" i="22"/>
  <c r="N119" i="22"/>
  <c r="O119" i="22"/>
  <c r="P119" i="22"/>
  <c r="Q119" i="22"/>
  <c r="R119" i="22"/>
  <c r="S119" i="22"/>
  <c r="T119" i="22"/>
  <c r="U119" i="22"/>
  <c r="V119" i="22"/>
  <c r="W119" i="22"/>
  <c r="X119" i="22"/>
  <c r="B120" i="22"/>
  <c r="E120" i="22"/>
  <c r="F120" i="22"/>
  <c r="H120" i="22"/>
  <c r="M120" i="22"/>
  <c r="N120" i="22"/>
  <c r="O120" i="22"/>
  <c r="P120" i="22"/>
  <c r="Q120" i="22"/>
  <c r="R120" i="22"/>
  <c r="S120" i="22"/>
  <c r="T120" i="22"/>
  <c r="U120" i="22"/>
  <c r="V120" i="22"/>
  <c r="W120" i="22"/>
  <c r="X120" i="22"/>
  <c r="B121" i="22"/>
  <c r="AF121" i="22" s="1"/>
  <c r="E121" i="22"/>
  <c r="F121" i="22"/>
  <c r="H121" i="22"/>
  <c r="M121" i="22"/>
  <c r="N121" i="22"/>
  <c r="O121" i="22"/>
  <c r="P121" i="22"/>
  <c r="Q121" i="22"/>
  <c r="R121" i="22"/>
  <c r="S121" i="22"/>
  <c r="T121" i="22"/>
  <c r="U121" i="22"/>
  <c r="V121" i="22"/>
  <c r="W121" i="22"/>
  <c r="X121" i="22"/>
  <c r="B122" i="22"/>
  <c r="AF122" i="22" s="1"/>
  <c r="E122" i="22"/>
  <c r="F122" i="22"/>
  <c r="H122" i="22"/>
  <c r="M122" i="22"/>
  <c r="N122" i="22"/>
  <c r="O122" i="22"/>
  <c r="P122" i="22"/>
  <c r="Q122" i="22"/>
  <c r="R122" i="22"/>
  <c r="S122" i="22"/>
  <c r="T122" i="22"/>
  <c r="U122" i="22"/>
  <c r="V122" i="22"/>
  <c r="W122" i="22"/>
  <c r="X122" i="22"/>
  <c r="B123" i="22"/>
  <c r="AF123" i="22" s="1"/>
  <c r="E123" i="22"/>
  <c r="F123" i="22"/>
  <c r="H123" i="22"/>
  <c r="M123" i="22"/>
  <c r="N123" i="22"/>
  <c r="O123" i="22"/>
  <c r="P123" i="22"/>
  <c r="Q123" i="22"/>
  <c r="R123" i="22"/>
  <c r="S123" i="22"/>
  <c r="T123" i="22"/>
  <c r="U123" i="22"/>
  <c r="V123" i="22"/>
  <c r="W123" i="22"/>
  <c r="X123" i="22"/>
  <c r="B124" i="22"/>
  <c r="E124" i="22"/>
  <c r="F124" i="22"/>
  <c r="H124" i="22"/>
  <c r="M124" i="22"/>
  <c r="N124" i="22"/>
  <c r="O124" i="22"/>
  <c r="P124" i="22"/>
  <c r="Q124" i="22"/>
  <c r="R124" i="22"/>
  <c r="S124" i="22"/>
  <c r="T124" i="22"/>
  <c r="U124" i="22"/>
  <c r="V124" i="22"/>
  <c r="W124" i="22"/>
  <c r="X124" i="22"/>
  <c r="B125" i="22"/>
  <c r="AF125" i="22" s="1"/>
  <c r="E125" i="22"/>
  <c r="F125" i="22"/>
  <c r="H125" i="22"/>
  <c r="M125" i="22"/>
  <c r="N125" i="22"/>
  <c r="O125" i="22"/>
  <c r="P125" i="22"/>
  <c r="Q125" i="22"/>
  <c r="R125" i="22"/>
  <c r="S125" i="22"/>
  <c r="T125" i="22"/>
  <c r="U125" i="22"/>
  <c r="V125" i="22"/>
  <c r="W125" i="22"/>
  <c r="X125" i="22"/>
  <c r="B126" i="22"/>
  <c r="AF126" i="22" s="1"/>
  <c r="E126" i="22"/>
  <c r="F126" i="22"/>
  <c r="H126" i="22"/>
  <c r="M126" i="22"/>
  <c r="N126" i="22"/>
  <c r="O126" i="22"/>
  <c r="P126" i="22"/>
  <c r="Q126" i="22"/>
  <c r="R126" i="22"/>
  <c r="S126" i="22"/>
  <c r="T126" i="22"/>
  <c r="U126" i="22"/>
  <c r="V126" i="22"/>
  <c r="W126" i="22"/>
  <c r="X126" i="22"/>
  <c r="B127" i="22"/>
  <c r="AF127" i="22" s="1"/>
  <c r="E127" i="22"/>
  <c r="F127" i="22"/>
  <c r="H127" i="22"/>
  <c r="M127" i="22"/>
  <c r="N127" i="22"/>
  <c r="O127" i="22"/>
  <c r="P127" i="22"/>
  <c r="Q127" i="22"/>
  <c r="R127" i="22"/>
  <c r="S127" i="22"/>
  <c r="T127" i="22"/>
  <c r="U127" i="22"/>
  <c r="V127" i="22"/>
  <c r="W127" i="22"/>
  <c r="X127" i="22"/>
  <c r="B128" i="22"/>
  <c r="E128" i="22"/>
  <c r="F128" i="22"/>
  <c r="H128" i="22"/>
  <c r="M128" i="22"/>
  <c r="N128" i="22"/>
  <c r="O128" i="22"/>
  <c r="P128" i="22"/>
  <c r="Q128" i="22"/>
  <c r="R128" i="22"/>
  <c r="S128" i="22"/>
  <c r="T128" i="22"/>
  <c r="U128" i="22"/>
  <c r="V128" i="22"/>
  <c r="W128" i="22"/>
  <c r="X128" i="22"/>
  <c r="B129" i="22"/>
  <c r="AF129" i="22" s="1"/>
  <c r="E129" i="22"/>
  <c r="F129" i="22"/>
  <c r="H129" i="22"/>
  <c r="M129" i="22"/>
  <c r="N129" i="22"/>
  <c r="O129" i="22"/>
  <c r="P129" i="22"/>
  <c r="Q129" i="22"/>
  <c r="R129" i="22"/>
  <c r="S129" i="22"/>
  <c r="T129" i="22"/>
  <c r="U129" i="22"/>
  <c r="V129" i="22"/>
  <c r="W129" i="22"/>
  <c r="X129" i="22"/>
  <c r="B130" i="22"/>
  <c r="AF130" i="22" s="1"/>
  <c r="E130" i="22"/>
  <c r="F130" i="22"/>
  <c r="H130" i="22"/>
  <c r="M130" i="22"/>
  <c r="N130" i="22"/>
  <c r="O130" i="22"/>
  <c r="P130" i="22"/>
  <c r="Q130" i="22"/>
  <c r="R130" i="22"/>
  <c r="S130" i="22"/>
  <c r="T130" i="22"/>
  <c r="U130" i="22"/>
  <c r="V130" i="22"/>
  <c r="W130" i="22"/>
  <c r="X130" i="22"/>
  <c r="B131" i="22"/>
  <c r="AF131" i="22" s="1"/>
  <c r="E131" i="22"/>
  <c r="F131" i="22"/>
  <c r="H131" i="22"/>
  <c r="M131" i="22"/>
  <c r="N131" i="22"/>
  <c r="O131" i="22"/>
  <c r="P131" i="22"/>
  <c r="Q131" i="22"/>
  <c r="R131" i="22"/>
  <c r="S131" i="22"/>
  <c r="T131" i="22"/>
  <c r="U131" i="22"/>
  <c r="V131" i="22"/>
  <c r="W131" i="22"/>
  <c r="X131" i="22"/>
  <c r="B132" i="22"/>
  <c r="E132" i="22"/>
  <c r="F132" i="22"/>
  <c r="H132" i="22"/>
  <c r="M132" i="22"/>
  <c r="N132" i="22"/>
  <c r="O132" i="22"/>
  <c r="P132" i="22"/>
  <c r="Q132" i="22"/>
  <c r="R132" i="22"/>
  <c r="S132" i="22"/>
  <c r="T132" i="22"/>
  <c r="U132" i="22"/>
  <c r="V132" i="22"/>
  <c r="W132" i="22"/>
  <c r="X132" i="22"/>
  <c r="B133" i="22"/>
  <c r="AF133" i="22" s="1"/>
  <c r="E133" i="22"/>
  <c r="F133" i="22"/>
  <c r="H133" i="22"/>
  <c r="M133" i="22"/>
  <c r="N133" i="22"/>
  <c r="O133" i="22"/>
  <c r="P133" i="22"/>
  <c r="Q133" i="22"/>
  <c r="R133" i="22"/>
  <c r="S133" i="22"/>
  <c r="T133" i="22"/>
  <c r="U133" i="22"/>
  <c r="V133" i="22"/>
  <c r="W133" i="22"/>
  <c r="X133" i="22"/>
  <c r="F4" i="22"/>
  <c r="M4" i="22"/>
  <c r="N4" i="22"/>
  <c r="O4" i="22"/>
  <c r="P4" i="22"/>
  <c r="Q4" i="22"/>
  <c r="R4" i="22"/>
  <c r="S4" i="22"/>
  <c r="T4" i="22"/>
  <c r="U4" i="22"/>
  <c r="V4" i="22"/>
  <c r="W4" i="22"/>
  <c r="X4" i="22"/>
  <c r="B5" i="22"/>
  <c r="AF5" i="22" s="1"/>
  <c r="E5" i="22"/>
  <c r="F5" i="22"/>
  <c r="H5" i="22"/>
  <c r="M5" i="22"/>
  <c r="N5" i="22"/>
  <c r="O5" i="22"/>
  <c r="P5" i="22"/>
  <c r="Q5" i="22"/>
  <c r="R5" i="22"/>
  <c r="S5" i="22"/>
  <c r="T5" i="22"/>
  <c r="U5" i="22"/>
  <c r="V5" i="22"/>
  <c r="W5" i="22"/>
  <c r="X5" i="22"/>
  <c r="B6" i="22"/>
  <c r="E6" i="22"/>
  <c r="F6" i="22"/>
  <c r="H6" i="22"/>
  <c r="M6" i="22"/>
  <c r="N6" i="22"/>
  <c r="O6" i="22"/>
  <c r="P6" i="22"/>
  <c r="Q6" i="22"/>
  <c r="R6" i="22"/>
  <c r="S6" i="22"/>
  <c r="T6" i="22"/>
  <c r="U6" i="22"/>
  <c r="V6" i="22"/>
  <c r="W6" i="22"/>
  <c r="X6" i="22"/>
  <c r="B7" i="22"/>
  <c r="AF7" i="22" s="1"/>
  <c r="E7" i="22"/>
  <c r="F7" i="22"/>
  <c r="H7" i="22"/>
  <c r="M7" i="22"/>
  <c r="N7" i="22"/>
  <c r="O7" i="22"/>
  <c r="P7" i="22"/>
  <c r="Q7" i="22"/>
  <c r="R7" i="22"/>
  <c r="S7" i="22"/>
  <c r="T7" i="22"/>
  <c r="U7" i="22"/>
  <c r="V7" i="22"/>
  <c r="W7" i="22"/>
  <c r="X7" i="22"/>
  <c r="B8" i="22"/>
  <c r="E8" i="22"/>
  <c r="F8" i="22"/>
  <c r="H8" i="22"/>
  <c r="M8" i="22"/>
  <c r="N8" i="22"/>
  <c r="O8" i="22"/>
  <c r="P8" i="22"/>
  <c r="Q8" i="22"/>
  <c r="R8" i="22"/>
  <c r="S8" i="22"/>
  <c r="T8" i="22"/>
  <c r="U8" i="22"/>
  <c r="V8" i="22"/>
  <c r="W8" i="22"/>
  <c r="X8" i="22"/>
  <c r="B9" i="22"/>
  <c r="AF9" i="22" s="1"/>
  <c r="E9" i="22"/>
  <c r="F9" i="22"/>
  <c r="H9" i="22"/>
  <c r="M9" i="22"/>
  <c r="N9" i="22"/>
  <c r="O9" i="22"/>
  <c r="P9" i="22"/>
  <c r="Q9" i="22"/>
  <c r="R9" i="22"/>
  <c r="S9" i="22"/>
  <c r="T9" i="22"/>
  <c r="U9" i="22"/>
  <c r="V9" i="22"/>
  <c r="W9" i="22"/>
  <c r="X9" i="22"/>
  <c r="B10" i="22"/>
  <c r="AF10" i="22" s="1"/>
  <c r="E10" i="22"/>
  <c r="F10" i="22"/>
  <c r="H10" i="22"/>
  <c r="M10" i="22"/>
  <c r="N10" i="22"/>
  <c r="O10" i="22"/>
  <c r="P10" i="22"/>
  <c r="Q10" i="22"/>
  <c r="R10" i="22"/>
  <c r="S10" i="22"/>
  <c r="T10" i="22"/>
  <c r="U10" i="22"/>
  <c r="V10" i="22"/>
  <c r="W10" i="22"/>
  <c r="X10" i="22"/>
  <c r="B11" i="22"/>
  <c r="AF11" i="22" s="1"/>
  <c r="E11" i="22"/>
  <c r="F11" i="22"/>
  <c r="H11" i="22"/>
  <c r="M11" i="22"/>
  <c r="N11" i="22"/>
  <c r="O11" i="22"/>
  <c r="P11" i="22"/>
  <c r="Q11" i="22"/>
  <c r="R11" i="22"/>
  <c r="S11" i="22"/>
  <c r="T11" i="22"/>
  <c r="U11" i="22"/>
  <c r="V11" i="22"/>
  <c r="W11" i="22"/>
  <c r="X11" i="22"/>
  <c r="B12" i="22"/>
  <c r="E12" i="22"/>
  <c r="F12" i="22"/>
  <c r="H12" i="22"/>
  <c r="M12" i="22"/>
  <c r="N12" i="22"/>
  <c r="O12" i="22"/>
  <c r="P12" i="22"/>
  <c r="Q12" i="22"/>
  <c r="R12" i="22"/>
  <c r="S12" i="22"/>
  <c r="T12" i="22"/>
  <c r="U12" i="22"/>
  <c r="V12" i="22"/>
  <c r="W12" i="22"/>
  <c r="X12" i="22"/>
  <c r="B13" i="22"/>
  <c r="AF13" i="22" s="1"/>
  <c r="E13" i="22"/>
  <c r="F13" i="22"/>
  <c r="H13" i="22"/>
  <c r="M13" i="22"/>
  <c r="N13" i="22"/>
  <c r="O13" i="22"/>
  <c r="P13" i="22"/>
  <c r="Q13" i="22"/>
  <c r="R13" i="22"/>
  <c r="S13" i="22"/>
  <c r="T13" i="22"/>
  <c r="U13" i="22"/>
  <c r="V13" i="22"/>
  <c r="W13" i="22"/>
  <c r="X13" i="22"/>
  <c r="B14" i="22"/>
  <c r="AF14" i="22" s="1"/>
  <c r="E14" i="22"/>
  <c r="F14" i="22"/>
  <c r="H14" i="22"/>
  <c r="M14" i="22"/>
  <c r="N14" i="22"/>
  <c r="O14" i="22"/>
  <c r="P14" i="22"/>
  <c r="Q14" i="22"/>
  <c r="R14" i="22"/>
  <c r="S14" i="22"/>
  <c r="T14" i="22"/>
  <c r="U14" i="22"/>
  <c r="V14" i="22"/>
  <c r="W14" i="22"/>
  <c r="X14" i="22"/>
  <c r="B15" i="22"/>
  <c r="AF15" i="22" s="1"/>
  <c r="E15" i="22"/>
  <c r="F15" i="22"/>
  <c r="H15" i="22"/>
  <c r="M15" i="22"/>
  <c r="N15" i="22"/>
  <c r="O15" i="22"/>
  <c r="P15" i="22"/>
  <c r="Q15" i="22"/>
  <c r="R15" i="22"/>
  <c r="S15" i="22"/>
  <c r="T15" i="22"/>
  <c r="U15" i="22"/>
  <c r="V15" i="22"/>
  <c r="W15" i="22"/>
  <c r="X15" i="22"/>
  <c r="B16" i="22"/>
  <c r="E16" i="22"/>
  <c r="F16" i="22"/>
  <c r="H16" i="22"/>
  <c r="M16" i="22"/>
  <c r="N16" i="22"/>
  <c r="O16" i="22"/>
  <c r="P16" i="22"/>
  <c r="Q16" i="22"/>
  <c r="R16" i="22"/>
  <c r="S16" i="22"/>
  <c r="T16" i="22"/>
  <c r="U16" i="22"/>
  <c r="V16" i="22"/>
  <c r="W16" i="22"/>
  <c r="X16" i="22"/>
  <c r="B17" i="22"/>
  <c r="AF17" i="22" s="1"/>
  <c r="E17" i="22"/>
  <c r="F17" i="22"/>
  <c r="H17" i="22"/>
  <c r="M17" i="22"/>
  <c r="N17" i="22"/>
  <c r="O17" i="22"/>
  <c r="P17" i="22"/>
  <c r="Q17" i="22"/>
  <c r="R17" i="22"/>
  <c r="S17" i="22"/>
  <c r="T17" i="22"/>
  <c r="U17" i="22"/>
  <c r="V17" i="22"/>
  <c r="W17" i="22"/>
  <c r="X17" i="22"/>
  <c r="B18" i="22"/>
  <c r="AF18" i="22" s="1"/>
  <c r="E18" i="22"/>
  <c r="F18" i="22"/>
  <c r="H18" i="22"/>
  <c r="M18" i="22"/>
  <c r="N18" i="22"/>
  <c r="O18" i="22"/>
  <c r="P18" i="22"/>
  <c r="Q18" i="22"/>
  <c r="R18" i="22"/>
  <c r="S18" i="22"/>
  <c r="T18" i="22"/>
  <c r="U18" i="22"/>
  <c r="V18" i="22"/>
  <c r="W18" i="22"/>
  <c r="X18" i="22"/>
  <c r="B19" i="22"/>
  <c r="AF19" i="22" s="1"/>
  <c r="E19" i="22"/>
  <c r="F19" i="22"/>
  <c r="H19" i="22"/>
  <c r="M19" i="22"/>
  <c r="N19" i="22"/>
  <c r="O19" i="22"/>
  <c r="P19" i="22"/>
  <c r="Q19" i="22"/>
  <c r="R19" i="22"/>
  <c r="S19" i="22"/>
  <c r="T19" i="22"/>
  <c r="U19" i="22"/>
  <c r="V19" i="22"/>
  <c r="W19" i="22"/>
  <c r="X19" i="22"/>
  <c r="B20" i="22"/>
  <c r="E20" i="22"/>
  <c r="F20" i="22"/>
  <c r="H20" i="22"/>
  <c r="M20" i="22"/>
  <c r="N20" i="22"/>
  <c r="O20" i="22"/>
  <c r="P20" i="22"/>
  <c r="Q20" i="22"/>
  <c r="R20" i="22"/>
  <c r="S20" i="22"/>
  <c r="T20" i="22"/>
  <c r="U20" i="22"/>
  <c r="V20" i="22"/>
  <c r="W20" i="22"/>
  <c r="X20" i="22"/>
  <c r="B21" i="22"/>
  <c r="AF21" i="22" s="1"/>
  <c r="E21" i="22"/>
  <c r="F21" i="22"/>
  <c r="H21" i="22"/>
  <c r="M21" i="22"/>
  <c r="N21" i="22"/>
  <c r="O21" i="22"/>
  <c r="P21" i="22"/>
  <c r="Q21" i="22"/>
  <c r="R21" i="22"/>
  <c r="S21" i="22"/>
  <c r="T21" i="22"/>
  <c r="U21" i="22"/>
  <c r="V21" i="22"/>
  <c r="W21" i="22"/>
  <c r="X21" i="22"/>
  <c r="B22" i="22"/>
  <c r="AF22" i="22" s="1"/>
  <c r="E22" i="22"/>
  <c r="F22" i="22"/>
  <c r="H22" i="22"/>
  <c r="M22" i="22"/>
  <c r="N22" i="22"/>
  <c r="O22" i="22"/>
  <c r="P22" i="22"/>
  <c r="Q22" i="22"/>
  <c r="R22" i="22"/>
  <c r="S22" i="22"/>
  <c r="T22" i="22"/>
  <c r="U22" i="22"/>
  <c r="V22" i="22"/>
  <c r="W22" i="22"/>
  <c r="X22" i="22"/>
  <c r="B23" i="22"/>
  <c r="AF23" i="22" s="1"/>
  <c r="E23" i="22"/>
  <c r="F23" i="22"/>
  <c r="H23" i="22"/>
  <c r="M23" i="22"/>
  <c r="N23" i="22"/>
  <c r="O23" i="22"/>
  <c r="P23" i="22"/>
  <c r="Q23" i="22"/>
  <c r="R23" i="22"/>
  <c r="S23" i="22"/>
  <c r="T23" i="22"/>
  <c r="U23" i="22"/>
  <c r="V23" i="22"/>
  <c r="W23" i="22"/>
  <c r="X23" i="22"/>
  <c r="B24" i="22"/>
  <c r="E24" i="22"/>
  <c r="F24" i="22"/>
  <c r="H24" i="22"/>
  <c r="M24" i="22"/>
  <c r="N24" i="22"/>
  <c r="O24" i="22"/>
  <c r="P24" i="22"/>
  <c r="Q24" i="22"/>
  <c r="R24" i="22"/>
  <c r="S24" i="22"/>
  <c r="T24" i="22"/>
  <c r="U24" i="22"/>
  <c r="V24" i="22"/>
  <c r="W24" i="22"/>
  <c r="X24" i="22"/>
  <c r="B25" i="22"/>
  <c r="AF25" i="22" s="1"/>
  <c r="E25" i="22"/>
  <c r="F25" i="22"/>
  <c r="H25" i="22"/>
  <c r="M25" i="22"/>
  <c r="N25" i="22"/>
  <c r="O25" i="22"/>
  <c r="P25" i="22"/>
  <c r="Q25" i="22"/>
  <c r="R25" i="22"/>
  <c r="S25" i="22"/>
  <c r="T25" i="22"/>
  <c r="U25" i="22"/>
  <c r="V25" i="22"/>
  <c r="W25" i="22"/>
  <c r="X25" i="22"/>
  <c r="B26" i="22"/>
  <c r="AF26" i="22" s="1"/>
  <c r="E26" i="22"/>
  <c r="F26" i="22"/>
  <c r="H26" i="22"/>
  <c r="M26" i="22"/>
  <c r="N26" i="22"/>
  <c r="O26" i="22"/>
  <c r="P26" i="22"/>
  <c r="Q26" i="22"/>
  <c r="R26" i="22"/>
  <c r="S26" i="22"/>
  <c r="T26" i="22"/>
  <c r="U26" i="22"/>
  <c r="V26" i="22"/>
  <c r="W26" i="22"/>
  <c r="X26" i="22"/>
  <c r="B27" i="22"/>
  <c r="AF27" i="22" s="1"/>
  <c r="E27" i="22"/>
  <c r="F27" i="22"/>
  <c r="H27" i="22"/>
  <c r="M27" i="22"/>
  <c r="N27" i="22"/>
  <c r="O27" i="22"/>
  <c r="P27" i="22"/>
  <c r="Q27" i="22"/>
  <c r="R27" i="22"/>
  <c r="S27" i="22"/>
  <c r="T27" i="22"/>
  <c r="U27" i="22"/>
  <c r="V27" i="22"/>
  <c r="W27" i="22"/>
  <c r="X27" i="22"/>
  <c r="B28" i="22"/>
  <c r="E28" i="22"/>
  <c r="F28" i="22"/>
  <c r="H28" i="22"/>
  <c r="M28" i="22"/>
  <c r="N28" i="22"/>
  <c r="O28" i="22"/>
  <c r="P28" i="22"/>
  <c r="Q28" i="22"/>
  <c r="R28" i="22"/>
  <c r="S28" i="22"/>
  <c r="T28" i="22"/>
  <c r="U28" i="22"/>
  <c r="V28" i="22"/>
  <c r="W28" i="22"/>
  <c r="X28" i="22"/>
  <c r="B29" i="22"/>
  <c r="AF29" i="22" s="1"/>
  <c r="E29" i="22"/>
  <c r="F29" i="22"/>
  <c r="H29" i="22"/>
  <c r="M29" i="22"/>
  <c r="N29" i="22"/>
  <c r="O29" i="22"/>
  <c r="P29" i="22"/>
  <c r="Q29" i="22"/>
  <c r="R29" i="22"/>
  <c r="S29" i="22"/>
  <c r="T29" i="22"/>
  <c r="U29" i="22"/>
  <c r="V29" i="22"/>
  <c r="W29" i="22"/>
  <c r="X29" i="22"/>
  <c r="B30" i="22"/>
  <c r="AF30" i="22" s="1"/>
  <c r="E30" i="22"/>
  <c r="F30" i="22"/>
  <c r="H30" i="22"/>
  <c r="M30" i="22"/>
  <c r="N30" i="22"/>
  <c r="O30" i="22"/>
  <c r="P30" i="22"/>
  <c r="Q30" i="22"/>
  <c r="R30" i="22"/>
  <c r="S30" i="22"/>
  <c r="T30" i="22"/>
  <c r="U30" i="22"/>
  <c r="V30" i="22"/>
  <c r="W30" i="22"/>
  <c r="X30" i="22"/>
  <c r="B31" i="22"/>
  <c r="AF31" i="22" s="1"/>
  <c r="E31" i="22"/>
  <c r="F31" i="22"/>
  <c r="H31" i="22"/>
  <c r="M31" i="22"/>
  <c r="N31" i="22"/>
  <c r="O31" i="22"/>
  <c r="P31" i="22"/>
  <c r="Q31" i="22"/>
  <c r="R31" i="22"/>
  <c r="S31" i="22"/>
  <c r="T31" i="22"/>
  <c r="U31" i="22"/>
  <c r="V31" i="22"/>
  <c r="W31" i="22"/>
  <c r="X31" i="22"/>
  <c r="B32" i="22"/>
  <c r="E32" i="22"/>
  <c r="F32" i="22"/>
  <c r="H32" i="22"/>
  <c r="M32" i="22"/>
  <c r="N32" i="22"/>
  <c r="O32" i="22"/>
  <c r="P32" i="22"/>
  <c r="Q32" i="22"/>
  <c r="R32" i="22"/>
  <c r="S32" i="22"/>
  <c r="T32" i="22"/>
  <c r="U32" i="22"/>
  <c r="V32" i="22"/>
  <c r="W32" i="22"/>
  <c r="X32" i="22"/>
  <c r="B33" i="22"/>
  <c r="AF33" i="22" s="1"/>
  <c r="E33" i="22"/>
  <c r="F33" i="22"/>
  <c r="H33" i="22"/>
  <c r="M33" i="22"/>
  <c r="N33" i="22"/>
  <c r="O33" i="22"/>
  <c r="P33" i="22"/>
  <c r="Q33" i="22"/>
  <c r="R33" i="22"/>
  <c r="S33" i="22"/>
  <c r="T33" i="22"/>
  <c r="U33" i="22"/>
  <c r="V33" i="22"/>
  <c r="W33" i="22"/>
  <c r="X33" i="22"/>
  <c r="B34" i="22"/>
  <c r="AF34" i="22" s="1"/>
  <c r="E34" i="22"/>
  <c r="F34" i="22"/>
  <c r="H34" i="22"/>
  <c r="M34" i="22"/>
  <c r="N34" i="22"/>
  <c r="O34" i="22"/>
  <c r="P34" i="22"/>
  <c r="Q34" i="22"/>
  <c r="R34" i="22"/>
  <c r="S34" i="22"/>
  <c r="T34" i="22"/>
  <c r="U34" i="22"/>
  <c r="V34" i="22"/>
  <c r="W34" i="22"/>
  <c r="X34" i="22"/>
  <c r="B35" i="22"/>
  <c r="AF35" i="22" s="1"/>
  <c r="E35" i="22"/>
  <c r="F35" i="22"/>
  <c r="H35" i="22"/>
  <c r="M35" i="22"/>
  <c r="N35" i="22"/>
  <c r="O35" i="22"/>
  <c r="P35" i="22"/>
  <c r="Q35" i="22"/>
  <c r="R35" i="22"/>
  <c r="S35" i="22"/>
  <c r="T35" i="22"/>
  <c r="U35" i="22"/>
  <c r="V35" i="22"/>
  <c r="W35" i="22"/>
  <c r="X35" i="22"/>
  <c r="B36" i="22"/>
  <c r="E36" i="22"/>
  <c r="F36" i="22"/>
  <c r="H36" i="22"/>
  <c r="M36" i="22"/>
  <c r="N36" i="22"/>
  <c r="O36" i="22"/>
  <c r="P36" i="22"/>
  <c r="Q36" i="22"/>
  <c r="R36" i="22"/>
  <c r="S36" i="22"/>
  <c r="T36" i="22"/>
  <c r="U36" i="22"/>
  <c r="V36" i="22"/>
  <c r="W36" i="22"/>
  <c r="X36" i="22"/>
  <c r="B37" i="22"/>
  <c r="AF37" i="22" s="1"/>
  <c r="E37" i="22"/>
  <c r="F37" i="22"/>
  <c r="H37" i="22"/>
  <c r="M37" i="22"/>
  <c r="N37" i="22"/>
  <c r="O37" i="22"/>
  <c r="P37" i="22"/>
  <c r="Q37" i="22"/>
  <c r="R37" i="22"/>
  <c r="S37" i="22"/>
  <c r="T37" i="22"/>
  <c r="U37" i="22"/>
  <c r="V37" i="22"/>
  <c r="W37" i="22"/>
  <c r="X37" i="22"/>
  <c r="B38" i="22"/>
  <c r="AF38" i="22" s="1"/>
  <c r="E38" i="22"/>
  <c r="F38" i="22"/>
  <c r="H38" i="22"/>
  <c r="M38" i="22"/>
  <c r="N38" i="22"/>
  <c r="O38" i="22"/>
  <c r="P38" i="22"/>
  <c r="Q38" i="22"/>
  <c r="R38" i="22"/>
  <c r="S38" i="22"/>
  <c r="T38" i="22"/>
  <c r="U38" i="22"/>
  <c r="V38" i="22"/>
  <c r="W38" i="22"/>
  <c r="X38" i="22"/>
  <c r="B39" i="22"/>
  <c r="AF39" i="22" s="1"/>
  <c r="E39" i="22"/>
  <c r="F39" i="22"/>
  <c r="H39" i="22"/>
  <c r="M39" i="22"/>
  <c r="N39" i="22"/>
  <c r="O39" i="22"/>
  <c r="P39" i="22"/>
  <c r="Q39" i="22"/>
  <c r="R39" i="22"/>
  <c r="S39" i="22"/>
  <c r="T39" i="22"/>
  <c r="U39" i="22"/>
  <c r="V39" i="22"/>
  <c r="W39" i="22"/>
  <c r="X39" i="22"/>
  <c r="B40" i="22"/>
  <c r="E40" i="22"/>
  <c r="F40" i="22"/>
  <c r="H40" i="22"/>
  <c r="M40" i="22"/>
  <c r="N40" i="22"/>
  <c r="O40" i="22"/>
  <c r="P40" i="22"/>
  <c r="Q40" i="22"/>
  <c r="R40" i="22"/>
  <c r="S40" i="22"/>
  <c r="T40" i="22"/>
  <c r="U40" i="22"/>
  <c r="V40" i="22"/>
  <c r="W40" i="22"/>
  <c r="X40" i="22"/>
  <c r="B41" i="22"/>
  <c r="AF41" i="22" s="1"/>
  <c r="E41" i="22"/>
  <c r="F41" i="22"/>
  <c r="G41" i="22"/>
  <c r="H41" i="22"/>
  <c r="M41" i="22"/>
  <c r="N41" i="22"/>
  <c r="O41" i="22"/>
  <c r="P41" i="22"/>
  <c r="Q41" i="22"/>
  <c r="R41" i="22"/>
  <c r="S41" i="22"/>
  <c r="T41" i="22"/>
  <c r="U41" i="22"/>
  <c r="V41" i="22"/>
  <c r="W41" i="22"/>
  <c r="X41" i="22"/>
  <c r="B42" i="22"/>
  <c r="AF42" i="22" s="1"/>
  <c r="E42" i="22"/>
  <c r="F42" i="22"/>
  <c r="H42" i="22"/>
  <c r="M42" i="22"/>
  <c r="N42" i="22"/>
  <c r="O42" i="22"/>
  <c r="P42" i="22"/>
  <c r="Q42" i="22"/>
  <c r="R42" i="22"/>
  <c r="S42" i="22"/>
  <c r="T42" i="22"/>
  <c r="U42" i="22"/>
  <c r="V42" i="22"/>
  <c r="W42" i="22"/>
  <c r="X42" i="22"/>
  <c r="B43" i="22"/>
  <c r="AF43" i="22" s="1"/>
  <c r="E43" i="22"/>
  <c r="F43" i="22"/>
  <c r="H43" i="22"/>
  <c r="M43" i="22"/>
  <c r="N43" i="22"/>
  <c r="O43" i="22"/>
  <c r="P43" i="22"/>
  <c r="Q43" i="22"/>
  <c r="R43" i="22"/>
  <c r="S43" i="22"/>
  <c r="T43" i="22"/>
  <c r="U43" i="22"/>
  <c r="V43" i="22"/>
  <c r="W43" i="22"/>
  <c r="X43" i="22"/>
  <c r="B44" i="22"/>
  <c r="E44" i="22"/>
  <c r="F44" i="22"/>
  <c r="H44" i="22"/>
  <c r="M44" i="22"/>
  <c r="N44" i="22"/>
  <c r="O44" i="22"/>
  <c r="P44" i="22"/>
  <c r="Q44" i="22"/>
  <c r="R44" i="22"/>
  <c r="S44" i="22"/>
  <c r="T44" i="22"/>
  <c r="U44" i="22"/>
  <c r="V44" i="22"/>
  <c r="W44" i="22"/>
  <c r="X44" i="22"/>
  <c r="B45" i="22"/>
  <c r="AF45" i="22" s="1"/>
  <c r="E45" i="22"/>
  <c r="F45" i="22"/>
  <c r="H45" i="22"/>
  <c r="M45" i="22"/>
  <c r="N45" i="22"/>
  <c r="O45" i="22"/>
  <c r="P45" i="22"/>
  <c r="Q45" i="22"/>
  <c r="R45" i="22"/>
  <c r="S45" i="22"/>
  <c r="T45" i="22"/>
  <c r="U45" i="22"/>
  <c r="V45" i="22"/>
  <c r="W45" i="22"/>
  <c r="X45" i="22"/>
  <c r="B46" i="22"/>
  <c r="AF46" i="22" s="1"/>
  <c r="E46" i="22"/>
  <c r="F46" i="22"/>
  <c r="H46" i="22"/>
  <c r="M46" i="22"/>
  <c r="N46" i="22"/>
  <c r="O46" i="22"/>
  <c r="P46" i="22"/>
  <c r="Q46" i="22"/>
  <c r="R46" i="22"/>
  <c r="S46" i="22"/>
  <c r="T46" i="22"/>
  <c r="U46" i="22"/>
  <c r="V46" i="22"/>
  <c r="W46" i="22"/>
  <c r="X46" i="22"/>
  <c r="B47" i="22"/>
  <c r="AF47" i="22" s="1"/>
  <c r="E47" i="22"/>
  <c r="F47" i="22"/>
  <c r="H47" i="22"/>
  <c r="M47" i="22"/>
  <c r="N47" i="22"/>
  <c r="O47" i="22"/>
  <c r="P47" i="22"/>
  <c r="Q47" i="22"/>
  <c r="R47" i="22"/>
  <c r="S47" i="22"/>
  <c r="T47" i="22"/>
  <c r="U47" i="22"/>
  <c r="V47" i="22"/>
  <c r="W47" i="22"/>
  <c r="X47" i="22"/>
  <c r="B48" i="22"/>
  <c r="E48" i="22"/>
  <c r="F48" i="22"/>
  <c r="G48" i="22"/>
  <c r="H48" i="22"/>
  <c r="M48" i="22"/>
  <c r="N48" i="22"/>
  <c r="O48" i="22"/>
  <c r="P48" i="22"/>
  <c r="Q48" i="22"/>
  <c r="R48" i="22"/>
  <c r="S48" i="22"/>
  <c r="T48" i="22"/>
  <c r="U48" i="22"/>
  <c r="V48" i="22"/>
  <c r="W48" i="22"/>
  <c r="X48" i="22"/>
  <c r="B49" i="22"/>
  <c r="AF49" i="22" s="1"/>
  <c r="E49" i="22"/>
  <c r="F49" i="22"/>
  <c r="H49" i="22"/>
  <c r="M49" i="22"/>
  <c r="N49" i="22"/>
  <c r="O49" i="22"/>
  <c r="P49" i="22"/>
  <c r="Q49" i="22"/>
  <c r="R49" i="22"/>
  <c r="S49" i="22"/>
  <c r="T49" i="22"/>
  <c r="U49" i="22"/>
  <c r="V49" i="22"/>
  <c r="W49" i="22"/>
  <c r="X49" i="22"/>
  <c r="F50" i="22"/>
  <c r="M50" i="22"/>
  <c r="N50" i="22"/>
  <c r="O50" i="22"/>
  <c r="P50" i="22"/>
  <c r="Q50" i="22"/>
  <c r="R50" i="22"/>
  <c r="S50" i="22"/>
  <c r="T50" i="22"/>
  <c r="U50" i="22"/>
  <c r="V50" i="22"/>
  <c r="W50" i="22"/>
  <c r="X50" i="22"/>
  <c r="B51" i="22"/>
  <c r="AF51" i="22" s="1"/>
  <c r="E51" i="22"/>
  <c r="F51" i="22"/>
  <c r="H51" i="22"/>
  <c r="M51" i="22"/>
  <c r="N51" i="22"/>
  <c r="O51" i="22"/>
  <c r="P51" i="22"/>
  <c r="Q51" i="22"/>
  <c r="R51" i="22"/>
  <c r="S51" i="22"/>
  <c r="T51" i="22"/>
  <c r="U51" i="22"/>
  <c r="V51" i="22"/>
  <c r="W51" i="22"/>
  <c r="X51" i="22"/>
  <c r="B52" i="22"/>
  <c r="E52" i="22"/>
  <c r="F52" i="22"/>
  <c r="H52" i="22"/>
  <c r="M52" i="22"/>
  <c r="N52" i="22"/>
  <c r="O52" i="22"/>
  <c r="P52" i="22"/>
  <c r="Q52" i="22"/>
  <c r="R52" i="22"/>
  <c r="S52" i="22"/>
  <c r="T52" i="22"/>
  <c r="U52" i="22"/>
  <c r="V52" i="22"/>
  <c r="W52" i="22"/>
  <c r="X52" i="22"/>
  <c r="B53" i="22"/>
  <c r="AF53" i="22" s="1"/>
  <c r="E53" i="22"/>
  <c r="F53" i="22"/>
  <c r="H53" i="22"/>
  <c r="M53" i="22"/>
  <c r="N53" i="22"/>
  <c r="O53" i="22"/>
  <c r="P53" i="22"/>
  <c r="Q53" i="22"/>
  <c r="R53" i="22"/>
  <c r="S53" i="22"/>
  <c r="T53" i="22"/>
  <c r="U53" i="22"/>
  <c r="V53" i="22"/>
  <c r="W53" i="22"/>
  <c r="X53" i="22"/>
  <c r="B54" i="22"/>
  <c r="AF54" i="22" s="1"/>
  <c r="E54" i="22"/>
  <c r="F54" i="22"/>
  <c r="H54" i="22"/>
  <c r="M54" i="22"/>
  <c r="N54" i="22"/>
  <c r="O54" i="22"/>
  <c r="P54" i="22"/>
  <c r="Q54" i="22"/>
  <c r="R54" i="22"/>
  <c r="S54" i="22"/>
  <c r="T54" i="22"/>
  <c r="U54" i="22"/>
  <c r="V54" i="22"/>
  <c r="W54" i="22"/>
  <c r="X54" i="22"/>
  <c r="B55" i="22"/>
  <c r="AF55" i="22" s="1"/>
  <c r="E55" i="22"/>
  <c r="F55" i="22"/>
  <c r="H55" i="22"/>
  <c r="M55" i="22"/>
  <c r="N55" i="22"/>
  <c r="O55" i="22"/>
  <c r="P55" i="22"/>
  <c r="Q55" i="22"/>
  <c r="R55" i="22"/>
  <c r="S55" i="22"/>
  <c r="T55" i="22"/>
  <c r="U55" i="22"/>
  <c r="V55" i="22"/>
  <c r="W55" i="22"/>
  <c r="X55" i="22"/>
  <c r="B56" i="22"/>
  <c r="E56" i="22"/>
  <c r="F56" i="22"/>
  <c r="H56" i="22"/>
  <c r="M56" i="22"/>
  <c r="N56" i="22"/>
  <c r="O56" i="22"/>
  <c r="P56" i="22"/>
  <c r="Q56" i="22"/>
  <c r="R56" i="22"/>
  <c r="S56" i="22"/>
  <c r="T56" i="22"/>
  <c r="U56" i="22"/>
  <c r="V56" i="22"/>
  <c r="W56" i="22"/>
  <c r="X56" i="22"/>
  <c r="B57" i="22"/>
  <c r="AF57" i="22" s="1"/>
  <c r="E57" i="22"/>
  <c r="F57" i="22"/>
  <c r="H57" i="22"/>
  <c r="M57" i="22"/>
  <c r="N57" i="22"/>
  <c r="O57" i="22"/>
  <c r="P57" i="22"/>
  <c r="Q57" i="22"/>
  <c r="R57" i="22"/>
  <c r="S57" i="22"/>
  <c r="T57" i="22"/>
  <c r="U57" i="22"/>
  <c r="V57" i="22"/>
  <c r="W57" i="22"/>
  <c r="X57" i="22"/>
  <c r="B58" i="22"/>
  <c r="AF58" i="22" s="1"/>
  <c r="E58" i="22"/>
  <c r="F58" i="22"/>
  <c r="H58" i="22"/>
  <c r="M58" i="22"/>
  <c r="N58" i="22"/>
  <c r="O58" i="22"/>
  <c r="P58" i="22"/>
  <c r="Q58" i="22"/>
  <c r="R58" i="22"/>
  <c r="S58" i="22"/>
  <c r="T58" i="22"/>
  <c r="U58" i="22"/>
  <c r="V58" i="22"/>
  <c r="W58" i="22"/>
  <c r="X58" i="22"/>
  <c r="B59" i="22"/>
  <c r="AF59" i="22" s="1"/>
  <c r="E59" i="22"/>
  <c r="F59" i="22"/>
  <c r="H59" i="22"/>
  <c r="M59" i="22"/>
  <c r="N59" i="22"/>
  <c r="O59" i="22"/>
  <c r="P59" i="22"/>
  <c r="Q59" i="22"/>
  <c r="R59" i="22"/>
  <c r="S59" i="22"/>
  <c r="T59" i="22"/>
  <c r="U59" i="22"/>
  <c r="V59" i="22"/>
  <c r="W59" i="22"/>
  <c r="X59" i="22"/>
  <c r="B60" i="22"/>
  <c r="E60" i="22"/>
  <c r="F60" i="22"/>
  <c r="H60" i="22"/>
  <c r="M60" i="22"/>
  <c r="N60" i="22"/>
  <c r="O60" i="22"/>
  <c r="P60" i="22"/>
  <c r="Q60" i="22"/>
  <c r="R60" i="22"/>
  <c r="S60" i="22"/>
  <c r="T60" i="22"/>
  <c r="U60" i="22"/>
  <c r="V60" i="22"/>
  <c r="W60" i="22"/>
  <c r="X60" i="22"/>
  <c r="B61" i="22"/>
  <c r="AF61" i="22" s="1"/>
  <c r="E61" i="22"/>
  <c r="F61" i="22"/>
  <c r="H61" i="22"/>
  <c r="M61" i="22"/>
  <c r="N61" i="22"/>
  <c r="O61" i="22"/>
  <c r="P61" i="22"/>
  <c r="Q61" i="22"/>
  <c r="R61" i="22"/>
  <c r="S61" i="22"/>
  <c r="T61" i="22"/>
  <c r="U61" i="22"/>
  <c r="V61" i="22"/>
  <c r="W61" i="22"/>
  <c r="X61" i="22"/>
  <c r="B62" i="22"/>
  <c r="AF62" i="22" s="1"/>
  <c r="E62" i="22"/>
  <c r="F62" i="22"/>
  <c r="H62" i="22"/>
  <c r="M62" i="22"/>
  <c r="N62" i="22"/>
  <c r="O62" i="22"/>
  <c r="P62" i="22"/>
  <c r="Q62" i="22"/>
  <c r="R62" i="22"/>
  <c r="S62" i="22"/>
  <c r="T62" i="22"/>
  <c r="U62" i="22"/>
  <c r="V62" i="22"/>
  <c r="W62" i="22"/>
  <c r="X62" i="22"/>
  <c r="B63" i="22"/>
  <c r="AF63" i="22" s="1"/>
  <c r="E63" i="22"/>
  <c r="F63" i="22"/>
  <c r="H63" i="22"/>
  <c r="M63" i="22"/>
  <c r="N63" i="22"/>
  <c r="O63" i="22"/>
  <c r="P63" i="22"/>
  <c r="Q63" i="22"/>
  <c r="R63" i="22"/>
  <c r="S63" i="22"/>
  <c r="T63" i="22"/>
  <c r="U63" i="22"/>
  <c r="V63" i="22"/>
  <c r="W63" i="22"/>
  <c r="X63" i="22"/>
  <c r="B64" i="22"/>
  <c r="E64" i="22"/>
  <c r="F64" i="22"/>
  <c r="H64" i="22"/>
  <c r="M64" i="22"/>
  <c r="N64" i="22"/>
  <c r="O64" i="22"/>
  <c r="P64" i="22"/>
  <c r="Q64" i="22"/>
  <c r="R64" i="22"/>
  <c r="S64" i="22"/>
  <c r="T64" i="22"/>
  <c r="U64" i="22"/>
  <c r="V64" i="22"/>
  <c r="W64" i="22"/>
  <c r="X64" i="22"/>
  <c r="B65" i="22"/>
  <c r="AF65" i="22" s="1"/>
  <c r="E65" i="22"/>
  <c r="F65" i="22"/>
  <c r="H65" i="22"/>
  <c r="M65" i="22"/>
  <c r="N65" i="22"/>
  <c r="O65" i="22"/>
  <c r="P65" i="22"/>
  <c r="Q65" i="22"/>
  <c r="R65" i="22"/>
  <c r="S65" i="22"/>
  <c r="T65" i="22"/>
  <c r="U65" i="22"/>
  <c r="V65" i="22"/>
  <c r="W65" i="22"/>
  <c r="X65" i="22"/>
  <c r="B66" i="22"/>
  <c r="AF66" i="22" s="1"/>
  <c r="E66" i="22"/>
  <c r="F66" i="22"/>
  <c r="H66" i="22"/>
  <c r="M66" i="22"/>
  <c r="N66" i="22"/>
  <c r="O66" i="22"/>
  <c r="P66" i="22"/>
  <c r="Q66" i="22"/>
  <c r="R66" i="22"/>
  <c r="S66" i="22"/>
  <c r="T66" i="22"/>
  <c r="U66" i="22"/>
  <c r="V66" i="22"/>
  <c r="W66" i="22"/>
  <c r="X66" i="22"/>
  <c r="B67" i="22"/>
  <c r="AF67" i="22" s="1"/>
  <c r="E67" i="22"/>
  <c r="F67" i="22"/>
  <c r="H67" i="22"/>
  <c r="M67" i="22"/>
  <c r="N67" i="22"/>
  <c r="O67" i="22"/>
  <c r="P67" i="22"/>
  <c r="Q67" i="22"/>
  <c r="R67" i="22"/>
  <c r="S67" i="22"/>
  <c r="T67" i="22"/>
  <c r="U67" i="22"/>
  <c r="V67" i="22"/>
  <c r="W67" i="22"/>
  <c r="X67" i="22"/>
  <c r="B68" i="22"/>
  <c r="E68" i="22"/>
  <c r="F68" i="22"/>
  <c r="H68" i="22"/>
  <c r="M68" i="22"/>
  <c r="N68" i="22"/>
  <c r="O68" i="22"/>
  <c r="P68" i="22"/>
  <c r="Q68" i="22"/>
  <c r="R68" i="22"/>
  <c r="S68" i="22"/>
  <c r="T68" i="22"/>
  <c r="U68" i="22"/>
  <c r="V68" i="22"/>
  <c r="W68" i="22"/>
  <c r="X68" i="22"/>
  <c r="K4" i="20"/>
  <c r="I163" i="22" s="1"/>
  <c r="K5" i="20"/>
  <c r="I164" i="22" s="1"/>
  <c r="K6" i="20"/>
  <c r="I165" i="22" s="1"/>
  <c r="K7" i="20"/>
  <c r="I166" i="22" s="1"/>
  <c r="G4" i="20"/>
  <c r="G5" i="20"/>
  <c r="G6" i="20"/>
  <c r="G7" i="20"/>
  <c r="E4" i="20"/>
  <c r="D163" i="22" s="1"/>
  <c r="E5" i="20"/>
  <c r="D164" i="22" s="1"/>
  <c r="E6" i="20"/>
  <c r="D165" i="22" s="1"/>
  <c r="E7" i="20"/>
  <c r="D166" i="22" s="1"/>
  <c r="B4" i="20"/>
  <c r="B5" i="20"/>
  <c r="B6" i="20"/>
  <c r="B7" i="20"/>
  <c r="K4" i="19"/>
  <c r="I162" i="22" s="1"/>
  <c r="G4" i="19"/>
  <c r="E4" i="19"/>
  <c r="D162" i="22" s="1"/>
  <c r="K4" i="16"/>
  <c r="I158" i="22" s="1"/>
  <c r="I159" i="22"/>
  <c r="I160" i="22"/>
  <c r="I161" i="22"/>
  <c r="G4" i="16"/>
  <c r="G8" i="16"/>
  <c r="G9" i="16"/>
  <c r="G10" i="16"/>
  <c r="E4" i="16"/>
  <c r="D158" i="22" s="1"/>
  <c r="E8" i="16"/>
  <c r="D159" i="22" s="1"/>
  <c r="E9" i="16"/>
  <c r="D160" i="22" s="1"/>
  <c r="E10" i="16"/>
  <c r="D161" i="22" s="1"/>
  <c r="B8" i="16"/>
  <c r="B9" i="16"/>
  <c r="B10" i="16"/>
  <c r="K4" i="15"/>
  <c r="I108" i="22" s="1"/>
  <c r="K5" i="15"/>
  <c r="I109" i="22" s="1"/>
  <c r="K6" i="15"/>
  <c r="I110" i="22" s="1"/>
  <c r="K7" i="15"/>
  <c r="I111" i="22" s="1"/>
  <c r="K8" i="15"/>
  <c r="I112" i="22" s="1"/>
  <c r="K9" i="15"/>
  <c r="I113" i="22" s="1"/>
  <c r="K10" i="15"/>
  <c r="I114" i="22" s="1"/>
  <c r="K11" i="15"/>
  <c r="I115" i="22" s="1"/>
  <c r="K12" i="15"/>
  <c r="I116" i="22" s="1"/>
  <c r="K13" i="15"/>
  <c r="I117" i="22" s="1"/>
  <c r="K14" i="15"/>
  <c r="I118" i="22" s="1"/>
  <c r="K15" i="15"/>
  <c r="I119" i="22" s="1"/>
  <c r="K16" i="15"/>
  <c r="I120" i="22" s="1"/>
  <c r="K17" i="15"/>
  <c r="I121" i="22" s="1"/>
  <c r="K18" i="15"/>
  <c r="I122" i="22" s="1"/>
  <c r="K19" i="15"/>
  <c r="I123" i="22" s="1"/>
  <c r="K20" i="15"/>
  <c r="I124" i="22" s="1"/>
  <c r="K21" i="15"/>
  <c r="I125" i="22" s="1"/>
  <c r="K22" i="15"/>
  <c r="I126" i="22" s="1"/>
  <c r="K23" i="15"/>
  <c r="I127" i="22" s="1"/>
  <c r="K24" i="15"/>
  <c r="I128" i="22" s="1"/>
  <c r="K25" i="15"/>
  <c r="I129" i="22" s="1"/>
  <c r="K26" i="15"/>
  <c r="I130" i="22" s="1"/>
  <c r="K27" i="15"/>
  <c r="I131" i="22" s="1"/>
  <c r="K28" i="15"/>
  <c r="I132" i="22" s="1"/>
  <c r="K29" i="15"/>
  <c r="I133" i="22" s="1"/>
  <c r="K30" i="15"/>
  <c r="I134" i="22" s="1"/>
  <c r="K31" i="15"/>
  <c r="I135" i="22" s="1"/>
  <c r="K32" i="15"/>
  <c r="I136" i="22" s="1"/>
  <c r="K33" i="15"/>
  <c r="I137" i="22" s="1"/>
  <c r="K34" i="15"/>
  <c r="I138" i="22" s="1"/>
  <c r="K35" i="15"/>
  <c r="I139" i="22" s="1"/>
  <c r="K36" i="15"/>
  <c r="I140" i="22" s="1"/>
  <c r="K37" i="15"/>
  <c r="I141" i="22" s="1"/>
  <c r="K38" i="15"/>
  <c r="I142" i="22" s="1"/>
  <c r="K39" i="15"/>
  <c r="I143" i="22" s="1"/>
  <c r="K40" i="15"/>
  <c r="I144" i="22" s="1"/>
  <c r="K41" i="15"/>
  <c r="I145" i="22" s="1"/>
  <c r="K42" i="15"/>
  <c r="I146" i="22" s="1"/>
  <c r="K43" i="15"/>
  <c r="I147" i="22" s="1"/>
  <c r="K44" i="15"/>
  <c r="I148" i="22" s="1"/>
  <c r="K45" i="15"/>
  <c r="I149" i="22" s="1"/>
  <c r="K46" i="15"/>
  <c r="I150" i="22" s="1"/>
  <c r="K47" i="15"/>
  <c r="I151" i="22" s="1"/>
  <c r="K48" i="15"/>
  <c r="I152" i="22" s="1"/>
  <c r="K49" i="15"/>
  <c r="I153" i="22" s="1"/>
  <c r="K50" i="15"/>
  <c r="I154" i="22" s="1"/>
  <c r="K51" i="15"/>
  <c r="I155" i="22" s="1"/>
  <c r="K52" i="15"/>
  <c r="I156" i="22" s="1"/>
  <c r="I157" i="22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49" i="15"/>
  <c r="G50" i="15"/>
  <c r="G51" i="15"/>
  <c r="G52" i="15"/>
  <c r="G53" i="15"/>
  <c r="E4" i="15"/>
  <c r="D108" i="22" s="1"/>
  <c r="E5" i="15"/>
  <c r="D109" i="22" s="1"/>
  <c r="E6" i="15"/>
  <c r="D110" i="22" s="1"/>
  <c r="E7" i="15"/>
  <c r="D111" i="22" s="1"/>
  <c r="E8" i="15"/>
  <c r="D112" i="22" s="1"/>
  <c r="E9" i="15"/>
  <c r="D113" i="22" s="1"/>
  <c r="E10" i="15"/>
  <c r="D114" i="22" s="1"/>
  <c r="E11" i="15"/>
  <c r="D115" i="22" s="1"/>
  <c r="E12" i="15"/>
  <c r="D116" i="22" s="1"/>
  <c r="E13" i="15"/>
  <c r="D117" i="22" s="1"/>
  <c r="E14" i="15"/>
  <c r="D118" i="22" s="1"/>
  <c r="E15" i="15"/>
  <c r="D119" i="22" s="1"/>
  <c r="E16" i="15"/>
  <c r="D120" i="22" s="1"/>
  <c r="E17" i="15"/>
  <c r="D121" i="22" s="1"/>
  <c r="E18" i="15"/>
  <c r="D122" i="22" s="1"/>
  <c r="E19" i="15"/>
  <c r="D123" i="22" s="1"/>
  <c r="E20" i="15"/>
  <c r="D124" i="22" s="1"/>
  <c r="E21" i="15"/>
  <c r="D125" i="22" s="1"/>
  <c r="E22" i="15"/>
  <c r="D126" i="22" s="1"/>
  <c r="E23" i="15"/>
  <c r="D127" i="22" s="1"/>
  <c r="E24" i="15"/>
  <c r="D128" i="22" s="1"/>
  <c r="E25" i="15"/>
  <c r="D129" i="22" s="1"/>
  <c r="E26" i="15"/>
  <c r="D130" i="22" s="1"/>
  <c r="E27" i="15"/>
  <c r="D131" i="22" s="1"/>
  <c r="E28" i="15"/>
  <c r="D132" i="22" s="1"/>
  <c r="E29" i="15"/>
  <c r="D133" i="22" s="1"/>
  <c r="E30" i="15"/>
  <c r="D134" i="22" s="1"/>
  <c r="E31" i="15"/>
  <c r="D135" i="22" s="1"/>
  <c r="E32" i="15"/>
  <c r="D136" i="22" s="1"/>
  <c r="E33" i="15"/>
  <c r="D137" i="22" s="1"/>
  <c r="E34" i="15"/>
  <c r="D138" i="22" s="1"/>
  <c r="E35" i="15"/>
  <c r="D139" i="22" s="1"/>
  <c r="E36" i="15"/>
  <c r="D140" i="22" s="1"/>
  <c r="E37" i="15"/>
  <c r="D141" i="22" s="1"/>
  <c r="E38" i="15"/>
  <c r="D142" i="22" s="1"/>
  <c r="E39" i="15"/>
  <c r="D143" i="22" s="1"/>
  <c r="E40" i="15"/>
  <c r="D144" i="22" s="1"/>
  <c r="E41" i="15"/>
  <c r="D145" i="22" s="1"/>
  <c r="E42" i="15"/>
  <c r="D146" i="22" s="1"/>
  <c r="E43" i="15"/>
  <c r="D147" i="22" s="1"/>
  <c r="E44" i="15"/>
  <c r="D148" i="22" s="1"/>
  <c r="E45" i="15"/>
  <c r="D149" i="22" s="1"/>
  <c r="E46" i="15"/>
  <c r="D150" i="22" s="1"/>
  <c r="E47" i="15"/>
  <c r="D151" i="22" s="1"/>
  <c r="E48" i="15"/>
  <c r="D152" i="22" s="1"/>
  <c r="E49" i="15"/>
  <c r="D153" i="22" s="1"/>
  <c r="E50" i="15"/>
  <c r="D154" i="22" s="1"/>
  <c r="E51" i="15"/>
  <c r="D155" i="22" s="1"/>
  <c r="E52" i="15"/>
  <c r="D156" i="22" s="1"/>
  <c r="E53" i="15"/>
  <c r="D157" i="22" s="1"/>
  <c r="B17" i="15"/>
  <c r="B18" i="15"/>
  <c r="B19" i="15"/>
  <c r="B20" i="15"/>
  <c r="B21" i="15"/>
  <c r="B22" i="15"/>
  <c r="B23" i="15"/>
  <c r="B24" i="15"/>
  <c r="B25" i="15"/>
  <c r="B26" i="15"/>
  <c r="B27" i="15"/>
  <c r="B38" i="15"/>
  <c r="B39" i="15"/>
  <c r="B40" i="15"/>
  <c r="B41" i="15"/>
  <c r="B42" i="15"/>
  <c r="B43" i="15"/>
  <c r="B44" i="15"/>
  <c r="B45" i="15"/>
  <c r="B46" i="15"/>
  <c r="B47" i="15"/>
  <c r="B48" i="15"/>
  <c r="B49" i="15"/>
  <c r="B50" i="15"/>
  <c r="B51" i="15"/>
  <c r="B52" i="15"/>
  <c r="B53" i="15"/>
  <c r="K4" i="12"/>
  <c r="I50" i="22" s="1"/>
  <c r="K5" i="12"/>
  <c r="I51" i="22" s="1"/>
  <c r="K6" i="12"/>
  <c r="I52" i="22" s="1"/>
  <c r="K7" i="12"/>
  <c r="I53" i="22" s="1"/>
  <c r="K8" i="12"/>
  <c r="I54" i="22" s="1"/>
  <c r="K9" i="12"/>
  <c r="I55" i="22" s="1"/>
  <c r="K10" i="12"/>
  <c r="I56" i="22" s="1"/>
  <c r="K11" i="12"/>
  <c r="I57" i="22" s="1"/>
  <c r="K12" i="12"/>
  <c r="I58" i="22" s="1"/>
  <c r="K13" i="12"/>
  <c r="I59" i="22" s="1"/>
  <c r="K14" i="12"/>
  <c r="I60" i="22" s="1"/>
  <c r="K15" i="12"/>
  <c r="I61" i="22" s="1"/>
  <c r="K16" i="12"/>
  <c r="I62" i="22" s="1"/>
  <c r="K17" i="12"/>
  <c r="I63" i="22" s="1"/>
  <c r="K18" i="12"/>
  <c r="I64" i="22" s="1"/>
  <c r="K19" i="12"/>
  <c r="I65" i="22" s="1"/>
  <c r="K20" i="12"/>
  <c r="I66" i="22" s="1"/>
  <c r="K21" i="12"/>
  <c r="I67" i="22" s="1"/>
  <c r="K22" i="12"/>
  <c r="I68" i="22" s="1"/>
  <c r="K23" i="12"/>
  <c r="I69" i="22" s="1"/>
  <c r="K24" i="12"/>
  <c r="I70" i="22" s="1"/>
  <c r="K25" i="12"/>
  <c r="I71" i="22" s="1"/>
  <c r="K26" i="12"/>
  <c r="I72" i="22" s="1"/>
  <c r="K27" i="12"/>
  <c r="I73" i="22" s="1"/>
  <c r="K28" i="12"/>
  <c r="I74" i="22" s="1"/>
  <c r="K29" i="12"/>
  <c r="I75" i="22" s="1"/>
  <c r="K30" i="12"/>
  <c r="I76" i="22" s="1"/>
  <c r="K31" i="12"/>
  <c r="I77" i="22" s="1"/>
  <c r="K32" i="12"/>
  <c r="I78" i="22" s="1"/>
  <c r="K33" i="12"/>
  <c r="I79" i="22" s="1"/>
  <c r="K34" i="12"/>
  <c r="I80" i="22" s="1"/>
  <c r="K35" i="12"/>
  <c r="I81" i="22" s="1"/>
  <c r="K36" i="12"/>
  <c r="I82" i="22" s="1"/>
  <c r="K37" i="12"/>
  <c r="I83" i="22" s="1"/>
  <c r="K38" i="12"/>
  <c r="I84" i="22" s="1"/>
  <c r="K39" i="12"/>
  <c r="I85" i="22" s="1"/>
  <c r="K40" i="12"/>
  <c r="I86" i="22" s="1"/>
  <c r="K41" i="12"/>
  <c r="I87" i="22" s="1"/>
  <c r="K42" i="12"/>
  <c r="I88" i="22" s="1"/>
  <c r="K43" i="12"/>
  <c r="I89" i="22" s="1"/>
  <c r="K44" i="12"/>
  <c r="I90" i="22" s="1"/>
  <c r="K45" i="12"/>
  <c r="I91" i="22" s="1"/>
  <c r="K46" i="12"/>
  <c r="I92" i="22" s="1"/>
  <c r="K47" i="12"/>
  <c r="I93" i="22" s="1"/>
  <c r="K48" i="12"/>
  <c r="I94" i="22" s="1"/>
  <c r="K49" i="12"/>
  <c r="I95" i="22" s="1"/>
  <c r="K50" i="12"/>
  <c r="I96" i="22" s="1"/>
  <c r="K51" i="12"/>
  <c r="I97" i="22" s="1"/>
  <c r="K52" i="12"/>
  <c r="I98" i="22" s="1"/>
  <c r="K53" i="12"/>
  <c r="I99" i="22" s="1"/>
  <c r="K54" i="12"/>
  <c r="I100" i="22" s="1"/>
  <c r="K55" i="12"/>
  <c r="I101" i="22" s="1"/>
  <c r="K56" i="12"/>
  <c r="I102" i="22" s="1"/>
  <c r="K57" i="12"/>
  <c r="I103" i="22" s="1"/>
  <c r="K58" i="12"/>
  <c r="I104" i="22" s="1"/>
  <c r="K59" i="12"/>
  <c r="I105" i="22" s="1"/>
  <c r="K60" i="12"/>
  <c r="I106" i="22" s="1"/>
  <c r="K61" i="12"/>
  <c r="I107" i="22" s="1"/>
  <c r="G4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0" i="12"/>
  <c r="G61" i="12"/>
  <c r="E4" i="12"/>
  <c r="D50" i="22" s="1"/>
  <c r="E5" i="12"/>
  <c r="D51" i="22" s="1"/>
  <c r="E6" i="12"/>
  <c r="D52" i="22" s="1"/>
  <c r="E7" i="12"/>
  <c r="D53" i="22" s="1"/>
  <c r="E8" i="12"/>
  <c r="D54" i="22" s="1"/>
  <c r="E9" i="12"/>
  <c r="D55" i="22" s="1"/>
  <c r="E10" i="12"/>
  <c r="D56" i="22" s="1"/>
  <c r="E11" i="12"/>
  <c r="D57" i="22" s="1"/>
  <c r="E12" i="12"/>
  <c r="D58" i="22" s="1"/>
  <c r="E13" i="12"/>
  <c r="D59" i="22" s="1"/>
  <c r="E14" i="12"/>
  <c r="D60" i="22" s="1"/>
  <c r="E15" i="12"/>
  <c r="D61" i="22" s="1"/>
  <c r="E16" i="12"/>
  <c r="D62" i="22" s="1"/>
  <c r="E17" i="12"/>
  <c r="D63" i="22" s="1"/>
  <c r="E18" i="12"/>
  <c r="D64" i="22" s="1"/>
  <c r="E19" i="12"/>
  <c r="D65" i="22" s="1"/>
  <c r="E20" i="12"/>
  <c r="D66" i="22" s="1"/>
  <c r="E21" i="12"/>
  <c r="D67" i="22" s="1"/>
  <c r="E22" i="12"/>
  <c r="D68" i="22" s="1"/>
  <c r="E23" i="12"/>
  <c r="D69" i="22" s="1"/>
  <c r="E24" i="12"/>
  <c r="D70" i="22" s="1"/>
  <c r="E25" i="12"/>
  <c r="D71" i="22" s="1"/>
  <c r="E26" i="12"/>
  <c r="D72" i="22" s="1"/>
  <c r="E27" i="12"/>
  <c r="D73" i="22" s="1"/>
  <c r="E28" i="12"/>
  <c r="D74" i="22" s="1"/>
  <c r="E29" i="12"/>
  <c r="D75" i="22" s="1"/>
  <c r="E30" i="12"/>
  <c r="D76" i="22" s="1"/>
  <c r="E31" i="12"/>
  <c r="D77" i="22" s="1"/>
  <c r="E32" i="12"/>
  <c r="D78" i="22" s="1"/>
  <c r="E33" i="12"/>
  <c r="D79" i="22" s="1"/>
  <c r="E34" i="12"/>
  <c r="D80" i="22" s="1"/>
  <c r="E35" i="12"/>
  <c r="D81" i="22" s="1"/>
  <c r="E36" i="12"/>
  <c r="D82" i="22" s="1"/>
  <c r="E37" i="12"/>
  <c r="D83" i="22" s="1"/>
  <c r="E38" i="12"/>
  <c r="D84" i="22" s="1"/>
  <c r="E39" i="12"/>
  <c r="D85" i="22" s="1"/>
  <c r="E40" i="12"/>
  <c r="D86" i="22" s="1"/>
  <c r="E41" i="12"/>
  <c r="D87" i="22" s="1"/>
  <c r="E42" i="12"/>
  <c r="D88" i="22" s="1"/>
  <c r="E43" i="12"/>
  <c r="D89" i="22" s="1"/>
  <c r="E44" i="12"/>
  <c r="D90" i="22" s="1"/>
  <c r="E45" i="12"/>
  <c r="D91" i="22" s="1"/>
  <c r="E46" i="12"/>
  <c r="D92" i="22" s="1"/>
  <c r="E47" i="12"/>
  <c r="D93" i="22" s="1"/>
  <c r="E48" i="12"/>
  <c r="D94" i="22" s="1"/>
  <c r="E49" i="12"/>
  <c r="D95" i="22" s="1"/>
  <c r="E50" i="12"/>
  <c r="D96" i="22" s="1"/>
  <c r="E51" i="12"/>
  <c r="D97" i="22" s="1"/>
  <c r="E52" i="12"/>
  <c r="D98" i="22" s="1"/>
  <c r="E53" i="12"/>
  <c r="D99" i="22" s="1"/>
  <c r="E54" i="12"/>
  <c r="D100" i="22" s="1"/>
  <c r="E55" i="12"/>
  <c r="D101" i="22" s="1"/>
  <c r="E56" i="12"/>
  <c r="D102" i="22" s="1"/>
  <c r="E57" i="12"/>
  <c r="D103" i="22" s="1"/>
  <c r="E58" i="12"/>
  <c r="D104" i="22" s="1"/>
  <c r="E59" i="12"/>
  <c r="D105" i="22" s="1"/>
  <c r="E60" i="12"/>
  <c r="D106" i="22" s="1"/>
  <c r="E61" i="12"/>
  <c r="D107" i="22" s="1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K4" i="8"/>
  <c r="I4" i="22" s="1"/>
  <c r="K5" i="8"/>
  <c r="I5" i="22" s="1"/>
  <c r="K6" i="8"/>
  <c r="I6" i="22" s="1"/>
  <c r="K7" i="8"/>
  <c r="I7" i="22" s="1"/>
  <c r="K8" i="8"/>
  <c r="I8" i="22" s="1"/>
  <c r="K9" i="8"/>
  <c r="I9" i="22" s="1"/>
  <c r="K10" i="8"/>
  <c r="I10" i="22" s="1"/>
  <c r="K11" i="8"/>
  <c r="I11" i="22" s="1"/>
  <c r="K12" i="8"/>
  <c r="I12" i="22" s="1"/>
  <c r="K13" i="8"/>
  <c r="I13" i="22" s="1"/>
  <c r="K14" i="8"/>
  <c r="I14" i="22" s="1"/>
  <c r="K15" i="8"/>
  <c r="I15" i="22" s="1"/>
  <c r="K16" i="8"/>
  <c r="I16" i="22" s="1"/>
  <c r="K17" i="8"/>
  <c r="I17" i="22" s="1"/>
  <c r="K18" i="8"/>
  <c r="I18" i="22" s="1"/>
  <c r="K19" i="8"/>
  <c r="I19" i="22" s="1"/>
  <c r="K20" i="8"/>
  <c r="I20" i="22" s="1"/>
  <c r="K21" i="8"/>
  <c r="I21" i="22" s="1"/>
  <c r="K22" i="8"/>
  <c r="I22" i="22" s="1"/>
  <c r="K23" i="8"/>
  <c r="I23" i="22" s="1"/>
  <c r="K24" i="8"/>
  <c r="I24" i="22" s="1"/>
  <c r="K25" i="8"/>
  <c r="I25" i="22" s="1"/>
  <c r="K26" i="8"/>
  <c r="I26" i="22" s="1"/>
  <c r="K27" i="8"/>
  <c r="I27" i="22" s="1"/>
  <c r="K28" i="8"/>
  <c r="I28" i="22" s="1"/>
  <c r="K29" i="8"/>
  <c r="I29" i="22" s="1"/>
  <c r="K30" i="8"/>
  <c r="I30" i="22" s="1"/>
  <c r="K31" i="8"/>
  <c r="I31" i="22" s="1"/>
  <c r="K32" i="8"/>
  <c r="I32" i="22" s="1"/>
  <c r="K33" i="8"/>
  <c r="I33" i="22" s="1"/>
  <c r="K34" i="8"/>
  <c r="I34" i="22" s="1"/>
  <c r="K35" i="8"/>
  <c r="I35" i="22" s="1"/>
  <c r="K36" i="8"/>
  <c r="I36" i="22" s="1"/>
  <c r="K37" i="8"/>
  <c r="I37" i="22" s="1"/>
  <c r="K38" i="8"/>
  <c r="I38" i="22" s="1"/>
  <c r="K39" i="8"/>
  <c r="I39" i="22" s="1"/>
  <c r="K40" i="8"/>
  <c r="I40" i="22" s="1"/>
  <c r="K41" i="8"/>
  <c r="I41" i="22" s="1"/>
  <c r="K42" i="8"/>
  <c r="I42" i="22" s="1"/>
  <c r="K43" i="8"/>
  <c r="I43" i="22" s="1"/>
  <c r="K44" i="8"/>
  <c r="I44" i="22" s="1"/>
  <c r="K45" i="8"/>
  <c r="I45" i="22" s="1"/>
  <c r="K46" i="8"/>
  <c r="I46" i="22" s="1"/>
  <c r="K47" i="8"/>
  <c r="I47" i="22" s="1"/>
  <c r="K48" i="8"/>
  <c r="I48" i="22" s="1"/>
  <c r="K49" i="8"/>
  <c r="I49" i="22" s="1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E4" i="8"/>
  <c r="D4" i="22" s="1"/>
  <c r="E5" i="8"/>
  <c r="D5" i="22" s="1"/>
  <c r="E6" i="8"/>
  <c r="D6" i="22" s="1"/>
  <c r="E7" i="8"/>
  <c r="D7" i="22" s="1"/>
  <c r="E8" i="8"/>
  <c r="D8" i="22" s="1"/>
  <c r="E9" i="8"/>
  <c r="D9" i="22" s="1"/>
  <c r="E10" i="8"/>
  <c r="D10" i="22" s="1"/>
  <c r="E11" i="8"/>
  <c r="D11" i="22" s="1"/>
  <c r="E12" i="8"/>
  <c r="D12" i="22" s="1"/>
  <c r="E13" i="8"/>
  <c r="D13" i="22" s="1"/>
  <c r="E14" i="8"/>
  <c r="D14" i="22" s="1"/>
  <c r="E15" i="8"/>
  <c r="D15" i="22" s="1"/>
  <c r="E16" i="8"/>
  <c r="D16" i="22" s="1"/>
  <c r="E17" i="8"/>
  <c r="D17" i="22" s="1"/>
  <c r="E18" i="8"/>
  <c r="D18" i="22" s="1"/>
  <c r="E19" i="8"/>
  <c r="D19" i="22" s="1"/>
  <c r="E20" i="8"/>
  <c r="D20" i="22" s="1"/>
  <c r="E21" i="8"/>
  <c r="D21" i="22" s="1"/>
  <c r="E22" i="8"/>
  <c r="D22" i="22" s="1"/>
  <c r="E23" i="8"/>
  <c r="D23" i="22" s="1"/>
  <c r="E24" i="8"/>
  <c r="D24" i="22" s="1"/>
  <c r="E25" i="8"/>
  <c r="D25" i="22" s="1"/>
  <c r="E26" i="8"/>
  <c r="D26" i="22" s="1"/>
  <c r="E27" i="8"/>
  <c r="D27" i="22" s="1"/>
  <c r="E28" i="8"/>
  <c r="D28" i="22" s="1"/>
  <c r="E29" i="8"/>
  <c r="D29" i="22" s="1"/>
  <c r="E30" i="8"/>
  <c r="D30" i="22" s="1"/>
  <c r="E31" i="8"/>
  <c r="D31" i="22" s="1"/>
  <c r="E32" i="8"/>
  <c r="D32" i="22" s="1"/>
  <c r="E33" i="8"/>
  <c r="D33" i="22" s="1"/>
  <c r="E34" i="8"/>
  <c r="D34" i="22" s="1"/>
  <c r="E35" i="8"/>
  <c r="D35" i="22" s="1"/>
  <c r="E36" i="8"/>
  <c r="D36" i="22" s="1"/>
  <c r="E37" i="8"/>
  <c r="D37" i="22" s="1"/>
  <c r="E38" i="8"/>
  <c r="D38" i="22" s="1"/>
  <c r="E39" i="8"/>
  <c r="D39" i="22" s="1"/>
  <c r="E40" i="8"/>
  <c r="D40" i="22" s="1"/>
  <c r="E41" i="8"/>
  <c r="D41" i="22" s="1"/>
  <c r="E42" i="8"/>
  <c r="D42" i="22" s="1"/>
  <c r="E43" i="8"/>
  <c r="D43" i="22" s="1"/>
  <c r="E44" i="8"/>
  <c r="D44" i="22" s="1"/>
  <c r="E45" i="8"/>
  <c r="D45" i="22" s="1"/>
  <c r="E46" i="8"/>
  <c r="D46" i="22" s="1"/>
  <c r="E47" i="8"/>
  <c r="D47" i="22" s="1"/>
  <c r="E48" i="8"/>
  <c r="D48" i="22" s="1"/>
  <c r="E49" i="8"/>
  <c r="D49" i="22" s="1"/>
  <c r="E28" i="23" l="1"/>
  <c r="W74" i="23" s="1"/>
  <c r="H28" i="23"/>
  <c r="H31" i="23"/>
  <c r="S77" i="23" s="1"/>
  <c r="V77" i="23"/>
  <c r="R77" i="23"/>
  <c r="V75" i="23"/>
  <c r="H30" i="23"/>
  <c r="E30" i="23"/>
  <c r="W76" i="23" s="1"/>
  <c r="H27" i="23"/>
  <c r="B3" i="4"/>
  <c r="V74" i="23"/>
  <c r="E27" i="23"/>
  <c r="W73" i="23" s="1"/>
  <c r="H29" i="23"/>
  <c r="R74" i="23"/>
  <c r="E29" i="23"/>
  <c r="W75" i="23" s="1"/>
  <c r="V73" i="23"/>
  <c r="H26" i="23"/>
  <c r="E31" i="23"/>
  <c r="W77" i="23" s="1"/>
  <c r="E26" i="23"/>
  <c r="V76" i="23"/>
  <c r="V72" i="23"/>
  <c r="B3" i="23"/>
  <c r="AF142" i="22"/>
  <c r="Z4" i="22" a="1"/>
  <c r="AF6" i="22"/>
  <c r="AF160" i="22"/>
  <c r="AF148" i="22"/>
  <c r="AF140" i="22"/>
  <c r="AF132" i="22"/>
  <c r="AF128" i="22"/>
  <c r="AF124" i="22"/>
  <c r="AF120" i="22"/>
  <c r="AF116" i="22"/>
  <c r="AF112" i="22"/>
  <c r="AF104" i="22"/>
  <c r="AF100" i="22"/>
  <c r="AF96" i="22"/>
  <c r="AF92" i="22"/>
  <c r="AF84" i="22"/>
  <c r="AF76" i="22"/>
  <c r="AF72" i="22"/>
  <c r="AF68" i="22"/>
  <c r="AF64" i="22"/>
  <c r="AF60" i="22"/>
  <c r="AF56" i="22"/>
  <c r="AF52" i="22"/>
  <c r="AF48" i="22"/>
  <c r="AF44" i="22"/>
  <c r="AF40" i="22"/>
  <c r="AF36" i="22"/>
  <c r="AF32" i="22"/>
  <c r="AF28" i="22"/>
  <c r="AF24" i="22"/>
  <c r="AF20" i="22"/>
  <c r="AF16" i="22"/>
  <c r="AF12" i="22"/>
  <c r="AF8" i="22"/>
  <c r="AA55" i="22" l="1"/>
  <c r="AB55" i="22"/>
  <c r="AC55" i="22" s="1"/>
  <c r="AB54" i="22"/>
  <c r="AC54" i="22" s="1"/>
  <c r="AA54" i="22"/>
  <c r="S75" i="23"/>
  <c r="S73" i="23"/>
  <c r="W72" i="23"/>
  <c r="E32" i="23"/>
  <c r="S72" i="23"/>
  <c r="H32" i="23"/>
  <c r="S74" i="23"/>
  <c r="S76" i="23"/>
  <c r="Z4" i="22"/>
  <c r="D6" i="20"/>
  <c r="C165" i="22" s="1"/>
  <c r="AG165" i="22" s="1"/>
  <c r="I6" i="20"/>
  <c r="G165" i="22" s="1"/>
  <c r="D7" i="20" l="1"/>
  <c r="C166" i="22" s="1"/>
  <c r="AG166" i="22" s="1"/>
  <c r="I7" i="20"/>
  <c r="G166" i="22" s="1"/>
  <c r="I5" i="21" a="1"/>
  <c r="I5" i="21" s="1"/>
  <c r="L5" i="20" s="1"/>
  <c r="L164" i="22" s="1"/>
  <c r="I6" i="21" a="1"/>
  <c r="I6" i="21" s="1"/>
  <c r="L6" i="20" s="1"/>
  <c r="L165" i="22" s="1"/>
  <c r="I7" i="21" a="1"/>
  <c r="I7" i="21" s="1"/>
  <c r="L7" i="20" s="1"/>
  <c r="L166" i="22" s="1"/>
  <c r="I4" i="21" a="1"/>
  <c r="I4" i="21" s="1"/>
  <c r="L4" i="20" s="1"/>
  <c r="L163" i="22" s="1"/>
  <c r="F5" i="21"/>
  <c r="J164" i="22" s="1"/>
  <c r="F6" i="21"/>
  <c r="J165" i="22" s="1"/>
  <c r="F7" i="21"/>
  <c r="J166" i="22" s="1"/>
  <c r="F4" i="21"/>
  <c r="J163" i="22" l="1"/>
  <c r="I31" i="23" s="1"/>
  <c r="T77" i="23" s="1"/>
  <c r="G31" i="23"/>
  <c r="F31" i="23"/>
  <c r="H6" i="21"/>
  <c r="G4" i="21"/>
  <c r="K163" i="22" s="1"/>
  <c r="G7" i="21"/>
  <c r="K166" i="22" s="1"/>
  <c r="G6" i="21"/>
  <c r="K165" i="22" s="1"/>
  <c r="G5" i="21"/>
  <c r="K164" i="22" s="1"/>
  <c r="H4" i="21"/>
  <c r="H7" i="21"/>
  <c r="H5" i="21"/>
  <c r="J31" i="23" l="1"/>
  <c r="K31" i="23"/>
  <c r="I12" i="17" l="1" a="1"/>
  <c r="I12" i="17" s="1"/>
  <c r="F12" i="17"/>
  <c r="G12" i="17" s="1"/>
  <c r="B12" i="17"/>
  <c r="I8" i="16" l="1"/>
  <c r="G159" i="22" s="1"/>
  <c r="I9" i="16"/>
  <c r="G160" i="22" s="1"/>
  <c r="I10" i="16"/>
  <c r="G161" i="22" s="1"/>
  <c r="L8" i="16"/>
  <c r="L159" i="22" s="1"/>
  <c r="L9" i="16"/>
  <c r="L160" i="22" s="1"/>
  <c r="L10" i="16"/>
  <c r="L161" i="22" s="1"/>
  <c r="J159" i="22"/>
  <c r="J161" i="22"/>
  <c r="K160" i="22" l="1"/>
  <c r="J160" i="22"/>
  <c r="K161" i="22"/>
  <c r="K159" i="22"/>
  <c r="D8" i="16"/>
  <c r="C159" i="22" s="1"/>
  <c r="AG159" i="22" s="1"/>
  <c r="D9" i="16"/>
  <c r="C160" i="22" s="1"/>
  <c r="AG160" i="22" s="1"/>
  <c r="D10" i="16"/>
  <c r="C161" i="22" s="1"/>
  <c r="AG161" i="22" s="1"/>
  <c r="I41" i="15" l="1"/>
  <c r="G145" i="22" s="1"/>
  <c r="I42" i="15"/>
  <c r="G146" i="22" s="1"/>
  <c r="I43" i="15"/>
  <c r="G147" i="22" s="1"/>
  <c r="I44" i="15"/>
  <c r="G148" i="22" s="1"/>
  <c r="I45" i="15"/>
  <c r="G149" i="22" s="1"/>
  <c r="I46" i="15"/>
  <c r="G150" i="22" s="1"/>
  <c r="I47" i="15"/>
  <c r="G151" i="22" s="1"/>
  <c r="I48" i="15"/>
  <c r="G152" i="22" s="1"/>
  <c r="I49" i="15"/>
  <c r="G153" i="22" s="1"/>
  <c r="I50" i="15"/>
  <c r="G154" i="22" s="1"/>
  <c r="I51" i="15"/>
  <c r="G155" i="22" s="1"/>
  <c r="I52" i="15"/>
  <c r="G156" i="22" s="1"/>
  <c r="I53" i="15"/>
  <c r="G157" i="22" s="1"/>
  <c r="D41" i="15"/>
  <c r="C145" i="22" s="1"/>
  <c r="AG145" i="22" s="1"/>
  <c r="D42" i="15"/>
  <c r="C146" i="22" s="1"/>
  <c r="AG146" i="22" s="1"/>
  <c r="D43" i="15"/>
  <c r="C147" i="22" s="1"/>
  <c r="AG147" i="22" s="1"/>
  <c r="D44" i="15"/>
  <c r="C148" i="22" s="1"/>
  <c r="AG148" i="22" s="1"/>
  <c r="D45" i="15"/>
  <c r="C149" i="22" s="1"/>
  <c r="AG149" i="22" s="1"/>
  <c r="D46" i="15"/>
  <c r="C150" i="22" s="1"/>
  <c r="AG150" i="22" s="1"/>
  <c r="D47" i="15"/>
  <c r="C151" i="22" s="1"/>
  <c r="AG151" i="22" s="1"/>
  <c r="I40" i="14" a="1"/>
  <c r="I40" i="14" s="1"/>
  <c r="L40" i="15" s="1"/>
  <c r="L144" i="22" s="1"/>
  <c r="I41" i="14" a="1"/>
  <c r="I41" i="14" s="1"/>
  <c r="L41" i="15" s="1"/>
  <c r="L145" i="22" s="1"/>
  <c r="I42" i="14" a="1"/>
  <c r="I42" i="14" s="1"/>
  <c r="L42" i="15" s="1"/>
  <c r="L146" i="22" s="1"/>
  <c r="I43" i="14" a="1"/>
  <c r="I43" i="14" s="1"/>
  <c r="L43" i="15" s="1"/>
  <c r="L147" i="22" s="1"/>
  <c r="I44" i="14" a="1"/>
  <c r="I44" i="14" s="1"/>
  <c r="L44" i="15" s="1"/>
  <c r="L148" i="22" s="1"/>
  <c r="I45" i="14" a="1"/>
  <c r="I45" i="14" s="1"/>
  <c r="L45" i="15" s="1"/>
  <c r="L149" i="22" s="1"/>
  <c r="I46" i="14" a="1"/>
  <c r="I46" i="14" s="1"/>
  <c r="L46" i="15" s="1"/>
  <c r="L150" i="22" s="1"/>
  <c r="I47" i="14" a="1"/>
  <c r="I47" i="14" s="1"/>
  <c r="L47" i="15" s="1"/>
  <c r="L151" i="22" s="1"/>
  <c r="I48" i="14" a="1"/>
  <c r="I48" i="14" s="1"/>
  <c r="L48" i="15" s="1"/>
  <c r="L152" i="22" s="1"/>
  <c r="I49" i="14" a="1"/>
  <c r="I49" i="14" s="1"/>
  <c r="L49" i="15" s="1"/>
  <c r="L153" i="22" s="1"/>
  <c r="I50" i="14" a="1"/>
  <c r="I50" i="14" s="1"/>
  <c r="L50" i="15" s="1"/>
  <c r="L154" i="22" s="1"/>
  <c r="I51" i="14" a="1"/>
  <c r="I51" i="14" s="1"/>
  <c r="L51" i="15" s="1"/>
  <c r="L155" i="22" s="1"/>
  <c r="I52" i="14" a="1"/>
  <c r="I52" i="14" s="1"/>
  <c r="L52" i="15" s="1"/>
  <c r="L156" i="22" s="1"/>
  <c r="I53" i="14" a="1"/>
  <c r="I53" i="14" s="1"/>
  <c r="L53" i="15" s="1"/>
  <c r="L157" i="22" s="1"/>
  <c r="H49" i="14"/>
  <c r="F40" i="14"/>
  <c r="J144" i="22" s="1"/>
  <c r="F41" i="14"/>
  <c r="G41" i="14" s="1"/>
  <c r="K145" i="22" s="1"/>
  <c r="F42" i="14"/>
  <c r="F43" i="14"/>
  <c r="F44" i="14"/>
  <c r="F45" i="14"/>
  <c r="F46" i="14"/>
  <c r="F47" i="14"/>
  <c r="F48" i="14"/>
  <c r="F49" i="14"/>
  <c r="J153" i="22" s="1"/>
  <c r="F50" i="14"/>
  <c r="F51" i="14"/>
  <c r="J155" i="22" s="1"/>
  <c r="F52" i="14"/>
  <c r="F53" i="14"/>
  <c r="H53" i="14" s="1"/>
  <c r="H40" i="14" l="1"/>
  <c r="G40" i="14"/>
  <c r="K144" i="22" s="1"/>
  <c r="G46" i="14"/>
  <c r="K150" i="22" s="1"/>
  <c r="J150" i="22"/>
  <c r="G53" i="14"/>
  <c r="K157" i="22" s="1"/>
  <c r="J157" i="22"/>
  <c r="H51" i="14"/>
  <c r="G47" i="14"/>
  <c r="K151" i="22" s="1"/>
  <c r="J151" i="22"/>
  <c r="G52" i="14"/>
  <c r="K156" i="22" s="1"/>
  <c r="J156" i="22"/>
  <c r="G50" i="14"/>
  <c r="K154" i="22" s="1"/>
  <c r="J154" i="22"/>
  <c r="H45" i="14"/>
  <c r="J149" i="22"/>
  <c r="H44" i="14"/>
  <c r="J148" i="22"/>
  <c r="G43" i="14"/>
  <c r="K147" i="22" s="1"/>
  <c r="J147" i="22"/>
  <c r="G51" i="14"/>
  <c r="K155" i="22" s="1"/>
  <c r="G49" i="14"/>
  <c r="K153" i="22" s="1"/>
  <c r="H48" i="14"/>
  <c r="J152" i="22"/>
  <c r="H42" i="14"/>
  <c r="J146" i="22"/>
  <c r="H41" i="14"/>
  <c r="J145" i="22"/>
  <c r="G48" i="14"/>
  <c r="K152" i="22" s="1"/>
  <c r="G44" i="14"/>
  <c r="K148" i="22" s="1"/>
  <c r="G42" i="14"/>
  <c r="K146" i="22" s="1"/>
  <c r="H50" i="14"/>
  <c r="H47" i="14"/>
  <c r="H46" i="14"/>
  <c r="G45" i="14"/>
  <c r="K149" i="22" s="1"/>
  <c r="H43" i="14"/>
  <c r="H52" i="14"/>
  <c r="I22" i="14" l="1" a="1"/>
  <c r="I22" i="14" s="1"/>
  <c r="L22" i="15" s="1"/>
  <c r="L126" i="22" s="1"/>
  <c r="I23" i="14" a="1"/>
  <c r="I23" i="14" s="1"/>
  <c r="L23" i="15" s="1"/>
  <c r="L127" i="22" s="1"/>
  <c r="I24" i="14" a="1"/>
  <c r="I24" i="14" s="1"/>
  <c r="L24" i="15" s="1"/>
  <c r="L128" i="22" s="1"/>
  <c r="I25" i="14" a="1"/>
  <c r="I25" i="14" s="1"/>
  <c r="L25" i="15" s="1"/>
  <c r="L129" i="22" s="1"/>
  <c r="I26" i="14" a="1"/>
  <c r="I26" i="14" s="1"/>
  <c r="L26" i="15" s="1"/>
  <c r="L130" i="22" s="1"/>
  <c r="I27" i="14" a="1"/>
  <c r="I27" i="14" s="1"/>
  <c r="L27" i="15" s="1"/>
  <c r="L131" i="22" s="1"/>
  <c r="I28" i="14" a="1"/>
  <c r="I28" i="14" s="1"/>
  <c r="L28" i="15" s="1"/>
  <c r="L132" i="22" s="1"/>
  <c r="I29" i="14" a="1"/>
  <c r="I29" i="14" s="1"/>
  <c r="L29" i="15" s="1"/>
  <c r="L133" i="22" s="1"/>
  <c r="I30" i="14" a="1"/>
  <c r="I30" i="14" s="1"/>
  <c r="L30" i="15" s="1"/>
  <c r="L134" i="22" s="1"/>
  <c r="I31" i="14" a="1"/>
  <c r="I31" i="14" s="1"/>
  <c r="L31" i="15" s="1"/>
  <c r="L135" i="22" s="1"/>
  <c r="I32" i="14" a="1"/>
  <c r="I32" i="14" s="1"/>
  <c r="L32" i="15" s="1"/>
  <c r="L136" i="22" s="1"/>
  <c r="I33" i="14" a="1"/>
  <c r="I33" i="14" s="1"/>
  <c r="L33" i="15" s="1"/>
  <c r="L137" i="22" s="1"/>
  <c r="I34" i="14" a="1"/>
  <c r="I34" i="14" s="1"/>
  <c r="L34" i="15" s="1"/>
  <c r="L138" i="22" s="1"/>
  <c r="I35" i="14" a="1"/>
  <c r="I35" i="14" s="1"/>
  <c r="L35" i="15" s="1"/>
  <c r="L139" i="22" s="1"/>
  <c r="I36" i="14" a="1"/>
  <c r="I36" i="14" s="1"/>
  <c r="L36" i="15" s="1"/>
  <c r="L140" i="22" s="1"/>
  <c r="I37" i="14" a="1"/>
  <c r="I37" i="14" s="1"/>
  <c r="L37" i="15" s="1"/>
  <c r="L141" i="22" s="1"/>
  <c r="I38" i="14" a="1"/>
  <c r="I38" i="14" s="1"/>
  <c r="L38" i="15" s="1"/>
  <c r="L142" i="22" s="1"/>
  <c r="I39" i="14" a="1"/>
  <c r="I39" i="14" s="1"/>
  <c r="L39" i="15" s="1"/>
  <c r="L143" i="22" s="1"/>
  <c r="F22" i="14"/>
  <c r="F23" i="14"/>
  <c r="F24" i="14"/>
  <c r="F25" i="14"/>
  <c r="F26" i="14"/>
  <c r="H26" i="14" s="1"/>
  <c r="F27" i="14"/>
  <c r="H27" i="14" s="1"/>
  <c r="F28" i="14"/>
  <c r="F29" i="14"/>
  <c r="F30" i="14"/>
  <c r="F31" i="14"/>
  <c r="F32" i="14"/>
  <c r="F33" i="14"/>
  <c r="F34" i="14"/>
  <c r="F35" i="14"/>
  <c r="F36" i="14"/>
  <c r="F37" i="14"/>
  <c r="F38" i="14"/>
  <c r="F39" i="14"/>
  <c r="G22" i="14" l="1"/>
  <c r="K126" i="22" s="1"/>
  <c r="J126" i="22"/>
  <c r="H39" i="14"/>
  <c r="J143" i="22"/>
  <c r="G31" i="14"/>
  <c r="K135" i="22" s="1"/>
  <c r="J135" i="22"/>
  <c r="G32" i="14"/>
  <c r="K136" i="22" s="1"/>
  <c r="J136" i="22"/>
  <c r="G30" i="14"/>
  <c r="K134" i="22" s="1"/>
  <c r="J134" i="22"/>
  <c r="G23" i="14"/>
  <c r="K127" i="22" s="1"/>
  <c r="J127" i="22"/>
  <c r="G36" i="14"/>
  <c r="K140" i="22" s="1"/>
  <c r="J140" i="22"/>
  <c r="H28" i="14"/>
  <c r="J132" i="22"/>
  <c r="J131" i="22"/>
  <c r="H38" i="14"/>
  <c r="J142" i="22"/>
  <c r="H37" i="14"/>
  <c r="J141" i="22"/>
  <c r="G35" i="14"/>
  <c r="K139" i="22" s="1"/>
  <c r="J139" i="22"/>
  <c r="G34" i="14"/>
  <c r="K138" i="22" s="1"/>
  <c r="J138" i="22"/>
  <c r="H33" i="14"/>
  <c r="J137" i="22"/>
  <c r="G29" i="14"/>
  <c r="K133" i="22" s="1"/>
  <c r="J133" i="22"/>
  <c r="G26" i="14"/>
  <c r="K130" i="22" s="1"/>
  <c r="J130" i="22"/>
  <c r="G25" i="14"/>
  <c r="K129" i="22" s="1"/>
  <c r="J129" i="22"/>
  <c r="G24" i="14"/>
  <c r="K128" i="22" s="1"/>
  <c r="J128" i="22"/>
  <c r="G38" i="14"/>
  <c r="K142" i="22" s="1"/>
  <c r="G39" i="14"/>
  <c r="K143" i="22" s="1"/>
  <c r="H31" i="14"/>
  <c r="G33" i="14"/>
  <c r="K137" i="22" s="1"/>
  <c r="G37" i="14"/>
  <c r="K141" i="22" s="1"/>
  <c r="H29" i="14"/>
  <c r="H36" i="14"/>
  <c r="H35" i="14"/>
  <c r="H34" i="14"/>
  <c r="G28" i="14"/>
  <c r="K132" i="22" s="1"/>
  <c r="G27" i="14"/>
  <c r="K131" i="22" s="1"/>
  <c r="H23" i="14"/>
  <c r="H22" i="14"/>
  <c r="H30" i="14"/>
  <c r="H32" i="14"/>
  <c r="H24" i="14"/>
  <c r="H25" i="14"/>
  <c r="I13" i="14" a="1"/>
  <c r="I13" i="14" s="1"/>
  <c r="L13" i="15" s="1"/>
  <c r="L117" i="22" s="1"/>
  <c r="I14" i="14" a="1"/>
  <c r="I14" i="14" s="1"/>
  <c r="L14" i="15" s="1"/>
  <c r="L118" i="22" s="1"/>
  <c r="I15" i="14" a="1"/>
  <c r="I15" i="14" s="1"/>
  <c r="L15" i="15" s="1"/>
  <c r="L119" i="22" s="1"/>
  <c r="I16" i="14" a="1"/>
  <c r="I16" i="14" s="1"/>
  <c r="L16" i="15" s="1"/>
  <c r="L120" i="22" s="1"/>
  <c r="I17" i="14" a="1"/>
  <c r="I17" i="14" s="1"/>
  <c r="L17" i="15" s="1"/>
  <c r="L121" i="22" s="1"/>
  <c r="I18" i="14" a="1"/>
  <c r="I18" i="14" s="1"/>
  <c r="L18" i="15" s="1"/>
  <c r="L122" i="22" s="1"/>
  <c r="I19" i="14" a="1"/>
  <c r="I19" i="14" s="1"/>
  <c r="L19" i="15" s="1"/>
  <c r="L123" i="22" s="1"/>
  <c r="I5" i="14" a="1"/>
  <c r="I5" i="14" s="1"/>
  <c r="L5" i="15" s="1"/>
  <c r="L109" i="22" s="1"/>
  <c r="I6" i="14" a="1"/>
  <c r="I6" i="14" s="1"/>
  <c r="L6" i="15" s="1"/>
  <c r="L110" i="22" s="1"/>
  <c r="I7" i="14" a="1"/>
  <c r="I7" i="14" s="1"/>
  <c r="L7" i="15" s="1"/>
  <c r="L111" i="22" s="1"/>
  <c r="I8" i="14" a="1"/>
  <c r="I8" i="14" s="1"/>
  <c r="L8" i="15" s="1"/>
  <c r="L112" i="22" s="1"/>
  <c r="I9" i="14" a="1"/>
  <c r="I9" i="14" s="1"/>
  <c r="L9" i="15" s="1"/>
  <c r="L113" i="22" s="1"/>
  <c r="I10" i="14" a="1"/>
  <c r="I10" i="14" s="1"/>
  <c r="L10" i="15" s="1"/>
  <c r="L114" i="22" s="1"/>
  <c r="I11" i="14" a="1"/>
  <c r="I11" i="14" s="1"/>
  <c r="L11" i="15" s="1"/>
  <c r="L115" i="22" s="1"/>
  <c r="I12" i="14" a="1"/>
  <c r="I12" i="14" s="1"/>
  <c r="L12" i="15" s="1"/>
  <c r="L116" i="22" s="1"/>
  <c r="I20" i="14" a="1"/>
  <c r="I20" i="14" s="1"/>
  <c r="L20" i="15" s="1"/>
  <c r="L124" i="22" s="1"/>
  <c r="I21" i="14" a="1"/>
  <c r="I21" i="14" s="1"/>
  <c r="L21" i="15" s="1"/>
  <c r="L125" i="22" s="1"/>
  <c r="F5" i="14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I5" i="15"/>
  <c r="G109" i="22" s="1"/>
  <c r="I6" i="15"/>
  <c r="G110" i="22" s="1"/>
  <c r="I7" i="15"/>
  <c r="G111" i="22" s="1"/>
  <c r="I8" i="15"/>
  <c r="G112" i="22" s="1"/>
  <c r="I9" i="15"/>
  <c r="G113" i="22" s="1"/>
  <c r="I10" i="15"/>
  <c r="G114" i="22" s="1"/>
  <c r="I11" i="15"/>
  <c r="G115" i="22" s="1"/>
  <c r="I12" i="15"/>
  <c r="G116" i="22" s="1"/>
  <c r="I13" i="15"/>
  <c r="G117" i="22" s="1"/>
  <c r="I14" i="15"/>
  <c r="G118" i="22" s="1"/>
  <c r="I15" i="15"/>
  <c r="G119" i="22" s="1"/>
  <c r="I16" i="15"/>
  <c r="G120" i="22" s="1"/>
  <c r="I17" i="15"/>
  <c r="G121" i="22" s="1"/>
  <c r="I18" i="15"/>
  <c r="G122" i="22" s="1"/>
  <c r="I19" i="15"/>
  <c r="G123" i="22" s="1"/>
  <c r="I20" i="15"/>
  <c r="G124" i="22" s="1"/>
  <c r="I21" i="15"/>
  <c r="G125" i="22" s="1"/>
  <c r="I22" i="15"/>
  <c r="G126" i="22" s="1"/>
  <c r="I23" i="15"/>
  <c r="G127" i="22" s="1"/>
  <c r="D19" i="15"/>
  <c r="C123" i="22" s="1"/>
  <c r="AG123" i="22" s="1"/>
  <c r="D20" i="15"/>
  <c r="C124" i="22" s="1"/>
  <c r="AG124" i="22" s="1"/>
  <c r="D21" i="15"/>
  <c r="C125" i="22" s="1"/>
  <c r="AG125" i="22" s="1"/>
  <c r="D22" i="15"/>
  <c r="C126" i="22" s="1"/>
  <c r="AG126" i="22" s="1"/>
  <c r="D23" i="15"/>
  <c r="C127" i="22" s="1"/>
  <c r="AG127" i="22" s="1"/>
  <c r="D24" i="15"/>
  <c r="C128" i="22" s="1"/>
  <c r="AG128" i="22" s="1"/>
  <c r="D25" i="15"/>
  <c r="C129" i="22" s="1"/>
  <c r="AG129" i="22" s="1"/>
  <c r="D26" i="15"/>
  <c r="C130" i="22" s="1"/>
  <c r="AG130" i="22" s="1"/>
  <c r="D27" i="15"/>
  <c r="C131" i="22" s="1"/>
  <c r="AG131" i="22" s="1"/>
  <c r="D28" i="15"/>
  <c r="C132" i="22" s="1"/>
  <c r="AG132" i="22" s="1"/>
  <c r="D29" i="15"/>
  <c r="C133" i="22" s="1"/>
  <c r="AG133" i="22" s="1"/>
  <c r="D30" i="15"/>
  <c r="C134" i="22" s="1"/>
  <c r="AG134" i="22" s="1"/>
  <c r="D31" i="15"/>
  <c r="C135" i="22" s="1"/>
  <c r="AG135" i="22" s="1"/>
  <c r="D32" i="15"/>
  <c r="C136" i="22" s="1"/>
  <c r="AG136" i="22" s="1"/>
  <c r="I24" i="15"/>
  <c r="G128" i="22" s="1"/>
  <c r="I25" i="15"/>
  <c r="G129" i="22" s="1"/>
  <c r="I26" i="15"/>
  <c r="G130" i="22" s="1"/>
  <c r="I27" i="15"/>
  <c r="G131" i="22" s="1"/>
  <c r="I28" i="15"/>
  <c r="G132" i="22" s="1"/>
  <c r="I29" i="15"/>
  <c r="G133" i="22" s="1"/>
  <c r="I30" i="15"/>
  <c r="G134" i="22" s="1"/>
  <c r="I31" i="15"/>
  <c r="G135" i="22" s="1"/>
  <c r="I32" i="15"/>
  <c r="G136" i="22" s="1"/>
  <c r="D33" i="15"/>
  <c r="C137" i="22" s="1"/>
  <c r="AG137" i="22" s="1"/>
  <c r="D34" i="15"/>
  <c r="C138" i="22" s="1"/>
  <c r="AG138" i="22" s="1"/>
  <c r="D35" i="15"/>
  <c r="C139" i="22" s="1"/>
  <c r="AG139" i="22" s="1"/>
  <c r="D36" i="15"/>
  <c r="C140" i="22" s="1"/>
  <c r="AG140" i="22" s="1"/>
  <c r="D37" i="15"/>
  <c r="C141" i="22" s="1"/>
  <c r="AG141" i="22" s="1"/>
  <c r="D38" i="15"/>
  <c r="C142" i="22" s="1"/>
  <c r="AG142" i="22" s="1"/>
  <c r="D39" i="15"/>
  <c r="C143" i="22" s="1"/>
  <c r="AG143" i="22" s="1"/>
  <c r="I33" i="15"/>
  <c r="G137" i="22" s="1"/>
  <c r="I34" i="15"/>
  <c r="G138" i="22" s="1"/>
  <c r="I35" i="15"/>
  <c r="G139" i="22" s="1"/>
  <c r="I36" i="15"/>
  <c r="G140" i="22" s="1"/>
  <c r="I37" i="15"/>
  <c r="G141" i="22" s="1"/>
  <c r="I38" i="15"/>
  <c r="G142" i="22" s="1"/>
  <c r="I39" i="15"/>
  <c r="G143" i="22" s="1"/>
  <c r="G15" i="14" l="1"/>
  <c r="K119" i="22" s="1"/>
  <c r="J119" i="22"/>
  <c r="G9" i="14"/>
  <c r="K113" i="22" s="1"/>
  <c r="J113" i="22"/>
  <c r="G12" i="14"/>
  <c r="K116" i="22" s="1"/>
  <c r="J116" i="22"/>
  <c r="G11" i="14"/>
  <c r="K115" i="22" s="1"/>
  <c r="J115" i="22"/>
  <c r="G10" i="14"/>
  <c r="K114" i="22" s="1"/>
  <c r="J114" i="22"/>
  <c r="G8" i="14"/>
  <c r="K112" i="22" s="1"/>
  <c r="J112" i="22"/>
  <c r="G7" i="14"/>
  <c r="K111" i="22" s="1"/>
  <c r="J111" i="22"/>
  <c r="G6" i="14"/>
  <c r="K110" i="22" s="1"/>
  <c r="J110" i="22"/>
  <c r="H5" i="14"/>
  <c r="J109" i="22"/>
  <c r="H21" i="14"/>
  <c r="J125" i="22"/>
  <c r="G19" i="14"/>
  <c r="K123" i="22" s="1"/>
  <c r="J123" i="22"/>
  <c r="G17" i="14"/>
  <c r="K121" i="22" s="1"/>
  <c r="J121" i="22"/>
  <c r="H20" i="14"/>
  <c r="J124" i="22"/>
  <c r="G18" i="14"/>
  <c r="K122" i="22" s="1"/>
  <c r="J122" i="22"/>
  <c r="G16" i="14"/>
  <c r="K120" i="22" s="1"/>
  <c r="J120" i="22"/>
  <c r="G14" i="14"/>
  <c r="K118" i="22" s="1"/>
  <c r="J118" i="22"/>
  <c r="G13" i="14"/>
  <c r="K117" i="22" s="1"/>
  <c r="J117" i="22"/>
  <c r="G5" i="14"/>
  <c r="K109" i="22" s="1"/>
  <c r="H17" i="14"/>
  <c r="H12" i="14"/>
  <c r="H11" i="14"/>
  <c r="G21" i="14"/>
  <c r="K125" i="22" s="1"/>
  <c r="H10" i="14"/>
  <c r="H9" i="14"/>
  <c r="H8" i="14"/>
  <c r="H7" i="14"/>
  <c r="H6" i="14"/>
  <c r="G20" i="14"/>
  <c r="K124" i="22" s="1"/>
  <c r="H19" i="14"/>
  <c r="H18" i="14"/>
  <c r="H16" i="14"/>
  <c r="H15" i="14"/>
  <c r="H14" i="14"/>
  <c r="H13" i="14"/>
  <c r="B37" i="14" l="1"/>
  <c r="B37" i="15" l="1"/>
  <c r="F59" i="13"/>
  <c r="J105" i="22" s="1"/>
  <c r="F60" i="13"/>
  <c r="J106" i="22" s="1"/>
  <c r="F61" i="13"/>
  <c r="J107" i="22" s="1"/>
  <c r="I59" i="13" a="1"/>
  <c r="I59" i="13" s="1"/>
  <c r="L59" i="12" s="1"/>
  <c r="L105" i="22" s="1"/>
  <c r="L60" i="12"/>
  <c r="L106" i="22" s="1"/>
  <c r="L61" i="12"/>
  <c r="L107" i="22" s="1"/>
  <c r="H61" i="13" l="1"/>
  <c r="H60" i="13"/>
  <c r="H59" i="13"/>
  <c r="G59" i="13"/>
  <c r="K105" i="22" s="1"/>
  <c r="G60" i="13"/>
  <c r="K106" i="22" s="1"/>
  <c r="G61" i="13"/>
  <c r="K107" i="22" s="1"/>
  <c r="I59" i="12"/>
  <c r="G105" i="22" s="1"/>
  <c r="I60" i="12"/>
  <c r="G106" i="22" s="1"/>
  <c r="I61" i="12"/>
  <c r="G107" i="22" s="1"/>
  <c r="D59" i="12"/>
  <c r="C105" i="22" s="1"/>
  <c r="AG105" i="22" s="1"/>
  <c r="D60" i="12"/>
  <c r="C106" i="22" s="1"/>
  <c r="AG106" i="22" s="1"/>
  <c r="D61" i="12"/>
  <c r="C107" i="22" s="1"/>
  <c r="AG107" i="22" s="1"/>
  <c r="I5" i="13" l="1" a="1"/>
  <c r="I5" i="13" s="1"/>
  <c r="L5" i="12" s="1"/>
  <c r="L51" i="22" s="1"/>
  <c r="I6" i="13" a="1"/>
  <c r="I6" i="13" s="1"/>
  <c r="L6" i="12" s="1"/>
  <c r="L52" i="22" s="1"/>
  <c r="I7" i="13" a="1"/>
  <c r="I7" i="13" s="1"/>
  <c r="L7" i="12" s="1"/>
  <c r="L53" i="22" s="1"/>
  <c r="I8" i="13" a="1"/>
  <c r="I8" i="13" s="1"/>
  <c r="L8" i="12" s="1"/>
  <c r="L54" i="22" s="1"/>
  <c r="I9" i="13" a="1"/>
  <c r="I9" i="13" s="1"/>
  <c r="L9" i="12" s="1"/>
  <c r="L55" i="22" s="1"/>
  <c r="I10" i="13" a="1"/>
  <c r="I10" i="13" s="1"/>
  <c r="L10" i="12" s="1"/>
  <c r="L56" i="22" s="1"/>
  <c r="I11" i="13" a="1"/>
  <c r="I11" i="13" s="1"/>
  <c r="L11" i="12" s="1"/>
  <c r="L57" i="22" s="1"/>
  <c r="I12" i="13" a="1"/>
  <c r="I12" i="13" s="1"/>
  <c r="L12" i="12" s="1"/>
  <c r="L58" i="22" s="1"/>
  <c r="I13" i="13" a="1"/>
  <c r="I13" i="13" s="1"/>
  <c r="L13" i="12" s="1"/>
  <c r="L59" i="22" s="1"/>
  <c r="I14" i="13" a="1"/>
  <c r="I14" i="13" s="1"/>
  <c r="L14" i="12" s="1"/>
  <c r="L60" i="22" s="1"/>
  <c r="I15" i="13" a="1"/>
  <c r="I15" i="13" s="1"/>
  <c r="L15" i="12" s="1"/>
  <c r="L61" i="22" s="1"/>
  <c r="I16" i="13" a="1"/>
  <c r="I16" i="13" s="1"/>
  <c r="L16" i="12" s="1"/>
  <c r="L62" i="22" s="1"/>
  <c r="I17" i="13" a="1"/>
  <c r="I17" i="13" s="1"/>
  <c r="L17" i="12" s="1"/>
  <c r="L63" i="22" s="1"/>
  <c r="I18" i="13" a="1"/>
  <c r="I18" i="13" s="1"/>
  <c r="L18" i="12" s="1"/>
  <c r="L64" i="22" s="1"/>
  <c r="I19" i="13" a="1"/>
  <c r="I19" i="13" s="1"/>
  <c r="L19" i="12" s="1"/>
  <c r="L65" i="22" s="1"/>
  <c r="I20" i="13" a="1"/>
  <c r="I20" i="13" s="1"/>
  <c r="L20" i="12" s="1"/>
  <c r="L66" i="22" s="1"/>
  <c r="I21" i="13" a="1"/>
  <c r="I21" i="13" s="1"/>
  <c r="L21" i="12" s="1"/>
  <c r="L67" i="22" s="1"/>
  <c r="I22" i="13" a="1"/>
  <c r="I22" i="13" s="1"/>
  <c r="L22" i="12" s="1"/>
  <c r="L68" i="22" s="1"/>
  <c r="I23" i="13" a="1"/>
  <c r="I23" i="13" s="1"/>
  <c r="L23" i="12" s="1"/>
  <c r="L69" i="22" s="1"/>
  <c r="I24" i="13" a="1"/>
  <c r="I24" i="13" s="1"/>
  <c r="L24" i="12" s="1"/>
  <c r="L70" i="22" s="1"/>
  <c r="I25" i="13" a="1"/>
  <c r="I25" i="13" s="1"/>
  <c r="L25" i="12" s="1"/>
  <c r="L71" i="22" s="1"/>
  <c r="I26" i="13" a="1"/>
  <c r="I26" i="13" s="1"/>
  <c r="L26" i="12" s="1"/>
  <c r="L72" i="22" s="1"/>
  <c r="I27" i="13" a="1"/>
  <c r="I27" i="13" s="1"/>
  <c r="L27" i="12" s="1"/>
  <c r="L73" i="22" s="1"/>
  <c r="I28" i="13" a="1"/>
  <c r="I28" i="13" s="1"/>
  <c r="L28" i="12" s="1"/>
  <c r="L74" i="22" s="1"/>
  <c r="I29" i="13" a="1"/>
  <c r="I29" i="13" s="1"/>
  <c r="L29" i="12" s="1"/>
  <c r="L75" i="22" s="1"/>
  <c r="I30" i="13" a="1"/>
  <c r="I30" i="13" s="1"/>
  <c r="L30" i="12" s="1"/>
  <c r="L76" i="22" s="1"/>
  <c r="I31" i="13" a="1"/>
  <c r="I31" i="13" s="1"/>
  <c r="L31" i="12" s="1"/>
  <c r="L77" i="22" s="1"/>
  <c r="I32" i="13" a="1"/>
  <c r="I32" i="13" s="1"/>
  <c r="L32" i="12" s="1"/>
  <c r="L78" i="22" s="1"/>
  <c r="I33" i="13" a="1"/>
  <c r="I33" i="13" s="1"/>
  <c r="L33" i="12" s="1"/>
  <c r="L79" i="22" s="1"/>
  <c r="L34" i="12"/>
  <c r="L80" i="22" s="1"/>
  <c r="L35" i="12"/>
  <c r="L81" i="22" s="1"/>
  <c r="L36" i="12"/>
  <c r="L82" i="22" s="1"/>
  <c r="L37" i="12"/>
  <c r="L83" i="22" s="1"/>
  <c r="L38" i="12"/>
  <c r="L84" i="22" s="1"/>
  <c r="L39" i="12"/>
  <c r="L85" i="22" s="1"/>
  <c r="L40" i="12"/>
  <c r="L86" i="22" s="1"/>
  <c r="L41" i="12"/>
  <c r="L87" i="22" s="1"/>
  <c r="L42" i="12"/>
  <c r="L88" i="22" s="1"/>
  <c r="L43" i="12"/>
  <c r="L89" i="22" s="1"/>
  <c r="L44" i="12"/>
  <c r="L90" i="22" s="1"/>
  <c r="L45" i="12"/>
  <c r="L91" i="22" s="1"/>
  <c r="L46" i="12"/>
  <c r="L92" i="22" s="1"/>
  <c r="L47" i="12"/>
  <c r="L93" i="22" s="1"/>
  <c r="L48" i="12"/>
  <c r="L94" i="22" s="1"/>
  <c r="L49" i="12"/>
  <c r="L95" i="22" s="1"/>
  <c r="L50" i="12"/>
  <c r="L96" i="22" s="1"/>
  <c r="L51" i="12"/>
  <c r="L97" i="22" s="1"/>
  <c r="L52" i="12"/>
  <c r="L98" i="22" s="1"/>
  <c r="L53" i="12"/>
  <c r="L99" i="22" s="1"/>
  <c r="L54" i="12"/>
  <c r="L100" i="22" s="1"/>
  <c r="L55" i="12"/>
  <c r="L101" i="22" s="1"/>
  <c r="L56" i="12"/>
  <c r="L102" i="22" s="1"/>
  <c r="L57" i="12"/>
  <c r="L103" i="22" s="1"/>
  <c r="L58" i="12"/>
  <c r="L104" i="22" s="1"/>
  <c r="F5" i="13"/>
  <c r="J51" i="22" s="1"/>
  <c r="F6" i="13"/>
  <c r="J52" i="22" s="1"/>
  <c r="F7" i="13"/>
  <c r="G7" i="13" s="1"/>
  <c r="K53" i="22" s="1"/>
  <c r="F8" i="13"/>
  <c r="G8" i="13" s="1"/>
  <c r="K54" i="22" s="1"/>
  <c r="F9" i="13"/>
  <c r="G9" i="13" s="1"/>
  <c r="K55" i="22" s="1"/>
  <c r="F10" i="13"/>
  <c r="G10" i="13" s="1"/>
  <c r="K56" i="22" s="1"/>
  <c r="F11" i="13"/>
  <c r="G11" i="13" s="1"/>
  <c r="K57" i="22" s="1"/>
  <c r="F12" i="13"/>
  <c r="G12" i="13" s="1"/>
  <c r="K58" i="22" s="1"/>
  <c r="F13" i="13"/>
  <c r="F14" i="13"/>
  <c r="F15" i="13"/>
  <c r="F16" i="13"/>
  <c r="F17" i="13"/>
  <c r="J63" i="22" s="1"/>
  <c r="F18" i="13"/>
  <c r="J64" i="22" s="1"/>
  <c r="F19" i="13"/>
  <c r="F20" i="13"/>
  <c r="G20" i="13" s="1"/>
  <c r="K66" i="22" s="1"/>
  <c r="F21" i="13"/>
  <c r="J67" i="22" s="1"/>
  <c r="F22" i="13"/>
  <c r="J68" i="22" s="1"/>
  <c r="F23" i="13"/>
  <c r="J69" i="22" s="1"/>
  <c r="F24" i="13"/>
  <c r="J70" i="22" s="1"/>
  <c r="F25" i="13"/>
  <c r="J71" i="22" s="1"/>
  <c r="F26" i="13"/>
  <c r="J72" i="22" s="1"/>
  <c r="F27" i="13"/>
  <c r="G27" i="13" s="1"/>
  <c r="K73" i="22" s="1"/>
  <c r="F28" i="13"/>
  <c r="G28" i="13" s="1"/>
  <c r="K74" i="22" s="1"/>
  <c r="F29" i="13"/>
  <c r="G29" i="13" s="1"/>
  <c r="K75" i="22" s="1"/>
  <c r="F30" i="13"/>
  <c r="G30" i="13" s="1"/>
  <c r="K76" i="22" s="1"/>
  <c r="F31" i="13"/>
  <c r="G31" i="13" s="1"/>
  <c r="K77" i="22" s="1"/>
  <c r="F32" i="13"/>
  <c r="G32" i="13" s="1"/>
  <c r="K78" i="22" s="1"/>
  <c r="F33" i="13"/>
  <c r="F34" i="13"/>
  <c r="F35" i="13"/>
  <c r="J81" i="22" s="1"/>
  <c r="F36" i="13"/>
  <c r="J82" i="22" s="1"/>
  <c r="F37" i="13"/>
  <c r="J83" i="22" s="1"/>
  <c r="F38" i="13"/>
  <c r="J84" i="22" s="1"/>
  <c r="F39" i="13"/>
  <c r="F40" i="13"/>
  <c r="G40" i="13" s="1"/>
  <c r="K86" i="22" s="1"/>
  <c r="F41" i="13"/>
  <c r="J87" i="22" s="1"/>
  <c r="F42" i="13"/>
  <c r="J88" i="22" s="1"/>
  <c r="F43" i="13"/>
  <c r="J89" i="22" s="1"/>
  <c r="F44" i="13"/>
  <c r="J90" i="22" s="1"/>
  <c r="F45" i="13"/>
  <c r="J91" i="22" s="1"/>
  <c r="F46" i="13"/>
  <c r="J92" i="22" s="1"/>
  <c r="F47" i="13"/>
  <c r="G47" i="13" s="1"/>
  <c r="K93" i="22" s="1"/>
  <c r="F48" i="13"/>
  <c r="G48" i="13" s="1"/>
  <c r="K94" i="22" s="1"/>
  <c r="F49" i="13"/>
  <c r="G49" i="13" s="1"/>
  <c r="K95" i="22" s="1"/>
  <c r="F50" i="13"/>
  <c r="G50" i="13" s="1"/>
  <c r="K96" i="22" s="1"/>
  <c r="F51" i="13"/>
  <c r="G51" i="13" s="1"/>
  <c r="K97" i="22" s="1"/>
  <c r="F52" i="13"/>
  <c r="G52" i="13" s="1"/>
  <c r="K98" i="22" s="1"/>
  <c r="F53" i="13"/>
  <c r="F54" i="13"/>
  <c r="F55" i="13"/>
  <c r="F56" i="13"/>
  <c r="F57" i="13"/>
  <c r="J103" i="22" s="1"/>
  <c r="F58" i="13"/>
  <c r="H46" i="13" l="1"/>
  <c r="H5" i="13"/>
  <c r="G43" i="13"/>
  <c r="K89" i="22" s="1"/>
  <c r="G44" i="13"/>
  <c r="K90" i="22" s="1"/>
  <c r="G45" i="13"/>
  <c r="K91" i="22" s="1"/>
  <c r="G5" i="13"/>
  <c r="K51" i="22" s="1"/>
  <c r="H45" i="13"/>
  <c r="G42" i="13"/>
  <c r="K88" i="22" s="1"/>
  <c r="G41" i="13"/>
  <c r="K87" i="22" s="1"/>
  <c r="G24" i="13"/>
  <c r="K70" i="22" s="1"/>
  <c r="G25" i="13"/>
  <c r="K71" i="22" s="1"/>
  <c r="G23" i="13"/>
  <c r="K69" i="22" s="1"/>
  <c r="G22" i="13"/>
  <c r="K68" i="22" s="1"/>
  <c r="G21" i="13"/>
  <c r="K67" i="22" s="1"/>
  <c r="H39" i="13"/>
  <c r="J85" i="22"/>
  <c r="H16" i="13"/>
  <c r="J62" i="22"/>
  <c r="H55" i="13"/>
  <c r="J101" i="22"/>
  <c r="H54" i="13"/>
  <c r="J100" i="22"/>
  <c r="H34" i="13"/>
  <c r="J80" i="22"/>
  <c r="H14" i="13"/>
  <c r="J60" i="22"/>
  <c r="H56" i="13"/>
  <c r="J102" i="22"/>
  <c r="H15" i="13"/>
  <c r="J61" i="22"/>
  <c r="H53" i="13"/>
  <c r="J99" i="22"/>
  <c r="H33" i="13"/>
  <c r="J79" i="22"/>
  <c r="H13" i="13"/>
  <c r="J59" i="22"/>
  <c r="G46" i="13"/>
  <c r="K92" i="22" s="1"/>
  <c r="G26" i="13"/>
  <c r="K72" i="22" s="1"/>
  <c r="G6" i="13"/>
  <c r="K52" i="22" s="1"/>
  <c r="H19" i="13"/>
  <c r="J65" i="22"/>
  <c r="H32" i="13"/>
  <c r="J78" i="22"/>
  <c r="H30" i="13"/>
  <c r="J76" i="22"/>
  <c r="H9" i="13"/>
  <c r="J55" i="22"/>
  <c r="H57" i="13"/>
  <c r="H49" i="13"/>
  <c r="J95" i="22"/>
  <c r="H29" i="13"/>
  <c r="J75" i="22"/>
  <c r="H48" i="13"/>
  <c r="J94" i="22"/>
  <c r="H28" i="13"/>
  <c r="J74" i="22"/>
  <c r="H8" i="13"/>
  <c r="J54" i="22"/>
  <c r="H31" i="13"/>
  <c r="J77" i="22"/>
  <c r="H11" i="13"/>
  <c r="J57" i="22"/>
  <c r="H10" i="13"/>
  <c r="J56" i="22"/>
  <c r="H52" i="13"/>
  <c r="J98" i="22"/>
  <c r="H12" i="13"/>
  <c r="J58" i="22"/>
  <c r="H47" i="13"/>
  <c r="J93" i="22"/>
  <c r="G39" i="13"/>
  <c r="K85" i="22" s="1"/>
  <c r="H37" i="13"/>
  <c r="G38" i="13"/>
  <c r="K84" i="22" s="1"/>
  <c r="G18" i="13"/>
  <c r="K64" i="22" s="1"/>
  <c r="H27" i="13"/>
  <c r="J73" i="22"/>
  <c r="H26" i="13"/>
  <c r="G57" i="13"/>
  <c r="K103" i="22" s="1"/>
  <c r="G37" i="13"/>
  <c r="K83" i="22" s="1"/>
  <c r="G17" i="13"/>
  <c r="K63" i="22" s="1"/>
  <c r="H25" i="13"/>
  <c r="G56" i="13"/>
  <c r="K102" i="22" s="1"/>
  <c r="G36" i="13"/>
  <c r="K82" i="22" s="1"/>
  <c r="G16" i="13"/>
  <c r="K62" i="22" s="1"/>
  <c r="H51" i="13"/>
  <c r="J97" i="22"/>
  <c r="H18" i="13"/>
  <c r="H50" i="13"/>
  <c r="J96" i="22"/>
  <c r="H7" i="13"/>
  <c r="J53" i="22"/>
  <c r="G19" i="13"/>
  <c r="K65" i="22" s="1"/>
  <c r="G55" i="13"/>
  <c r="K101" i="22" s="1"/>
  <c r="G15" i="13"/>
  <c r="K61" i="22" s="1"/>
  <c r="G54" i="13"/>
  <c r="K100" i="22" s="1"/>
  <c r="G34" i="13"/>
  <c r="K80" i="22" s="1"/>
  <c r="G14" i="13"/>
  <c r="K60" i="22" s="1"/>
  <c r="H58" i="13"/>
  <c r="J104" i="22"/>
  <c r="H38" i="13"/>
  <c r="G35" i="13"/>
  <c r="K81" i="22" s="1"/>
  <c r="H17" i="13"/>
  <c r="H6" i="13"/>
  <c r="H40" i="13"/>
  <c r="J86" i="22"/>
  <c r="H20" i="13"/>
  <c r="J66" i="22"/>
  <c r="G53" i="13"/>
  <c r="K99" i="22" s="1"/>
  <c r="G33" i="13"/>
  <c r="K79" i="22" s="1"/>
  <c r="G13" i="13"/>
  <c r="K59" i="22" s="1"/>
  <c r="G58" i="13"/>
  <c r="K104" i="22" s="1"/>
  <c r="H36" i="13"/>
  <c r="H35" i="13"/>
  <c r="H44" i="13"/>
  <c r="H24" i="13"/>
  <c r="H43" i="13"/>
  <c r="H23" i="13"/>
  <c r="H42" i="13"/>
  <c r="H22" i="13"/>
  <c r="H41" i="13"/>
  <c r="H21" i="13"/>
  <c r="B59" i="13" l="1"/>
  <c r="B59" i="12" s="1"/>
  <c r="I26" i="12" l="1"/>
  <c r="G72" i="22" s="1"/>
  <c r="I27" i="12"/>
  <c r="G73" i="22" s="1"/>
  <c r="I28" i="12"/>
  <c r="G74" i="22" s="1"/>
  <c r="I29" i="12"/>
  <c r="G75" i="22" s="1"/>
  <c r="I30" i="12"/>
  <c r="G76" i="22" s="1"/>
  <c r="I31" i="12"/>
  <c r="G77" i="22" s="1"/>
  <c r="I32" i="12"/>
  <c r="G78" i="22" s="1"/>
  <c r="I33" i="12"/>
  <c r="G79" i="22" s="1"/>
  <c r="I34" i="12"/>
  <c r="G80" i="22" s="1"/>
  <c r="I35" i="12"/>
  <c r="G81" i="22" s="1"/>
  <c r="I36" i="12"/>
  <c r="G82" i="22" s="1"/>
  <c r="I37" i="12"/>
  <c r="G83" i="22" s="1"/>
  <c r="I38" i="12"/>
  <c r="G84" i="22" s="1"/>
  <c r="B60" i="13" l="1"/>
  <c r="B60" i="12" s="1"/>
  <c r="P10" i="6" l="1"/>
  <c r="O10" i="6"/>
  <c r="P9" i="6"/>
  <c r="O9" i="6"/>
  <c r="P8" i="6"/>
  <c r="O8" i="6"/>
  <c r="O7" i="6"/>
  <c r="P6" i="6"/>
  <c r="O6" i="6"/>
  <c r="P5" i="6"/>
  <c r="O5" i="6"/>
  <c r="Z1" i="22" s="1"/>
  <c r="B61" i="13"/>
  <c r="B61" i="12" s="1"/>
  <c r="AH4" i="22" l="1"/>
  <c r="AH24" i="22"/>
  <c r="AH44" i="22"/>
  <c r="AI44" i="22" s="1"/>
  <c r="AH64" i="22"/>
  <c r="AH84" i="22"/>
  <c r="AH104" i="22"/>
  <c r="AH124" i="22"/>
  <c r="AI124" i="22" s="1"/>
  <c r="AH144" i="22"/>
  <c r="AI144" i="22" s="1"/>
  <c r="AH164" i="22"/>
  <c r="AI164" i="22" s="1"/>
  <c r="AH69" i="22"/>
  <c r="AH5" i="22"/>
  <c r="AI5" i="22" s="1"/>
  <c r="AH25" i="22"/>
  <c r="AI25" i="22" s="1"/>
  <c r="AH45" i="22"/>
  <c r="AI45" i="22" s="1"/>
  <c r="AH65" i="22"/>
  <c r="AI65" i="22" s="1"/>
  <c r="AH85" i="22"/>
  <c r="AI85" i="22" s="1"/>
  <c r="AH105" i="22"/>
  <c r="AI105" i="22" s="1"/>
  <c r="AH125" i="22"/>
  <c r="AI125" i="22" s="1"/>
  <c r="AH145" i="22"/>
  <c r="AI145" i="22" s="1"/>
  <c r="AH165" i="22"/>
  <c r="AI165" i="22" s="1"/>
  <c r="AH49" i="22"/>
  <c r="AI49" i="22" s="1"/>
  <c r="AH6" i="22"/>
  <c r="AH26" i="22"/>
  <c r="AH46" i="22"/>
  <c r="AI46" i="22" s="1"/>
  <c r="AH66" i="22"/>
  <c r="AH86" i="22"/>
  <c r="AH106" i="22"/>
  <c r="AH126" i="22"/>
  <c r="AI126" i="22" s="1"/>
  <c r="AH146" i="22"/>
  <c r="AI146" i="22" s="1"/>
  <c r="AH166" i="22"/>
  <c r="AI166" i="22" s="1"/>
  <c r="AH89" i="22"/>
  <c r="AI89" i="22" s="1"/>
  <c r="AH7" i="22"/>
  <c r="AH27" i="22"/>
  <c r="AI27" i="22" s="1"/>
  <c r="AH47" i="22"/>
  <c r="AH67" i="22"/>
  <c r="AI67" i="22" s="1"/>
  <c r="AH87" i="22"/>
  <c r="AI87" i="22" s="1"/>
  <c r="AH107" i="22"/>
  <c r="AI107" i="22" s="1"/>
  <c r="AH127" i="22"/>
  <c r="AI127" i="22" s="1"/>
  <c r="AH147" i="22"/>
  <c r="AI147" i="22" s="1"/>
  <c r="AH8" i="22"/>
  <c r="AI8" i="22" s="1"/>
  <c r="AH28" i="22"/>
  <c r="AI28" i="22" s="1"/>
  <c r="AH48" i="22"/>
  <c r="AH68" i="22"/>
  <c r="AH88" i="22"/>
  <c r="AH108" i="22"/>
  <c r="AH128" i="22"/>
  <c r="AH148" i="22"/>
  <c r="AH29" i="22"/>
  <c r="AI29" i="22" s="1"/>
  <c r="AH109" i="22"/>
  <c r="AI109" i="22" s="1"/>
  <c r="AH129" i="22"/>
  <c r="AI129" i="22" s="1"/>
  <c r="AH149" i="22"/>
  <c r="AI149" i="22" s="1"/>
  <c r="AH9" i="22"/>
  <c r="AI9" i="22" s="1"/>
  <c r="AH10" i="22"/>
  <c r="AI10" i="22" s="1"/>
  <c r="AH30" i="22"/>
  <c r="AI30" i="22" s="1"/>
  <c r="AH50" i="22"/>
  <c r="AI50" i="22" s="1"/>
  <c r="AH70" i="22"/>
  <c r="AI70" i="22" s="1"/>
  <c r="AH90" i="22"/>
  <c r="AI90" i="22" s="1"/>
  <c r="AH110" i="22"/>
  <c r="AI110" i="22" s="1"/>
  <c r="AH130" i="22"/>
  <c r="AI130" i="22" s="1"/>
  <c r="AH150" i="22"/>
  <c r="AI150" i="22" s="1"/>
  <c r="AH11" i="22"/>
  <c r="AI11" i="22" s="1"/>
  <c r="AH31" i="22"/>
  <c r="AH51" i="22"/>
  <c r="AH71" i="22"/>
  <c r="AH91" i="22"/>
  <c r="AH111" i="22"/>
  <c r="AH131" i="22"/>
  <c r="AH151" i="22"/>
  <c r="AI151" i="22" s="1"/>
  <c r="AH12" i="22"/>
  <c r="AI12" i="22" s="1"/>
  <c r="AH32" i="22"/>
  <c r="AI32" i="22" s="1"/>
  <c r="AH52" i="22"/>
  <c r="AI52" i="22" s="1"/>
  <c r="AH72" i="22"/>
  <c r="AI72" i="22" s="1"/>
  <c r="AH92" i="22"/>
  <c r="AI92" i="22" s="1"/>
  <c r="AH112" i="22"/>
  <c r="AI112" i="22" s="1"/>
  <c r="AH132" i="22"/>
  <c r="AI132" i="22" s="1"/>
  <c r="AH152" i="22"/>
  <c r="AI152" i="22" s="1"/>
  <c r="AH13" i="22"/>
  <c r="AI13" i="22" s="1"/>
  <c r="AH33" i="22"/>
  <c r="AI33" i="22" s="1"/>
  <c r="AH53" i="22"/>
  <c r="AI53" i="22" s="1"/>
  <c r="AH73" i="22"/>
  <c r="AI73" i="22" s="1"/>
  <c r="AH93" i="22"/>
  <c r="AI93" i="22" s="1"/>
  <c r="AH113" i="22"/>
  <c r="AH133" i="22"/>
  <c r="AH153" i="22"/>
  <c r="AI153" i="22" s="1"/>
  <c r="AH14" i="22"/>
  <c r="AH34" i="22"/>
  <c r="AI34" i="22" s="1"/>
  <c r="AH54" i="22"/>
  <c r="AH74" i="22"/>
  <c r="AH94" i="22"/>
  <c r="AI94" i="22" s="1"/>
  <c r="AH114" i="22"/>
  <c r="AI114" i="22" s="1"/>
  <c r="AH134" i="22"/>
  <c r="AI134" i="22" s="1"/>
  <c r="AH154" i="22"/>
  <c r="AI154" i="22" s="1"/>
  <c r="AH15" i="22"/>
  <c r="AI15" i="22" s="1"/>
  <c r="AH35" i="22"/>
  <c r="AI35" i="22" s="1"/>
  <c r="AH55" i="22"/>
  <c r="AI55" i="22" s="1"/>
  <c r="AH75" i="22"/>
  <c r="AI75" i="22" s="1"/>
  <c r="AH95" i="22"/>
  <c r="AI95" i="22" s="1"/>
  <c r="AH115" i="22"/>
  <c r="AI115" i="22" s="1"/>
  <c r="AH135" i="22"/>
  <c r="AI135" i="22" s="1"/>
  <c r="AH155" i="22"/>
  <c r="AI155" i="22" s="1"/>
  <c r="AH16" i="22"/>
  <c r="AI16" i="22" s="1"/>
  <c r="AH36" i="22"/>
  <c r="AH56" i="22"/>
  <c r="AH76" i="22"/>
  <c r="AH96" i="22"/>
  <c r="AH116" i="22"/>
  <c r="AH136" i="22"/>
  <c r="AI136" i="22" s="1"/>
  <c r="AH156" i="22"/>
  <c r="AI156" i="22" s="1"/>
  <c r="AH17" i="22"/>
  <c r="AI17" i="22" s="1"/>
  <c r="AH37" i="22"/>
  <c r="AH57" i="22"/>
  <c r="AH77" i="22"/>
  <c r="AI77" i="22" s="1"/>
  <c r="AH97" i="22"/>
  <c r="AI97" i="22" s="1"/>
  <c r="AH117" i="22"/>
  <c r="AI117" i="22" s="1"/>
  <c r="AH137" i="22"/>
  <c r="AI137" i="22" s="1"/>
  <c r="AH157" i="22"/>
  <c r="AI157" i="22" s="1"/>
  <c r="AH18" i="22"/>
  <c r="AI18" i="22" s="1"/>
  <c r="AH38" i="22"/>
  <c r="AI38" i="22" s="1"/>
  <c r="AH58" i="22"/>
  <c r="AI58" i="22" s="1"/>
  <c r="AH78" i="22"/>
  <c r="AI78" i="22" s="1"/>
  <c r="AH98" i="22"/>
  <c r="AI98" i="22" s="1"/>
  <c r="AH118" i="22"/>
  <c r="AH138" i="22"/>
  <c r="AH158" i="22"/>
  <c r="AI158" i="22" s="1"/>
  <c r="AH19" i="22"/>
  <c r="AH39" i="22"/>
  <c r="AI39" i="22" s="1"/>
  <c r="AH59" i="22"/>
  <c r="AH79" i="22"/>
  <c r="AH99" i="22"/>
  <c r="AI99" i="22" s="1"/>
  <c r="AH119" i="22"/>
  <c r="AI119" i="22" s="1"/>
  <c r="AH139" i="22"/>
  <c r="AI139" i="22" s="1"/>
  <c r="AH159" i="22"/>
  <c r="AI159" i="22" s="1"/>
  <c r="AH20" i="22"/>
  <c r="AI20" i="22" s="1"/>
  <c r="AH40" i="22"/>
  <c r="AI40" i="22" s="1"/>
  <c r="AH60" i="22"/>
  <c r="AI60" i="22" s="1"/>
  <c r="AH80" i="22"/>
  <c r="AI80" i="22" s="1"/>
  <c r="AH100" i="22"/>
  <c r="AI100" i="22" s="1"/>
  <c r="AH120" i="22"/>
  <c r="AI120" i="22" s="1"/>
  <c r="AH140" i="22"/>
  <c r="AI140" i="22" s="1"/>
  <c r="AH160" i="22"/>
  <c r="AI160" i="22" s="1"/>
  <c r="AH21" i="22"/>
  <c r="AI21" i="22" s="1"/>
  <c r="AH41" i="22"/>
  <c r="AH61" i="22"/>
  <c r="AH81" i="22"/>
  <c r="AI81" i="22" s="1"/>
  <c r="AH101" i="22"/>
  <c r="AH121" i="22"/>
  <c r="AH141" i="22"/>
  <c r="AI141" i="22" s="1"/>
  <c r="AH161" i="22"/>
  <c r="AI161" i="22" s="1"/>
  <c r="AH22" i="22"/>
  <c r="AI22" i="22" s="1"/>
  <c r="AH42" i="22"/>
  <c r="AI42" i="22" s="1"/>
  <c r="AH62" i="22"/>
  <c r="AI62" i="22" s="1"/>
  <c r="AH82" i="22"/>
  <c r="AH102" i="22"/>
  <c r="AI102" i="22" s="1"/>
  <c r="AH122" i="22"/>
  <c r="AI122" i="22" s="1"/>
  <c r="AH142" i="22"/>
  <c r="AI142" i="22" s="1"/>
  <c r="AH162" i="22"/>
  <c r="AI162" i="22" s="1"/>
  <c r="AH23" i="22"/>
  <c r="AI23" i="22" s="1"/>
  <c r="AH43" i="22"/>
  <c r="AI43" i="22" s="1"/>
  <c r="AH63" i="22"/>
  <c r="AI63" i="22" s="1"/>
  <c r="AH83" i="22"/>
  <c r="AI83" i="22" s="1"/>
  <c r="AH103" i="22"/>
  <c r="AI103" i="22" s="1"/>
  <c r="AH123" i="22"/>
  <c r="AH143" i="22"/>
  <c r="AH163" i="22"/>
  <c r="D13" i="4"/>
  <c r="D58" i="23"/>
  <c r="G13" i="4"/>
  <c r="E58" i="23"/>
  <c r="F58" i="23"/>
  <c r="G58" i="23"/>
  <c r="D55" i="23"/>
  <c r="H58" i="23"/>
  <c r="E55" i="23"/>
  <c r="S82" i="23" s="1" a="1"/>
  <c r="S82" i="23" s="1"/>
  <c r="I58" i="23"/>
  <c r="F55" i="23"/>
  <c r="S83" i="23" s="1" a="1"/>
  <c r="S83" i="23" s="1"/>
  <c r="J58" i="23"/>
  <c r="G55" i="23"/>
  <c r="S84" i="23" s="1" a="1"/>
  <c r="S84" i="23" s="1"/>
  <c r="K58" i="23"/>
  <c r="H55" i="23"/>
  <c r="S85" i="23" s="1" a="1"/>
  <c r="S85" i="23" s="1"/>
  <c r="L58" i="23"/>
  <c r="I55" i="23"/>
  <c r="S86" i="23" s="1" a="1"/>
  <c r="S86" i="23" s="1"/>
  <c r="M58" i="23"/>
  <c r="J55" i="23"/>
  <c r="S87" i="23" s="1" a="1"/>
  <c r="S87" i="23" s="1"/>
  <c r="N58" i="23"/>
  <c r="K55" i="23"/>
  <c r="S88" i="23" s="1" a="1"/>
  <c r="S88" i="23" s="1"/>
  <c r="O58" i="23"/>
  <c r="L55" i="23"/>
  <c r="S89" i="23" s="1" a="1"/>
  <c r="S89" i="23" s="1"/>
  <c r="M55" i="23"/>
  <c r="S90" i="23" s="1" a="1"/>
  <c r="S90" i="23" s="1"/>
  <c r="N55" i="23"/>
  <c r="S91" i="23" s="1" a="1"/>
  <c r="S91" i="23" s="1"/>
  <c r="O55" i="23"/>
  <c r="S92" i="23" s="1" a="1"/>
  <c r="S92" i="23" s="1"/>
  <c r="AA22" i="22"/>
  <c r="AA49" i="22"/>
  <c r="AB17" i="22"/>
  <c r="AC17" i="22" s="1"/>
  <c r="AB10" i="22"/>
  <c r="AC10" i="22" s="1"/>
  <c r="AA21" i="22"/>
  <c r="AB38" i="22"/>
  <c r="AC38" i="22" s="1"/>
  <c r="AA23" i="22"/>
  <c r="AB11" i="22"/>
  <c r="AC11" i="22" s="1"/>
  <c r="AA34" i="22"/>
  <c r="AB43" i="22"/>
  <c r="AC43" i="22" s="1"/>
  <c r="AA47" i="22"/>
  <c r="AB42" i="22"/>
  <c r="AC42" i="22" s="1"/>
  <c r="AA52" i="22"/>
  <c r="AB9" i="22"/>
  <c r="AC9" i="22" s="1"/>
  <c r="AB26" i="22"/>
  <c r="AC26" i="22" s="1"/>
  <c r="AA8" i="22"/>
  <c r="AA32" i="22"/>
  <c r="AA12" i="22"/>
  <c r="AA10" i="22"/>
  <c r="AB7" i="22"/>
  <c r="AC7" i="22" s="1"/>
  <c r="AA50" i="22"/>
  <c r="AB33" i="22"/>
  <c r="AC33" i="22" s="1"/>
  <c r="AA43" i="22"/>
  <c r="AA41" i="22"/>
  <c r="AA15" i="22"/>
  <c r="AA29" i="22"/>
  <c r="AB37" i="22"/>
  <c r="AC37" i="22" s="1"/>
  <c r="AA42" i="22"/>
  <c r="AA40" i="22"/>
  <c r="AB16" i="22"/>
  <c r="AC16" i="22" s="1"/>
  <c r="AA51" i="22"/>
  <c r="AB52" i="22"/>
  <c r="AC52" i="22" s="1"/>
  <c r="AB36" i="22"/>
  <c r="AC36" i="22" s="1"/>
  <c r="AB50" i="22"/>
  <c r="AC50" i="22" s="1"/>
  <c r="AA36" i="22"/>
  <c r="AA7" i="22"/>
  <c r="AB47" i="22"/>
  <c r="AC47" i="22" s="1"/>
  <c r="AB6" i="22"/>
  <c r="AC6" i="22" s="1"/>
  <c r="AA44" i="22"/>
  <c r="AA27" i="22"/>
  <c r="AB31" i="22"/>
  <c r="AC31" i="22" s="1"/>
  <c r="AA33" i="22"/>
  <c r="AA18" i="22"/>
  <c r="AA38" i="22"/>
  <c r="AB45" i="22"/>
  <c r="AC45" i="22" s="1"/>
  <c r="AB27" i="22"/>
  <c r="AC27" i="22" s="1"/>
  <c r="AB30" i="22"/>
  <c r="AC30" i="22" s="1"/>
  <c r="AA46" i="22"/>
  <c r="AA6" i="22"/>
  <c r="AA48" i="22"/>
  <c r="AB24" i="22"/>
  <c r="AC24" i="22" s="1"/>
  <c r="AB18" i="22"/>
  <c r="AC18" i="22" s="1"/>
  <c r="AA14" i="22"/>
  <c r="AA39" i="22"/>
  <c r="AB15" i="22"/>
  <c r="AC15" i="22" s="1"/>
  <c r="AA45" i="22"/>
  <c r="AB23" i="22"/>
  <c r="AC23" i="22" s="1"/>
  <c r="AA53" i="22"/>
  <c r="AB51" i="22"/>
  <c r="AC51" i="22" s="1"/>
  <c r="AA13" i="22"/>
  <c r="AA30" i="22"/>
  <c r="AA35" i="22"/>
  <c r="AB13" i="22"/>
  <c r="AC13" i="22" s="1"/>
  <c r="AA17" i="22"/>
  <c r="AB35" i="22"/>
  <c r="AC35" i="22" s="1"/>
  <c r="AB22" i="22"/>
  <c r="AC22" i="22" s="1"/>
  <c r="AA19" i="22"/>
  <c r="AB41" i="22"/>
  <c r="AC41" i="22" s="1"/>
  <c r="AA20" i="22"/>
  <c r="AB8" i="22"/>
  <c r="AC8" i="22" s="1"/>
  <c r="AB44" i="22"/>
  <c r="AC44" i="22" s="1"/>
  <c r="AB46" i="22"/>
  <c r="AC46" i="22" s="1"/>
  <c r="AB14" i="22"/>
  <c r="AC14" i="22" s="1"/>
  <c r="AB40" i="22"/>
  <c r="AC40" i="22" s="1"/>
  <c r="AB48" i="22"/>
  <c r="AC48" i="22" s="1"/>
  <c r="AB20" i="22"/>
  <c r="AC20" i="22" s="1"/>
  <c r="AB28" i="22"/>
  <c r="AC28" i="22" s="1"/>
  <c r="AB25" i="22"/>
  <c r="AC25" i="22" s="1"/>
  <c r="AB32" i="22"/>
  <c r="AC32" i="22" s="1"/>
  <c r="AA9" i="22"/>
  <c r="AA26" i="22"/>
  <c r="AB21" i="22"/>
  <c r="AC21" i="22" s="1"/>
  <c r="AA31" i="22"/>
  <c r="AB19" i="22"/>
  <c r="AC19" i="22" s="1"/>
  <c r="AB49" i="22"/>
  <c r="AC49" i="22" s="1"/>
  <c r="AA28" i="22"/>
  <c r="AB29" i="22"/>
  <c r="AC29" i="22" s="1"/>
  <c r="AB34" i="22"/>
  <c r="AC34" i="22" s="1"/>
  <c r="AA5" i="22"/>
  <c r="AA25" i="22"/>
  <c r="AA16" i="22"/>
  <c r="AA37" i="22"/>
  <c r="AA24" i="22"/>
  <c r="AA11" i="22"/>
  <c r="AB53" i="22"/>
  <c r="AC53" i="22" s="1"/>
  <c r="AB12" i="22"/>
  <c r="AC12" i="22" s="1"/>
  <c r="AB39" i="22"/>
  <c r="AC39" i="22" s="1"/>
  <c r="AB5" i="22"/>
  <c r="AC5" i="22" s="1"/>
  <c r="AA4" i="22"/>
  <c r="AB4" i="22"/>
  <c r="AC4" i="22" s="1"/>
  <c r="AI123" i="22"/>
  <c r="AI143" i="22"/>
  <c r="AI79" i="22"/>
  <c r="AI111" i="22"/>
  <c r="AI7" i="22"/>
  <c r="AI47" i="22"/>
  <c r="AI31" i="22"/>
  <c r="AI163" i="22"/>
  <c r="AI131" i="22"/>
  <c r="AI71" i="22"/>
  <c r="AI59" i="22"/>
  <c r="AI19" i="22"/>
  <c r="AI51" i="22"/>
  <c r="AI66" i="22"/>
  <c r="AI6" i="22"/>
  <c r="AI54" i="22"/>
  <c r="AI148" i="22"/>
  <c r="AI4" i="22"/>
  <c r="AI133" i="22"/>
  <c r="AI74" i="22"/>
  <c r="AI24" i="22"/>
  <c r="AI41" i="22"/>
  <c r="AI37" i="22"/>
  <c r="AI86" i="22"/>
  <c r="AI84" i="22"/>
  <c r="AI36" i="22"/>
  <c r="AI113" i="22"/>
  <c r="AI64" i="22"/>
  <c r="AI88" i="22"/>
  <c r="AI56" i="22"/>
  <c r="AI118" i="22"/>
  <c r="AI91" i="22"/>
  <c r="AI138" i="22"/>
  <c r="AI68" i="22"/>
  <c r="AI61" i="22"/>
  <c r="AI128" i="22"/>
  <c r="AI96" i="22"/>
  <c r="AI14" i="22"/>
  <c r="AI106" i="22"/>
  <c r="AI104" i="22"/>
  <c r="AI121" i="22"/>
  <c r="AI26" i="22"/>
  <c r="AI76" i="22"/>
  <c r="AI101" i="22"/>
  <c r="AI108" i="22"/>
  <c r="AI69" i="22"/>
  <c r="AI57" i="22"/>
  <c r="AI82" i="22"/>
  <c r="AI116" i="22"/>
  <c r="AI48" i="22"/>
  <c r="I6" i="12"/>
  <c r="G52" i="22" s="1"/>
  <c r="I7" i="12"/>
  <c r="G53" i="22" s="1"/>
  <c r="I8" i="12"/>
  <c r="G54" i="22" s="1"/>
  <c r="I9" i="12"/>
  <c r="G55" i="22" s="1"/>
  <c r="I10" i="12"/>
  <c r="G56" i="22" s="1"/>
  <c r="I11" i="12"/>
  <c r="G57" i="22" s="1"/>
  <c r="I12" i="12"/>
  <c r="G58" i="22" s="1"/>
  <c r="I13" i="12"/>
  <c r="G59" i="22" s="1"/>
  <c r="I14" i="12"/>
  <c r="G60" i="22" s="1"/>
  <c r="I15" i="12"/>
  <c r="G61" i="22" s="1"/>
  <c r="I16" i="12"/>
  <c r="G62" i="22" s="1"/>
  <c r="I17" i="12"/>
  <c r="G63" i="22" s="1"/>
  <c r="I18" i="12"/>
  <c r="G64" i="22" s="1"/>
  <c r="I19" i="12"/>
  <c r="G65" i="22" s="1"/>
  <c r="I20" i="12"/>
  <c r="G66" i="22" s="1"/>
  <c r="I21" i="12"/>
  <c r="G67" i="22" s="1"/>
  <c r="I22" i="12"/>
  <c r="G68" i="22" s="1"/>
  <c r="I23" i="12"/>
  <c r="G69" i="22" s="1"/>
  <c r="I24" i="12"/>
  <c r="G70" i="22" s="1"/>
  <c r="I25" i="12"/>
  <c r="G71" i="22" s="1"/>
  <c r="D6" i="12"/>
  <c r="C52" i="22" s="1"/>
  <c r="AG52" i="22" s="1"/>
  <c r="D7" i="12"/>
  <c r="C53" i="22" s="1"/>
  <c r="AG53" i="22" s="1"/>
  <c r="D8" i="12"/>
  <c r="C54" i="22" s="1"/>
  <c r="AG54" i="22" s="1"/>
  <c r="D9" i="12"/>
  <c r="C55" i="22" s="1"/>
  <c r="AG55" i="22" s="1"/>
  <c r="D10" i="12"/>
  <c r="C56" i="22" s="1"/>
  <c r="AG56" i="22" s="1"/>
  <c r="D11" i="12"/>
  <c r="C57" i="22" s="1"/>
  <c r="AG57" i="22" s="1"/>
  <c r="D12" i="12"/>
  <c r="C58" i="22" s="1"/>
  <c r="AG58" i="22" s="1"/>
  <c r="D13" i="12"/>
  <c r="C59" i="22" s="1"/>
  <c r="AG59" i="22" s="1"/>
  <c r="D14" i="12"/>
  <c r="C60" i="22" s="1"/>
  <c r="AG60" i="22" s="1"/>
  <c r="D15" i="12"/>
  <c r="C61" i="22" s="1"/>
  <c r="AG61" i="22" s="1"/>
  <c r="D16" i="12"/>
  <c r="C62" i="22" s="1"/>
  <c r="AG62" i="22" s="1"/>
  <c r="D17" i="12"/>
  <c r="C63" i="22" s="1"/>
  <c r="AG63" i="22" s="1"/>
  <c r="D18" i="12"/>
  <c r="C64" i="22" s="1"/>
  <c r="AG64" i="22" s="1"/>
  <c r="D19" i="12"/>
  <c r="C65" i="22" s="1"/>
  <c r="AG65" i="22" s="1"/>
  <c r="D20" i="12"/>
  <c r="C66" i="22" s="1"/>
  <c r="AG66" i="22" s="1"/>
  <c r="D21" i="12"/>
  <c r="C67" i="22" s="1"/>
  <c r="AG67" i="22" s="1"/>
  <c r="D22" i="12"/>
  <c r="C68" i="22" s="1"/>
  <c r="AG68" i="22" s="1"/>
  <c r="D23" i="12"/>
  <c r="C69" i="22" s="1"/>
  <c r="AG69" i="22" s="1"/>
  <c r="D24" i="12"/>
  <c r="C70" i="22" s="1"/>
  <c r="AG70" i="22" s="1"/>
  <c r="D25" i="12"/>
  <c r="C71" i="22" s="1"/>
  <c r="AG71" i="22" s="1"/>
  <c r="D26" i="12"/>
  <c r="C72" i="22" s="1"/>
  <c r="AG72" i="22" s="1"/>
  <c r="D27" i="12"/>
  <c r="C73" i="22" s="1"/>
  <c r="AG73" i="22" s="1"/>
  <c r="I4" i="13" a="1"/>
  <c r="I4" i="13" s="1"/>
  <c r="L4" i="12" s="1"/>
  <c r="L50" i="22" s="1"/>
  <c r="F27" i="23" l="1"/>
  <c r="G27" i="23"/>
  <c r="AD55" i="22"/>
  <c r="AD54" i="22"/>
  <c r="AD9" i="22"/>
  <c r="S81" i="23" a="1"/>
  <c r="S81" i="23" s="1"/>
  <c r="D56" i="23"/>
  <c r="M16" i="4"/>
  <c r="AD25" i="22"/>
  <c r="AJ90" i="22"/>
  <c r="AJ101" i="22"/>
  <c r="AD4" i="22"/>
  <c r="AD7" i="22"/>
  <c r="AD28" i="22"/>
  <c r="AD32" i="22"/>
  <c r="AD51" i="22"/>
  <c r="AD12" i="22"/>
  <c r="AD20" i="22"/>
  <c r="AD50" i="22"/>
  <c r="AD14" i="22"/>
  <c r="AD36" i="22"/>
  <c r="AD5" i="22"/>
  <c r="AD46" i="22"/>
  <c r="AD18" i="22"/>
  <c r="AD52" i="22"/>
  <c r="AD42" i="22"/>
  <c r="AD53" i="22"/>
  <c r="AD44" i="22"/>
  <c r="AD24" i="22"/>
  <c r="AD23" i="22"/>
  <c r="AD8" i="22"/>
  <c r="AD16" i="22"/>
  <c r="AD43" i="22"/>
  <c r="AD39" i="22"/>
  <c r="AD26" i="22"/>
  <c r="AD34" i="22"/>
  <c r="AD41" i="22"/>
  <c r="AD11" i="22"/>
  <c r="AD29" i="22"/>
  <c r="AD30" i="22"/>
  <c r="AD37" i="22"/>
  <c r="AD6" i="22"/>
  <c r="AD15" i="22"/>
  <c r="AD22" i="22"/>
  <c r="AD27" i="22"/>
  <c r="AD38" i="22"/>
  <c r="AD40" i="22"/>
  <c r="AD49" i="22"/>
  <c r="AD35" i="22"/>
  <c r="AD45" i="22"/>
  <c r="AD48" i="22"/>
  <c r="AD19" i="22"/>
  <c r="AD10" i="22"/>
  <c r="AD13" i="22"/>
  <c r="AD17" i="22"/>
  <c r="AD21" i="22"/>
  <c r="AD33" i="22"/>
  <c r="AD47" i="22"/>
  <c r="AD31" i="22"/>
  <c r="AJ43" i="22"/>
  <c r="AJ13" i="22"/>
  <c r="AJ64" i="22"/>
  <c r="AJ74" i="22"/>
  <c r="AJ132" i="22"/>
  <c r="AJ131" i="22"/>
  <c r="AJ124" i="22"/>
  <c r="AJ166" i="22"/>
  <c r="AJ117" i="22"/>
  <c r="AJ10" i="22"/>
  <c r="AJ52" i="22"/>
  <c r="AJ133" i="22"/>
  <c r="AJ139" i="22"/>
  <c r="AJ115" i="22"/>
  <c r="AJ163" i="22"/>
  <c r="AJ77" i="22"/>
  <c r="AJ121" i="22"/>
  <c r="AJ38" i="22"/>
  <c r="AJ164" i="22"/>
  <c r="AJ16" i="22"/>
  <c r="AJ49" i="22"/>
  <c r="AJ51" i="22"/>
  <c r="AJ83" i="22"/>
  <c r="AJ57" i="22"/>
  <c r="AJ145" i="22"/>
  <c r="AJ160" i="22"/>
  <c r="AJ161" i="22"/>
  <c r="AJ110" i="22"/>
  <c r="AJ137" i="22"/>
  <c r="AJ119" i="22"/>
  <c r="AJ67" i="22"/>
  <c r="AJ149" i="22"/>
  <c r="AJ8" i="22"/>
  <c r="AJ92" i="22"/>
  <c r="AJ94" i="22"/>
  <c r="AJ113" i="22"/>
  <c r="AJ62" i="22"/>
  <c r="AJ87" i="22"/>
  <c r="AJ31" i="22"/>
  <c r="AJ105" i="22"/>
  <c r="AJ82" i="22"/>
  <c r="AJ118" i="22"/>
  <c r="AJ151" i="22"/>
  <c r="AJ85" i="22"/>
  <c r="AJ69" i="22"/>
  <c r="AJ135" i="22"/>
  <c r="AJ162" i="22"/>
  <c r="AJ165" i="22"/>
  <c r="AJ29" i="22"/>
  <c r="AJ148" i="22"/>
  <c r="AJ75" i="22"/>
  <c r="AJ99" i="22"/>
  <c r="AJ142" i="22"/>
  <c r="AJ109" i="22"/>
  <c r="AJ11" i="22"/>
  <c r="AJ98" i="22"/>
  <c r="AJ112" i="22"/>
  <c r="AJ61" i="22"/>
  <c r="AJ114" i="22"/>
  <c r="AJ30" i="22"/>
  <c r="AJ23" i="22"/>
  <c r="AJ47" i="22"/>
  <c r="AJ116" i="22"/>
  <c r="AJ39" i="22"/>
  <c r="AJ108" i="22"/>
  <c r="AJ107" i="22"/>
  <c r="AJ5" i="22"/>
  <c r="AJ68" i="22"/>
  <c r="AJ144" i="22"/>
  <c r="AJ84" i="22"/>
  <c r="AJ140" i="22"/>
  <c r="AJ35" i="22"/>
  <c r="AJ27" i="22"/>
  <c r="AJ44" i="22"/>
  <c r="AJ125" i="22"/>
  <c r="AJ4" i="22"/>
  <c r="AJ147" i="22"/>
  <c r="AJ36" i="22"/>
  <c r="AJ73" i="22"/>
  <c r="AJ104" i="22"/>
  <c r="AJ153" i="22"/>
  <c r="AJ81" i="22"/>
  <c r="AJ33" i="22"/>
  <c r="AJ129" i="22"/>
  <c r="AJ136" i="22"/>
  <c r="AJ7" i="22"/>
  <c r="AJ96" i="22"/>
  <c r="AJ102" i="22"/>
  <c r="AJ106" i="22"/>
  <c r="AJ79" i="22"/>
  <c r="AJ158" i="22"/>
  <c r="AJ17" i="22"/>
  <c r="AJ138" i="22"/>
  <c r="AJ89" i="22"/>
  <c r="AJ120" i="22"/>
  <c r="AJ54" i="22"/>
  <c r="AJ55" i="22"/>
  <c r="AJ143" i="22"/>
  <c r="AJ159" i="22"/>
  <c r="AJ152" i="22"/>
  <c r="AJ56" i="22"/>
  <c r="AJ157" i="22"/>
  <c r="AJ103" i="22"/>
  <c r="AJ126" i="22"/>
  <c r="AJ14" i="22"/>
  <c r="AJ100" i="22"/>
  <c r="AJ134" i="22"/>
  <c r="AJ37" i="22"/>
  <c r="AJ6" i="22"/>
  <c r="AJ15" i="22"/>
  <c r="AJ127" i="22"/>
  <c r="AJ25" i="22"/>
  <c r="AJ26" i="22"/>
  <c r="AJ18" i="22"/>
  <c r="AJ128" i="22"/>
  <c r="AJ9" i="22"/>
  <c r="AJ45" i="22"/>
  <c r="AJ130" i="22"/>
  <c r="AJ86" i="22"/>
  <c r="AJ146" i="22"/>
  <c r="AJ150" i="22"/>
  <c r="AJ91" i="22"/>
  <c r="AJ88" i="22"/>
  <c r="AJ41" i="22"/>
  <c r="AJ53" i="22"/>
  <c r="AJ122" i="22"/>
  <c r="AJ63" i="22"/>
  <c r="AJ34" i="22"/>
  <c r="AJ19" i="22"/>
  <c r="AJ111" i="22"/>
  <c r="AJ80" i="22"/>
  <c r="AJ58" i="22"/>
  <c r="AJ65" i="22"/>
  <c r="AJ32" i="22"/>
  <c r="AJ21" i="22"/>
  <c r="AJ20" i="22"/>
  <c r="AJ93" i="22"/>
  <c r="AJ46" i="22"/>
  <c r="AJ141" i="22"/>
  <c r="AJ156" i="22"/>
  <c r="AJ123" i="22"/>
  <c r="AJ76" i="22"/>
  <c r="AJ60" i="22"/>
  <c r="AJ70" i="22"/>
  <c r="AJ154" i="22"/>
  <c r="AJ12" i="22"/>
  <c r="AJ155" i="22"/>
  <c r="AJ97" i="22"/>
  <c r="AJ24" i="22"/>
  <c r="AJ66" i="22"/>
  <c r="AJ59" i="22"/>
  <c r="AJ95" i="22"/>
  <c r="AJ48" i="22"/>
  <c r="AJ40" i="22"/>
  <c r="AJ50" i="22"/>
  <c r="AJ22" i="22"/>
  <c r="AJ42" i="22"/>
  <c r="AJ28" i="22"/>
  <c r="AJ72" i="22"/>
  <c r="AJ71" i="22"/>
  <c r="AJ78" i="22"/>
  <c r="AP10" i="22"/>
  <c r="AP9" i="22"/>
  <c r="AP8" i="22"/>
  <c r="AP7" i="22"/>
  <c r="AP6" i="22"/>
  <c r="AP5" i="22"/>
  <c r="AP4" i="22"/>
  <c r="AL9" i="22"/>
  <c r="AL8" i="22"/>
  <c r="AL7" i="22"/>
  <c r="AL6" i="22"/>
  <c r="AL5" i="22"/>
  <c r="AL4" i="22"/>
  <c r="M3" i="22"/>
  <c r="D54" i="23" s="1"/>
  <c r="R81" i="23" s="1" a="1"/>
  <c r="R81" i="23" s="1"/>
  <c r="N3" i="22"/>
  <c r="E54" i="23" s="1"/>
  <c r="R82" i="23" s="1" a="1"/>
  <c r="R82" i="23" s="1"/>
  <c r="O3" i="22"/>
  <c r="F54" i="23" s="1"/>
  <c r="R83" i="23" s="1" a="1"/>
  <c r="R83" i="23" s="1"/>
  <c r="P3" i="22"/>
  <c r="G54" i="23" s="1"/>
  <c r="R84" i="23" s="1" a="1"/>
  <c r="R84" i="23" s="1"/>
  <c r="Q3" i="22"/>
  <c r="H54" i="23" s="1"/>
  <c r="R85" i="23" s="1" a="1"/>
  <c r="R85" i="23" s="1"/>
  <c r="R3" i="22"/>
  <c r="I54" i="23" s="1"/>
  <c r="R86" i="23" s="1" a="1"/>
  <c r="R86" i="23" s="1"/>
  <c r="S3" i="22"/>
  <c r="J54" i="23" s="1"/>
  <c r="R87" i="23" s="1" a="1"/>
  <c r="R87" i="23" s="1"/>
  <c r="T3" i="22"/>
  <c r="K54" i="23" s="1"/>
  <c r="R88" i="23" s="1" a="1"/>
  <c r="R88" i="23" s="1"/>
  <c r="U3" i="22"/>
  <c r="L54" i="23" s="1"/>
  <c r="R89" i="23" s="1" a="1"/>
  <c r="R89" i="23" s="1"/>
  <c r="V3" i="22"/>
  <c r="M54" i="23" s="1"/>
  <c r="R90" i="23" s="1" a="1"/>
  <c r="R90" i="23" s="1"/>
  <c r="W3" i="22"/>
  <c r="N54" i="23" s="1"/>
  <c r="R91" i="23" s="1" a="1"/>
  <c r="R91" i="23" s="1"/>
  <c r="X3" i="22"/>
  <c r="O54" i="23" s="1"/>
  <c r="R92" i="23" s="1" a="1"/>
  <c r="R92" i="23" s="1"/>
  <c r="B4" i="14"/>
  <c r="B4" i="15" s="1"/>
  <c r="B5" i="14"/>
  <c r="B5" i="15" s="1"/>
  <c r="B6" i="14"/>
  <c r="B6" i="15" s="1"/>
  <c r="B7" i="14"/>
  <c r="B7" i="15" s="1"/>
  <c r="B8" i="14"/>
  <c r="B8" i="15" s="1"/>
  <c r="B9" i="14"/>
  <c r="B9" i="15" s="1"/>
  <c r="B10" i="14"/>
  <c r="B10" i="15" s="1"/>
  <c r="B11" i="14"/>
  <c r="B11" i="15" s="1"/>
  <c r="B12" i="14"/>
  <c r="B12" i="15" s="1"/>
  <c r="B13" i="14"/>
  <c r="B13" i="15" s="1"/>
  <c r="B14" i="14"/>
  <c r="B14" i="15" s="1"/>
  <c r="B15" i="14"/>
  <c r="B15" i="15" s="1"/>
  <c r="B16" i="14"/>
  <c r="B16" i="15" s="1"/>
  <c r="B28" i="14"/>
  <c r="B28" i="15" s="1"/>
  <c r="B29" i="14"/>
  <c r="B29" i="15" s="1"/>
  <c r="B30" i="14"/>
  <c r="B30" i="15" s="1"/>
  <c r="B31" i="14"/>
  <c r="B31" i="15" s="1"/>
  <c r="B32" i="14"/>
  <c r="B32" i="15" s="1"/>
  <c r="B33" i="14"/>
  <c r="B33" i="15" s="1"/>
  <c r="B34" i="14"/>
  <c r="B34" i="15" s="1"/>
  <c r="B35" i="14"/>
  <c r="B35" i="15" s="1"/>
  <c r="B36" i="14"/>
  <c r="B36" i="15" s="1"/>
  <c r="B4" i="13"/>
  <c r="B4" i="12" s="1"/>
  <c r="B25" i="13"/>
  <c r="B25" i="12" s="1"/>
  <c r="B26" i="13"/>
  <c r="B26" i="12" s="1"/>
  <c r="B27" i="13"/>
  <c r="B27" i="12" s="1"/>
  <c r="B28" i="13"/>
  <c r="B28" i="12" s="1"/>
  <c r="B29" i="13"/>
  <c r="B29" i="12" s="1"/>
  <c r="B30" i="13"/>
  <c r="B30" i="12" s="1"/>
  <c r="B31" i="13"/>
  <c r="B31" i="12" s="1"/>
  <c r="B32" i="13"/>
  <c r="B32" i="12" s="1"/>
  <c r="B33" i="13"/>
  <c r="B33" i="12" s="1"/>
  <c r="B34" i="13"/>
  <c r="B34" i="12" s="1"/>
  <c r="B35" i="13"/>
  <c r="B35" i="12" s="1"/>
  <c r="B36" i="13"/>
  <c r="B36" i="12" s="1"/>
  <c r="B37" i="13"/>
  <c r="B37" i="12" s="1"/>
  <c r="B38" i="13"/>
  <c r="B38" i="12" s="1"/>
  <c r="B39" i="13"/>
  <c r="B39" i="12" s="1"/>
  <c r="B40" i="13"/>
  <c r="B40" i="12" s="1"/>
  <c r="B41" i="13"/>
  <c r="B41" i="12" s="1"/>
  <c r="B42" i="13"/>
  <c r="B42" i="12" s="1"/>
  <c r="B43" i="13"/>
  <c r="B43" i="12" s="1"/>
  <c r="B44" i="13"/>
  <c r="B44" i="12" s="1"/>
  <c r="B45" i="13"/>
  <c r="B45" i="12" s="1"/>
  <c r="B46" i="13"/>
  <c r="B46" i="12" s="1"/>
  <c r="B47" i="13"/>
  <c r="B47" i="12" s="1"/>
  <c r="B48" i="13"/>
  <c r="B48" i="12" s="1"/>
  <c r="B49" i="13"/>
  <c r="B49" i="12" s="1"/>
  <c r="B50" i="13"/>
  <c r="B50" i="12" s="1"/>
  <c r="B51" i="13"/>
  <c r="B51" i="12" s="1"/>
  <c r="B52" i="13"/>
  <c r="B52" i="12" s="1"/>
  <c r="B53" i="13"/>
  <c r="B53" i="12" s="1"/>
  <c r="B54" i="13"/>
  <c r="B54" i="12" s="1"/>
  <c r="B55" i="13"/>
  <c r="B55" i="12" s="1"/>
  <c r="B56" i="13"/>
  <c r="B56" i="12" s="1"/>
  <c r="B57" i="13"/>
  <c r="B57" i="12" s="1"/>
  <c r="B58" i="13"/>
  <c r="B58" i="12" s="1"/>
  <c r="B4" i="3"/>
  <c r="B4" i="8" s="1"/>
  <c r="B5" i="3"/>
  <c r="B5" i="8" s="1"/>
  <c r="B6" i="3"/>
  <c r="B6" i="8" s="1"/>
  <c r="B7" i="3"/>
  <c r="B7" i="8" s="1"/>
  <c r="B8" i="3"/>
  <c r="B8" i="8" s="1"/>
  <c r="B9" i="3"/>
  <c r="B9" i="8" s="1"/>
  <c r="B10" i="3"/>
  <c r="B10" i="8" s="1"/>
  <c r="B11" i="3"/>
  <c r="B11" i="8" s="1"/>
  <c r="B12" i="3"/>
  <c r="B12" i="8" s="1"/>
  <c r="B13" i="3"/>
  <c r="B13" i="8" s="1"/>
  <c r="B14" i="3"/>
  <c r="B14" i="8" s="1"/>
  <c r="B15" i="3"/>
  <c r="B15" i="8" s="1"/>
  <c r="B16" i="3"/>
  <c r="B16" i="8" s="1"/>
  <c r="B17" i="3"/>
  <c r="B17" i="8" s="1"/>
  <c r="B18" i="3"/>
  <c r="B18" i="8" s="1"/>
  <c r="B19" i="3"/>
  <c r="B19" i="8" s="1"/>
  <c r="B20" i="3"/>
  <c r="B20" i="8" s="1"/>
  <c r="B21" i="3"/>
  <c r="B21" i="8" s="1"/>
  <c r="B22" i="3"/>
  <c r="B22" i="8" s="1"/>
  <c r="B23" i="3"/>
  <c r="B23" i="8" s="1"/>
  <c r="B24" i="3"/>
  <c r="B24" i="8" s="1"/>
  <c r="B25" i="3"/>
  <c r="B25" i="8" s="1"/>
  <c r="B26" i="3"/>
  <c r="B26" i="8" s="1"/>
  <c r="B27" i="3"/>
  <c r="B27" i="8" s="1"/>
  <c r="B28" i="3"/>
  <c r="B28" i="8" s="1"/>
  <c r="B29" i="3"/>
  <c r="B29" i="8" s="1"/>
  <c r="B30" i="3"/>
  <c r="B30" i="8" s="1"/>
  <c r="B31" i="3"/>
  <c r="B31" i="8" s="1"/>
  <c r="B32" i="3"/>
  <c r="B32" i="8" s="1"/>
  <c r="B33" i="3"/>
  <c r="B33" i="8" s="1"/>
  <c r="B34" i="3"/>
  <c r="B34" i="8" s="1"/>
  <c r="B35" i="3"/>
  <c r="B35" i="8" s="1"/>
  <c r="B36" i="3"/>
  <c r="B36" i="8" s="1"/>
  <c r="B37" i="3"/>
  <c r="B37" i="8" s="1"/>
  <c r="B38" i="3"/>
  <c r="B38" i="8" s="1"/>
  <c r="B39" i="3"/>
  <c r="B39" i="8" s="1"/>
  <c r="B40" i="3"/>
  <c r="B40" i="8" s="1"/>
  <c r="B41" i="3"/>
  <c r="B41" i="8" s="1"/>
  <c r="B42" i="3"/>
  <c r="B42" i="8" s="1"/>
  <c r="B43" i="3"/>
  <c r="B43" i="8" s="1"/>
  <c r="B44" i="3"/>
  <c r="B44" i="8" s="1"/>
  <c r="B45" i="3"/>
  <c r="B45" i="8" s="1"/>
  <c r="B46" i="3"/>
  <c r="B46" i="8" s="1"/>
  <c r="B47" i="3"/>
  <c r="B47" i="8" s="1"/>
  <c r="B48" i="3"/>
  <c r="B48" i="8" s="1"/>
  <c r="B49" i="3"/>
  <c r="B49" i="8" s="1"/>
  <c r="B4" i="17"/>
  <c r="B4" i="19" s="1"/>
  <c r="B4" i="18"/>
  <c r="B4" i="16" s="1"/>
  <c r="C9" i="23" l="1"/>
  <c r="J8" i="23"/>
  <c r="J10" i="23"/>
  <c r="J12" i="23"/>
  <c r="J14" i="23"/>
  <c r="J16" i="23"/>
  <c r="J15" i="23"/>
  <c r="J9" i="23"/>
  <c r="J11" i="23"/>
  <c r="J17" i="23"/>
  <c r="J13" i="23"/>
  <c r="D57" i="23"/>
  <c r="T81" i="23" a="1"/>
  <c r="T81" i="23" s="1"/>
  <c r="E56" i="23"/>
  <c r="AS4" i="22"/>
  <c r="AS15" i="22"/>
  <c r="AS14" i="22"/>
  <c r="AS13" i="22"/>
  <c r="AS12" i="22"/>
  <c r="AS9" i="22"/>
  <c r="AS11" i="22"/>
  <c r="AS10" i="22"/>
  <c r="AS8" i="22"/>
  <c r="AS7" i="22"/>
  <c r="AS6" i="22"/>
  <c r="AS5" i="22"/>
  <c r="AT5" i="22"/>
  <c r="AT6" i="22"/>
  <c r="AT7" i="22"/>
  <c r="AT9" i="22"/>
  <c r="AT10" i="22"/>
  <c r="AT8" i="22"/>
  <c r="AT11" i="22"/>
  <c r="AT12" i="22"/>
  <c r="AT13" i="22"/>
  <c r="AT14" i="22"/>
  <c r="AT15" i="22"/>
  <c r="N16" i="23" l="1"/>
  <c r="O16" i="23"/>
  <c r="P16" i="23" s="1"/>
  <c r="N17" i="23"/>
  <c r="O17" i="23"/>
  <c r="P17" i="23" s="1"/>
  <c r="N15" i="23"/>
  <c r="O15" i="23"/>
  <c r="P15" i="23" s="1"/>
  <c r="N13" i="23"/>
  <c r="O13" i="23"/>
  <c r="P13" i="23" s="1"/>
  <c r="N9" i="23"/>
  <c r="O9" i="23"/>
  <c r="P9" i="23" s="1"/>
  <c r="N14" i="23"/>
  <c r="O14" i="23"/>
  <c r="P14" i="23" s="1"/>
  <c r="N8" i="23"/>
  <c r="O8" i="23"/>
  <c r="P8" i="23" s="1"/>
  <c r="N10" i="23"/>
  <c r="O10" i="23"/>
  <c r="P10" i="23" s="1"/>
  <c r="T82" i="23" a="1"/>
  <c r="T82" i="23" s="1"/>
  <c r="E57" i="23"/>
  <c r="F56" i="23"/>
  <c r="N11" i="23"/>
  <c r="O11" i="23"/>
  <c r="P11" i="23" s="1"/>
  <c r="N12" i="23"/>
  <c r="O12" i="23"/>
  <c r="P12" i="23" s="1"/>
  <c r="E9" i="23"/>
  <c r="F9" i="23"/>
  <c r="G9" i="23" s="1"/>
  <c r="AU4" i="22"/>
  <c r="AT4" i="22"/>
  <c r="AM9" i="22"/>
  <c r="AM8" i="22"/>
  <c r="G56" i="23" l="1"/>
  <c r="T83" i="23" a="1"/>
  <c r="T83" i="23" s="1"/>
  <c r="F57" i="23"/>
  <c r="AU5" i="22"/>
  <c r="H56" i="23" l="1"/>
  <c r="T84" i="23" a="1"/>
  <c r="T84" i="23" s="1"/>
  <c r="G57" i="23"/>
  <c r="AU6" i="22"/>
  <c r="I56" i="23" l="1"/>
  <c r="H57" i="23"/>
  <c r="T85" i="23" a="1"/>
  <c r="T85" i="23" s="1"/>
  <c r="AU7" i="22"/>
  <c r="J56" i="23" l="1"/>
  <c r="T86" i="23" a="1"/>
  <c r="T86" i="23" s="1"/>
  <c r="I57" i="23"/>
  <c r="AU8" i="22"/>
  <c r="K56" i="23" l="1"/>
  <c r="T87" i="23" a="1"/>
  <c r="T87" i="23" s="1"/>
  <c r="J57" i="23"/>
  <c r="AU9" i="22"/>
  <c r="L56" i="23" l="1"/>
  <c r="T88" i="23" a="1"/>
  <c r="T88" i="23" s="1"/>
  <c r="K57" i="23"/>
  <c r="AU10" i="22"/>
  <c r="T89" i="23" l="1" a="1"/>
  <c r="T89" i="23" s="1"/>
  <c r="M56" i="23"/>
  <c r="L57" i="23"/>
  <c r="AU11" i="22"/>
  <c r="AM7" i="22"/>
  <c r="I5" i="20"/>
  <c r="G164" i="22" s="1"/>
  <c r="D5" i="20"/>
  <c r="C164" i="22" s="1"/>
  <c r="AG164" i="22" s="1"/>
  <c r="I4" i="20"/>
  <c r="G163" i="22" s="1"/>
  <c r="D4" i="20"/>
  <c r="I4" i="19"/>
  <c r="G162" i="22" s="1"/>
  <c r="D4" i="19"/>
  <c r="I4" i="18" a="1"/>
  <c r="I4" i="18" s="1"/>
  <c r="L4" i="16" s="1"/>
  <c r="L158" i="22" s="1"/>
  <c r="F4" i="18"/>
  <c r="J158" i="22" s="1"/>
  <c r="I4" i="17" a="1"/>
  <c r="I4" i="17" s="1"/>
  <c r="L4" i="19" s="1"/>
  <c r="L162" i="22" s="1"/>
  <c r="F4" i="17"/>
  <c r="H4" i="17" s="1"/>
  <c r="I4" i="16"/>
  <c r="G158" i="22" s="1"/>
  <c r="D4" i="16"/>
  <c r="C158" i="22" l="1"/>
  <c r="AG158" i="22" s="1"/>
  <c r="I30" i="23"/>
  <c r="T76" i="23" s="1"/>
  <c r="J162" i="22"/>
  <c r="C162" i="22"/>
  <c r="AG162" i="22" s="1"/>
  <c r="C163" i="22"/>
  <c r="AG163" i="22" s="1"/>
  <c r="C8" i="23" s="1"/>
  <c r="G30" i="23"/>
  <c r="F30" i="23"/>
  <c r="G29" i="23"/>
  <c r="F29" i="23"/>
  <c r="N56" i="23"/>
  <c r="T90" i="23" a="1"/>
  <c r="T90" i="23" s="1"/>
  <c r="M57" i="23"/>
  <c r="I29" i="23"/>
  <c r="H4" i="18"/>
  <c r="AU12" i="22"/>
  <c r="AM6" i="22"/>
  <c r="G4" i="17"/>
  <c r="K162" i="22" s="1"/>
  <c r="G4" i="18"/>
  <c r="K158" i="22" s="1"/>
  <c r="I4" i="14" a="1"/>
  <c r="I4" i="14" s="1"/>
  <c r="L4" i="15" s="1"/>
  <c r="L108" i="22" s="1"/>
  <c r="F4" i="14"/>
  <c r="J108" i="22" s="1"/>
  <c r="I28" i="23" s="1"/>
  <c r="D53" i="15"/>
  <c r="C157" i="22" s="1"/>
  <c r="AG157" i="22" s="1"/>
  <c r="D52" i="15"/>
  <c r="C156" i="22" s="1"/>
  <c r="AG156" i="22" s="1"/>
  <c r="D51" i="15"/>
  <c r="C155" i="22" s="1"/>
  <c r="AG155" i="22" s="1"/>
  <c r="D50" i="15"/>
  <c r="C154" i="22" s="1"/>
  <c r="AG154" i="22" s="1"/>
  <c r="D49" i="15"/>
  <c r="C153" i="22" s="1"/>
  <c r="AG153" i="22" s="1"/>
  <c r="D48" i="15"/>
  <c r="C152" i="22" s="1"/>
  <c r="AG152" i="22" s="1"/>
  <c r="I40" i="15"/>
  <c r="G144" i="22" s="1"/>
  <c r="D40" i="15"/>
  <c r="C144" i="22" s="1"/>
  <c r="AG144" i="22" s="1"/>
  <c r="D18" i="15"/>
  <c r="C122" i="22" s="1"/>
  <c r="AG122" i="22" s="1"/>
  <c r="D17" i="15"/>
  <c r="C121" i="22" s="1"/>
  <c r="AG121" i="22" s="1"/>
  <c r="D16" i="15"/>
  <c r="C120" i="22" s="1"/>
  <c r="AG120" i="22" s="1"/>
  <c r="D15" i="15"/>
  <c r="C119" i="22" s="1"/>
  <c r="AG119" i="22" s="1"/>
  <c r="D14" i="15"/>
  <c r="C118" i="22" s="1"/>
  <c r="AG118" i="22" s="1"/>
  <c r="D13" i="15"/>
  <c r="C117" i="22" s="1"/>
  <c r="AG117" i="22" s="1"/>
  <c r="D12" i="15"/>
  <c r="C116" i="22" s="1"/>
  <c r="AG116" i="22" s="1"/>
  <c r="D11" i="15"/>
  <c r="C115" i="22" s="1"/>
  <c r="AG115" i="22" s="1"/>
  <c r="D10" i="15"/>
  <c r="C114" i="22" s="1"/>
  <c r="AG114" i="22" s="1"/>
  <c r="D9" i="15"/>
  <c r="C113" i="22" s="1"/>
  <c r="AG113" i="22" s="1"/>
  <c r="D8" i="15"/>
  <c r="C112" i="22" s="1"/>
  <c r="AG112" i="22" s="1"/>
  <c r="D7" i="15"/>
  <c r="C111" i="22" s="1"/>
  <c r="AG111" i="22" s="1"/>
  <c r="D6" i="15"/>
  <c r="C110" i="22" s="1"/>
  <c r="AG110" i="22" s="1"/>
  <c r="D5" i="15"/>
  <c r="C109" i="22" s="1"/>
  <c r="AG109" i="22" s="1"/>
  <c r="I4" i="15"/>
  <c r="G108" i="22" s="1"/>
  <c r="D4" i="15"/>
  <c r="I58" i="12"/>
  <c r="G104" i="22" s="1"/>
  <c r="D58" i="12"/>
  <c r="C104" i="22" s="1"/>
  <c r="AG104" i="22" s="1"/>
  <c r="I57" i="12"/>
  <c r="G103" i="22" s="1"/>
  <c r="D57" i="12"/>
  <c r="C103" i="22" s="1"/>
  <c r="AG103" i="22" s="1"/>
  <c r="C15" i="23" s="1"/>
  <c r="I56" i="12"/>
  <c r="G102" i="22" s="1"/>
  <c r="D56" i="12"/>
  <c r="C102" i="22" s="1"/>
  <c r="AG102" i="22" s="1"/>
  <c r="I55" i="12"/>
  <c r="G101" i="22" s="1"/>
  <c r="D55" i="12"/>
  <c r="C101" i="22" s="1"/>
  <c r="AG101" i="22" s="1"/>
  <c r="I54" i="12"/>
  <c r="G100" i="22" s="1"/>
  <c r="D54" i="12"/>
  <c r="C100" i="22" s="1"/>
  <c r="AG100" i="22" s="1"/>
  <c r="I53" i="12"/>
  <c r="G99" i="22" s="1"/>
  <c r="D53" i="12"/>
  <c r="C99" i="22" s="1"/>
  <c r="AG99" i="22" s="1"/>
  <c r="I52" i="12"/>
  <c r="G98" i="22" s="1"/>
  <c r="D52" i="12"/>
  <c r="C98" i="22" s="1"/>
  <c r="AG98" i="22" s="1"/>
  <c r="I51" i="12"/>
  <c r="G97" i="22" s="1"/>
  <c r="D51" i="12"/>
  <c r="C97" i="22" s="1"/>
  <c r="AG97" i="22" s="1"/>
  <c r="I50" i="12"/>
  <c r="G96" i="22" s="1"/>
  <c r="D50" i="12"/>
  <c r="C96" i="22" s="1"/>
  <c r="AG96" i="22" s="1"/>
  <c r="I49" i="12"/>
  <c r="G95" i="22" s="1"/>
  <c r="D49" i="12"/>
  <c r="C95" i="22" s="1"/>
  <c r="AG95" i="22" s="1"/>
  <c r="I48" i="12"/>
  <c r="G94" i="22" s="1"/>
  <c r="D48" i="12"/>
  <c r="C94" i="22" s="1"/>
  <c r="AG94" i="22" s="1"/>
  <c r="I47" i="12"/>
  <c r="G93" i="22" s="1"/>
  <c r="D47" i="12"/>
  <c r="C93" i="22" s="1"/>
  <c r="AG93" i="22" s="1"/>
  <c r="I46" i="12"/>
  <c r="G92" i="22" s="1"/>
  <c r="D46" i="12"/>
  <c r="C92" i="22" s="1"/>
  <c r="AG92" i="22" s="1"/>
  <c r="I45" i="12"/>
  <c r="G91" i="22" s="1"/>
  <c r="D45" i="12"/>
  <c r="C91" i="22" s="1"/>
  <c r="AG91" i="22" s="1"/>
  <c r="I44" i="12"/>
  <c r="G90" i="22" s="1"/>
  <c r="D44" i="12"/>
  <c r="C90" i="22" s="1"/>
  <c r="AG90" i="22" s="1"/>
  <c r="I43" i="12"/>
  <c r="G89" i="22" s="1"/>
  <c r="D43" i="12"/>
  <c r="C89" i="22" s="1"/>
  <c r="AG89" i="22" s="1"/>
  <c r="I42" i="12"/>
  <c r="G88" i="22" s="1"/>
  <c r="D42" i="12"/>
  <c r="C88" i="22" s="1"/>
  <c r="AG88" i="22" s="1"/>
  <c r="I41" i="12"/>
  <c r="G87" i="22" s="1"/>
  <c r="D41" i="12"/>
  <c r="C87" i="22" s="1"/>
  <c r="AG87" i="22" s="1"/>
  <c r="I40" i="12"/>
  <c r="G86" i="22" s="1"/>
  <c r="D40" i="12"/>
  <c r="C86" i="22" s="1"/>
  <c r="AG86" i="22" s="1"/>
  <c r="I39" i="12"/>
  <c r="G85" i="22" s="1"/>
  <c r="D39" i="12"/>
  <c r="C85" i="22" s="1"/>
  <c r="AG85" i="22" s="1"/>
  <c r="D38" i="12"/>
  <c r="C84" i="22" s="1"/>
  <c r="AG84" i="22" s="1"/>
  <c r="D37" i="12"/>
  <c r="C83" i="22" s="1"/>
  <c r="AG83" i="22" s="1"/>
  <c r="D36" i="12"/>
  <c r="C82" i="22" s="1"/>
  <c r="AG82" i="22" s="1"/>
  <c r="D35" i="12"/>
  <c r="C81" i="22" s="1"/>
  <c r="AG81" i="22" s="1"/>
  <c r="C17" i="23" s="1"/>
  <c r="D34" i="12"/>
  <c r="C80" i="22" s="1"/>
  <c r="AG80" i="22" s="1"/>
  <c r="D33" i="12"/>
  <c r="C79" i="22" s="1"/>
  <c r="AG79" i="22" s="1"/>
  <c r="D32" i="12"/>
  <c r="C78" i="22" s="1"/>
  <c r="AG78" i="22" s="1"/>
  <c r="D31" i="12"/>
  <c r="C77" i="22" s="1"/>
  <c r="AG77" i="22" s="1"/>
  <c r="D30" i="12"/>
  <c r="C76" i="22" s="1"/>
  <c r="AG76" i="22" s="1"/>
  <c r="D29" i="12"/>
  <c r="C75" i="22" s="1"/>
  <c r="AG75" i="22" s="1"/>
  <c r="D28" i="12"/>
  <c r="C74" i="22" s="1"/>
  <c r="AG74" i="22" s="1"/>
  <c r="I5" i="12"/>
  <c r="G51" i="22" s="1"/>
  <c r="D5" i="12"/>
  <c r="C51" i="22" s="1"/>
  <c r="AG51" i="22" s="1"/>
  <c r="I4" i="12"/>
  <c r="G50" i="22" s="1"/>
  <c r="D4" i="12"/>
  <c r="C50" i="22" s="1"/>
  <c r="AG50" i="22" s="1"/>
  <c r="E8" i="23" l="1"/>
  <c r="F8" i="23"/>
  <c r="G8" i="23" s="1"/>
  <c r="C16" i="23"/>
  <c r="F16" i="23" s="1"/>
  <c r="G16" i="23" s="1"/>
  <c r="C12" i="23"/>
  <c r="C14" i="23"/>
  <c r="F14" i="23" s="1"/>
  <c r="G14" i="23" s="1"/>
  <c r="C11" i="23"/>
  <c r="C13" i="23"/>
  <c r="E13" i="23" s="1"/>
  <c r="C10" i="23"/>
  <c r="J30" i="23"/>
  <c r="K30" i="23"/>
  <c r="F28" i="23"/>
  <c r="G28" i="23"/>
  <c r="C108" i="22"/>
  <c r="AG108" i="22" s="1"/>
  <c r="K29" i="23"/>
  <c r="T75" i="23"/>
  <c r="J29" i="23"/>
  <c r="O56" i="23"/>
  <c r="T91" i="23" a="1"/>
  <c r="T91" i="23" s="1"/>
  <c r="N57" i="23"/>
  <c r="E15" i="23"/>
  <c r="F15" i="23"/>
  <c r="G15" i="23" s="1"/>
  <c r="E17" i="23"/>
  <c r="F17" i="23"/>
  <c r="G17" i="23" s="1"/>
  <c r="H4" i="14"/>
  <c r="AU13" i="22"/>
  <c r="AN8" i="22"/>
  <c r="AN9" i="22"/>
  <c r="AN7" i="22"/>
  <c r="AM5" i="22"/>
  <c r="G4" i="14"/>
  <c r="K108" i="22" s="1"/>
  <c r="F38" i="3"/>
  <c r="J38" i="22" s="1"/>
  <c r="F39" i="3"/>
  <c r="J39" i="22" s="1"/>
  <c r="F40" i="3"/>
  <c r="J40" i="22" s="1"/>
  <c r="F41" i="3"/>
  <c r="J41" i="22" s="1"/>
  <c r="F42" i="3"/>
  <c r="F43" i="3"/>
  <c r="J43" i="22" s="1"/>
  <c r="F44" i="3"/>
  <c r="J44" i="22" s="1"/>
  <c r="F45" i="3"/>
  <c r="F46" i="3"/>
  <c r="J46" i="22" s="1"/>
  <c r="F47" i="3"/>
  <c r="J47" i="22" s="1"/>
  <c r="F48" i="3"/>
  <c r="J48" i="22" s="1"/>
  <c r="F49" i="3"/>
  <c r="J49" i="22" s="1"/>
  <c r="I37" i="3" a="1"/>
  <c r="I37" i="3" s="1"/>
  <c r="L37" i="8" s="1"/>
  <c r="L37" i="22" s="1"/>
  <c r="I38" i="3" a="1"/>
  <c r="I38" i="3" s="1"/>
  <c r="L38" i="8" s="1"/>
  <c r="L38" i="22" s="1"/>
  <c r="I39" i="3" a="1"/>
  <c r="I39" i="3" s="1"/>
  <c r="L39" i="8" s="1"/>
  <c r="L39" i="22" s="1"/>
  <c r="I40" i="3" a="1"/>
  <c r="I40" i="3" s="1"/>
  <c r="L40" i="8" s="1"/>
  <c r="L40" i="22" s="1"/>
  <c r="I41" i="3" a="1"/>
  <c r="I41" i="3" s="1"/>
  <c r="L41" i="8" s="1"/>
  <c r="L41" i="22" s="1"/>
  <c r="I42" i="3" a="1"/>
  <c r="I42" i="3" s="1"/>
  <c r="L42" i="8" s="1"/>
  <c r="L42" i="22" s="1"/>
  <c r="I43" i="3" a="1"/>
  <c r="I43" i="3" s="1"/>
  <c r="L43" i="8" s="1"/>
  <c r="L43" i="22" s="1"/>
  <c r="I44" i="3" a="1"/>
  <c r="I44" i="3" s="1"/>
  <c r="L44" i="8" s="1"/>
  <c r="L44" i="22" s="1"/>
  <c r="I45" i="3" a="1"/>
  <c r="I45" i="3" s="1"/>
  <c r="L45" i="8" s="1"/>
  <c r="L45" i="22" s="1"/>
  <c r="I46" i="3" a="1"/>
  <c r="I46" i="3" s="1"/>
  <c r="L46" i="8" s="1"/>
  <c r="L46" i="22" s="1"/>
  <c r="I47" i="3" a="1"/>
  <c r="I47" i="3" s="1"/>
  <c r="L47" i="8" s="1"/>
  <c r="L47" i="22" s="1"/>
  <c r="I48" i="3" a="1"/>
  <c r="I48" i="3" s="1"/>
  <c r="L48" i="8" s="1"/>
  <c r="L48" i="22" s="1"/>
  <c r="I49" i="3" a="1"/>
  <c r="I49" i="3" s="1"/>
  <c r="L49" i="8" s="1"/>
  <c r="L49" i="22" s="1"/>
  <c r="E16" i="23" l="1"/>
  <c r="E14" i="23"/>
  <c r="E10" i="23"/>
  <c r="F10" i="23"/>
  <c r="G10" i="23" s="1"/>
  <c r="E11" i="23"/>
  <c r="F11" i="23"/>
  <c r="G11" i="23" s="1"/>
  <c r="E12" i="23"/>
  <c r="F12" i="23"/>
  <c r="G12" i="23" s="1"/>
  <c r="F13" i="23"/>
  <c r="G13" i="23" s="1"/>
  <c r="T92" i="23" a="1"/>
  <c r="T92" i="23" s="1"/>
  <c r="O57" i="23"/>
  <c r="K28" i="23"/>
  <c r="T74" i="23"/>
  <c r="J28" i="23"/>
  <c r="G42" i="3"/>
  <c r="K42" i="22" s="1"/>
  <c r="J42" i="22"/>
  <c r="G45" i="3"/>
  <c r="K45" i="22" s="1"/>
  <c r="J45" i="22"/>
  <c r="AU14" i="22"/>
  <c r="AN6" i="22"/>
  <c r="H41" i="3"/>
  <c r="G41" i="3"/>
  <c r="K41" i="22" s="1"/>
  <c r="G46" i="3"/>
  <c r="K46" i="22" s="1"/>
  <c r="G47" i="3"/>
  <c r="K47" i="22" s="1"/>
  <c r="H38" i="3"/>
  <c r="H44" i="3"/>
  <c r="G49" i="3"/>
  <c r="K49" i="22" s="1"/>
  <c r="H43" i="3"/>
  <c r="G48" i="3"/>
  <c r="K48" i="22" s="1"/>
  <c r="H45" i="3"/>
  <c r="H42" i="3"/>
  <c r="G40" i="3"/>
  <c r="K40" i="22" s="1"/>
  <c r="H39" i="3"/>
  <c r="H46" i="3"/>
  <c r="H47" i="3"/>
  <c r="G44" i="3"/>
  <c r="K44" i="22" s="1"/>
  <c r="G43" i="3"/>
  <c r="K43" i="22" s="1"/>
  <c r="H40" i="3"/>
  <c r="G39" i="3"/>
  <c r="K39" i="22" s="1"/>
  <c r="G38" i="3"/>
  <c r="K38" i="22" s="1"/>
  <c r="AU15" i="22" l="1"/>
  <c r="F4" i="13"/>
  <c r="J50" i="22" s="1"/>
  <c r="I27" i="23" s="1"/>
  <c r="T73" i="23" l="1"/>
  <c r="K27" i="23"/>
  <c r="J27" i="23"/>
  <c r="H4" i="13"/>
  <c r="G4" i="13"/>
  <c r="K50" i="22" s="1"/>
  <c r="AN5" i="22" l="1"/>
  <c r="I49" i="8"/>
  <c r="G49" i="22" s="1"/>
  <c r="I47" i="8"/>
  <c r="G47" i="22" s="1"/>
  <c r="I46" i="8"/>
  <c r="G46" i="22" s="1"/>
  <c r="I45" i="8"/>
  <c r="G45" i="22" s="1"/>
  <c r="I44" i="8"/>
  <c r="G44" i="22" s="1"/>
  <c r="I43" i="8"/>
  <c r="G43" i="22" s="1"/>
  <c r="I42" i="8"/>
  <c r="G42" i="22" s="1"/>
  <c r="D42" i="8"/>
  <c r="C42" i="22" s="1"/>
  <c r="AG42" i="22" s="1"/>
  <c r="D43" i="8"/>
  <c r="C43" i="22" s="1"/>
  <c r="AG43" i="22" s="1"/>
  <c r="D44" i="8"/>
  <c r="C44" i="22" s="1"/>
  <c r="AG44" i="22" s="1"/>
  <c r="D45" i="8"/>
  <c r="C45" i="22" s="1"/>
  <c r="AG45" i="22" s="1"/>
  <c r="D46" i="8"/>
  <c r="C46" i="22" s="1"/>
  <c r="AG46" i="22" s="1"/>
  <c r="D47" i="8"/>
  <c r="C47" i="22" s="1"/>
  <c r="AG47" i="22" s="1"/>
  <c r="D48" i="8"/>
  <c r="C48" i="22" s="1"/>
  <c r="AG48" i="22" s="1"/>
  <c r="D49" i="8"/>
  <c r="C49" i="22" s="1"/>
  <c r="AG49" i="22" s="1"/>
  <c r="I5" i="8" l="1"/>
  <c r="G5" i="22" s="1"/>
  <c r="I6" i="8"/>
  <c r="G6" i="22" s="1"/>
  <c r="I7" i="8"/>
  <c r="G7" i="22" s="1"/>
  <c r="I8" i="8"/>
  <c r="G8" i="22" s="1"/>
  <c r="I9" i="8"/>
  <c r="G9" i="22" s="1"/>
  <c r="I10" i="8"/>
  <c r="G10" i="22" s="1"/>
  <c r="I11" i="8"/>
  <c r="G11" i="22" s="1"/>
  <c r="I12" i="8"/>
  <c r="G12" i="22" s="1"/>
  <c r="I13" i="8"/>
  <c r="G13" i="22" s="1"/>
  <c r="I14" i="8"/>
  <c r="G14" i="22" s="1"/>
  <c r="I15" i="8"/>
  <c r="G15" i="22" s="1"/>
  <c r="I16" i="8"/>
  <c r="G16" i="22" s="1"/>
  <c r="I17" i="8"/>
  <c r="G17" i="22" s="1"/>
  <c r="I18" i="8"/>
  <c r="G18" i="22" s="1"/>
  <c r="I19" i="8"/>
  <c r="G19" i="22" s="1"/>
  <c r="I20" i="8"/>
  <c r="G20" i="22" s="1"/>
  <c r="I21" i="8"/>
  <c r="G21" i="22" s="1"/>
  <c r="I22" i="8"/>
  <c r="G22" i="22" s="1"/>
  <c r="I23" i="8"/>
  <c r="G23" i="22" s="1"/>
  <c r="I24" i="8"/>
  <c r="G24" i="22" s="1"/>
  <c r="I25" i="8"/>
  <c r="G25" i="22" s="1"/>
  <c r="I26" i="8"/>
  <c r="G26" i="22" s="1"/>
  <c r="I27" i="8"/>
  <c r="G27" i="22" s="1"/>
  <c r="I28" i="8"/>
  <c r="G28" i="22" s="1"/>
  <c r="I29" i="8"/>
  <c r="G29" i="22" s="1"/>
  <c r="I30" i="8"/>
  <c r="G30" i="22" s="1"/>
  <c r="I31" i="8"/>
  <c r="G31" i="22" s="1"/>
  <c r="I32" i="8"/>
  <c r="G32" i="22" s="1"/>
  <c r="I33" i="8"/>
  <c r="G33" i="22" s="1"/>
  <c r="I34" i="8"/>
  <c r="G34" i="22" s="1"/>
  <c r="I35" i="8"/>
  <c r="G35" i="22" s="1"/>
  <c r="I36" i="8"/>
  <c r="G36" i="22" s="1"/>
  <c r="I37" i="8"/>
  <c r="G37" i="22" s="1"/>
  <c r="I38" i="8"/>
  <c r="G38" i="22" s="1"/>
  <c r="I39" i="8"/>
  <c r="G39" i="22" s="1"/>
  <c r="I40" i="8"/>
  <c r="G40" i="22" s="1"/>
  <c r="I4" i="8"/>
  <c r="G4" i="22" s="1"/>
  <c r="I53" i="11"/>
  <c r="I76" i="10"/>
  <c r="I119" i="7"/>
  <c r="F37" i="3" l="1"/>
  <c r="J37" i="22" s="1"/>
  <c r="I36" i="3" a="1"/>
  <c r="I36" i="3" s="1"/>
  <c r="L36" i="8" s="1"/>
  <c r="L36" i="22" s="1"/>
  <c r="F36" i="3"/>
  <c r="J36" i="22" s="1"/>
  <c r="I35" i="3" a="1"/>
  <c r="I35" i="3" s="1"/>
  <c r="L35" i="8" s="1"/>
  <c r="L35" i="22" s="1"/>
  <c r="F35" i="3"/>
  <c r="J35" i="22" s="1"/>
  <c r="I34" i="3" a="1"/>
  <c r="I34" i="3" s="1"/>
  <c r="L34" i="8" s="1"/>
  <c r="L34" i="22" s="1"/>
  <c r="F34" i="3"/>
  <c r="J34" i="22" s="1"/>
  <c r="I33" i="3" a="1"/>
  <c r="I33" i="3" s="1"/>
  <c r="L33" i="8" s="1"/>
  <c r="L33" i="22" s="1"/>
  <c r="F33" i="3"/>
  <c r="J33" i="22" s="1"/>
  <c r="I32" i="3" a="1"/>
  <c r="I32" i="3" s="1"/>
  <c r="L32" i="8" s="1"/>
  <c r="L32" i="22" s="1"/>
  <c r="F32" i="3"/>
  <c r="J32" i="22" s="1"/>
  <c r="I31" i="3" a="1"/>
  <c r="I31" i="3" s="1"/>
  <c r="L31" i="8" s="1"/>
  <c r="L31" i="22" s="1"/>
  <c r="F31" i="3"/>
  <c r="J31" i="22" s="1"/>
  <c r="I30" i="3" a="1"/>
  <c r="I30" i="3" s="1"/>
  <c r="L30" i="8" s="1"/>
  <c r="L30" i="22" s="1"/>
  <c r="F30" i="3"/>
  <c r="J30" i="22" s="1"/>
  <c r="I29" i="3" a="1"/>
  <c r="I29" i="3" s="1"/>
  <c r="L29" i="8" s="1"/>
  <c r="L29" i="22" s="1"/>
  <c r="F29" i="3"/>
  <c r="J29" i="22" s="1"/>
  <c r="I28" i="3" a="1"/>
  <c r="I28" i="3" s="1"/>
  <c r="L28" i="8" s="1"/>
  <c r="L28" i="22" s="1"/>
  <c r="F28" i="3"/>
  <c r="J28" i="22" s="1"/>
  <c r="I27" i="3" a="1"/>
  <c r="I27" i="3" s="1"/>
  <c r="L27" i="8" s="1"/>
  <c r="L27" i="22" s="1"/>
  <c r="F27" i="3"/>
  <c r="J27" i="22" s="1"/>
  <c r="I26" i="3" a="1"/>
  <c r="I26" i="3" s="1"/>
  <c r="L26" i="8" s="1"/>
  <c r="L26" i="22" s="1"/>
  <c r="F26" i="3"/>
  <c r="J26" i="22" s="1"/>
  <c r="I25" i="3" a="1"/>
  <c r="I25" i="3" s="1"/>
  <c r="L25" i="8" s="1"/>
  <c r="L25" i="22" s="1"/>
  <c r="F25" i="3"/>
  <c r="J25" i="22" s="1"/>
  <c r="I24" i="3" a="1"/>
  <c r="I24" i="3" s="1"/>
  <c r="L24" i="8" s="1"/>
  <c r="L24" i="22" s="1"/>
  <c r="F24" i="3"/>
  <c r="J24" i="22" s="1"/>
  <c r="I23" i="3" a="1"/>
  <c r="I23" i="3" s="1"/>
  <c r="L23" i="8" s="1"/>
  <c r="L23" i="22" s="1"/>
  <c r="F23" i="3"/>
  <c r="J23" i="22" s="1"/>
  <c r="I22" i="3" a="1"/>
  <c r="I22" i="3" s="1"/>
  <c r="L22" i="8" s="1"/>
  <c r="L22" i="22" s="1"/>
  <c r="F22" i="3"/>
  <c r="J22" i="22" s="1"/>
  <c r="I21" i="3" a="1"/>
  <c r="I21" i="3" s="1"/>
  <c r="L21" i="8" s="1"/>
  <c r="L21" i="22" s="1"/>
  <c r="F21" i="3"/>
  <c r="J21" i="22" s="1"/>
  <c r="I20" i="3" a="1"/>
  <c r="I20" i="3" s="1"/>
  <c r="L20" i="8" s="1"/>
  <c r="L20" i="22" s="1"/>
  <c r="F20" i="3"/>
  <c r="J20" i="22" s="1"/>
  <c r="I19" i="3" a="1"/>
  <c r="I19" i="3" s="1"/>
  <c r="L19" i="8" s="1"/>
  <c r="L19" i="22" s="1"/>
  <c r="F19" i="3"/>
  <c r="J19" i="22" s="1"/>
  <c r="I18" i="3" a="1"/>
  <c r="I18" i="3" s="1"/>
  <c r="L18" i="8" s="1"/>
  <c r="L18" i="22" s="1"/>
  <c r="F18" i="3"/>
  <c r="J18" i="22" s="1"/>
  <c r="I17" i="3" a="1"/>
  <c r="I17" i="3" s="1"/>
  <c r="L17" i="8" s="1"/>
  <c r="L17" i="22" s="1"/>
  <c r="F17" i="3"/>
  <c r="J17" i="22" s="1"/>
  <c r="I16" i="3" a="1"/>
  <c r="I16" i="3" s="1"/>
  <c r="L16" i="8" s="1"/>
  <c r="L16" i="22" s="1"/>
  <c r="F16" i="3"/>
  <c r="J16" i="22" s="1"/>
  <c r="I15" i="3" a="1"/>
  <c r="I15" i="3" s="1"/>
  <c r="L15" i="8" s="1"/>
  <c r="L15" i="22" s="1"/>
  <c r="F15" i="3"/>
  <c r="J15" i="22" s="1"/>
  <c r="I14" i="3" a="1"/>
  <c r="I14" i="3" s="1"/>
  <c r="L14" i="8" s="1"/>
  <c r="L14" i="22" s="1"/>
  <c r="F14" i="3"/>
  <c r="J14" i="22" s="1"/>
  <c r="I13" i="3" a="1"/>
  <c r="I13" i="3" s="1"/>
  <c r="L13" i="8" s="1"/>
  <c r="L13" i="22" s="1"/>
  <c r="F13" i="3"/>
  <c r="J13" i="22" s="1"/>
  <c r="I12" i="3" a="1"/>
  <c r="I12" i="3" s="1"/>
  <c r="L12" i="8" s="1"/>
  <c r="L12" i="22" s="1"/>
  <c r="F12" i="3"/>
  <c r="J12" i="22" s="1"/>
  <c r="I11" i="3" a="1"/>
  <c r="I11" i="3" s="1"/>
  <c r="L11" i="8" s="1"/>
  <c r="L11" i="22" s="1"/>
  <c r="F11" i="3"/>
  <c r="J11" i="22" s="1"/>
  <c r="I10" i="3" a="1"/>
  <c r="I10" i="3" s="1"/>
  <c r="L10" i="8" s="1"/>
  <c r="L10" i="22" s="1"/>
  <c r="F10" i="3"/>
  <c r="J10" i="22" s="1"/>
  <c r="I9" i="3" a="1"/>
  <c r="I9" i="3" s="1"/>
  <c r="L9" i="8" s="1"/>
  <c r="L9" i="22" s="1"/>
  <c r="F9" i="3"/>
  <c r="J9" i="22" s="1"/>
  <c r="I8" i="3" a="1"/>
  <c r="I8" i="3" s="1"/>
  <c r="L8" i="8" s="1"/>
  <c r="L8" i="22" s="1"/>
  <c r="F8" i="3"/>
  <c r="J8" i="22" s="1"/>
  <c r="I7" i="3" a="1"/>
  <c r="I7" i="3" s="1"/>
  <c r="L7" i="8" s="1"/>
  <c r="L7" i="22" s="1"/>
  <c r="F7" i="3"/>
  <c r="J7" i="22" s="1"/>
  <c r="I6" i="3" a="1"/>
  <c r="I6" i="3" s="1"/>
  <c r="L6" i="8" s="1"/>
  <c r="L6" i="22" s="1"/>
  <c r="F6" i="3"/>
  <c r="J6" i="22" s="1"/>
  <c r="I5" i="3" a="1"/>
  <c r="I5" i="3" s="1"/>
  <c r="L5" i="8" s="1"/>
  <c r="L5" i="22" s="1"/>
  <c r="F5" i="3"/>
  <c r="I4" i="3" a="1"/>
  <c r="I4" i="3" s="1"/>
  <c r="L4" i="8" s="1"/>
  <c r="L4" i="22" s="1"/>
  <c r="F4" i="3"/>
  <c r="D41" i="8"/>
  <c r="C41" i="22" s="1"/>
  <c r="AG41" i="22" s="1"/>
  <c r="D40" i="8"/>
  <c r="C40" i="22" s="1"/>
  <c r="AG40" i="22" s="1"/>
  <c r="D39" i="8"/>
  <c r="C39" i="22" s="1"/>
  <c r="AG39" i="22" s="1"/>
  <c r="D38" i="8"/>
  <c r="C38" i="22" s="1"/>
  <c r="AG38" i="22" s="1"/>
  <c r="D37" i="8"/>
  <c r="C37" i="22" s="1"/>
  <c r="AG37" i="22" s="1"/>
  <c r="D36" i="8"/>
  <c r="C36" i="22" s="1"/>
  <c r="AG36" i="22" s="1"/>
  <c r="D35" i="8"/>
  <c r="C35" i="22" s="1"/>
  <c r="AG35" i="22" s="1"/>
  <c r="D34" i="8"/>
  <c r="C34" i="22" s="1"/>
  <c r="AG34" i="22" s="1"/>
  <c r="D33" i="8"/>
  <c r="C33" i="22" s="1"/>
  <c r="AG33" i="22" s="1"/>
  <c r="D32" i="8"/>
  <c r="C32" i="22" s="1"/>
  <c r="AG32" i="22" s="1"/>
  <c r="D31" i="8"/>
  <c r="C31" i="22" s="1"/>
  <c r="AG31" i="22" s="1"/>
  <c r="D30" i="8"/>
  <c r="C30" i="22" s="1"/>
  <c r="AG30" i="22" s="1"/>
  <c r="D29" i="8"/>
  <c r="C29" i="22" s="1"/>
  <c r="AG29" i="22" s="1"/>
  <c r="D28" i="8"/>
  <c r="C28" i="22" s="1"/>
  <c r="AG28" i="22" s="1"/>
  <c r="D27" i="8"/>
  <c r="C27" i="22" s="1"/>
  <c r="AG27" i="22" s="1"/>
  <c r="D26" i="8"/>
  <c r="C26" i="22" s="1"/>
  <c r="AG26" i="22" s="1"/>
  <c r="D25" i="8"/>
  <c r="C25" i="22" s="1"/>
  <c r="AG25" i="22" s="1"/>
  <c r="D24" i="8"/>
  <c r="C24" i="22" s="1"/>
  <c r="AG24" i="22" s="1"/>
  <c r="D23" i="8"/>
  <c r="C23" i="22" s="1"/>
  <c r="AG23" i="22" s="1"/>
  <c r="D22" i="8"/>
  <c r="C22" i="22" s="1"/>
  <c r="AG22" i="22" s="1"/>
  <c r="D21" i="8"/>
  <c r="C21" i="22" s="1"/>
  <c r="AG21" i="22" s="1"/>
  <c r="D20" i="8"/>
  <c r="C20" i="22" s="1"/>
  <c r="AG20" i="22" s="1"/>
  <c r="D19" i="8"/>
  <c r="C19" i="22" s="1"/>
  <c r="AG19" i="22" s="1"/>
  <c r="D18" i="8"/>
  <c r="C18" i="22" s="1"/>
  <c r="AG18" i="22" s="1"/>
  <c r="D17" i="8"/>
  <c r="C17" i="22" s="1"/>
  <c r="AG17" i="22" s="1"/>
  <c r="D16" i="8"/>
  <c r="C16" i="22" s="1"/>
  <c r="AG16" i="22" s="1"/>
  <c r="D15" i="8"/>
  <c r="C15" i="22" s="1"/>
  <c r="AG15" i="22" s="1"/>
  <c r="D14" i="8"/>
  <c r="C14" i="22" s="1"/>
  <c r="AG14" i="22" s="1"/>
  <c r="D13" i="8"/>
  <c r="C13" i="22" s="1"/>
  <c r="AG13" i="22" s="1"/>
  <c r="D12" i="8"/>
  <c r="C12" i="22" s="1"/>
  <c r="AG12" i="22" s="1"/>
  <c r="D11" i="8"/>
  <c r="C11" i="22" s="1"/>
  <c r="AG11" i="22" s="1"/>
  <c r="D10" i="8"/>
  <c r="C10" i="22" s="1"/>
  <c r="AG10" i="22" s="1"/>
  <c r="D9" i="8"/>
  <c r="C9" i="22" s="1"/>
  <c r="AG9" i="22" s="1"/>
  <c r="D8" i="8"/>
  <c r="C8" i="22" s="1"/>
  <c r="AG8" i="22" s="1"/>
  <c r="D7" i="8"/>
  <c r="C7" i="22" s="1"/>
  <c r="AG7" i="22" s="1"/>
  <c r="D6" i="8"/>
  <c r="C6" i="22" s="1"/>
  <c r="AG6" i="22" s="1"/>
  <c r="D5" i="8"/>
  <c r="C5" i="22" s="1"/>
  <c r="AG5" i="22" s="1"/>
  <c r="D4" i="8"/>
  <c r="C4" i="22" s="1"/>
  <c r="AG4" i="22" s="1"/>
  <c r="G41" i="23" l="1" a="1"/>
  <c r="G41" i="23" s="1"/>
  <c r="D41" i="23" a="1"/>
  <c r="D41" i="23" s="1"/>
  <c r="F41" i="23" a="1"/>
  <c r="F41" i="23" s="1"/>
  <c r="G44" i="23"/>
  <c r="D42" i="23"/>
  <c r="D44" i="23"/>
  <c r="D43" i="23"/>
  <c r="G42" i="23"/>
  <c r="F45" i="23"/>
  <c r="F43" i="23"/>
  <c r="G16" i="4"/>
  <c r="G43" i="23"/>
  <c r="J16" i="4"/>
  <c r="F44" i="23"/>
  <c r="F42" i="23"/>
  <c r="D45" i="23"/>
  <c r="G26" i="23"/>
  <c r="G32" i="23" s="1"/>
  <c r="F26" i="23"/>
  <c r="F32" i="23" s="1"/>
  <c r="J4" i="22"/>
  <c r="H4" i="3"/>
  <c r="J5" i="22"/>
  <c r="H5" i="3"/>
  <c r="AM4" i="22"/>
  <c r="H8" i="3"/>
  <c r="G18" i="3"/>
  <c r="K18" i="22" s="1"/>
  <c r="H28" i="3"/>
  <c r="G10" i="3"/>
  <c r="K10" i="22" s="1"/>
  <c r="H12" i="3"/>
  <c r="H22" i="3"/>
  <c r="H32" i="3"/>
  <c r="H23" i="3"/>
  <c r="G13" i="3"/>
  <c r="K13" i="22" s="1"/>
  <c r="H24" i="3"/>
  <c r="G5" i="3"/>
  <c r="K5" i="22" s="1"/>
  <c r="G15" i="3"/>
  <c r="K15" i="22" s="1"/>
  <c r="G25" i="3"/>
  <c r="K25" i="22" s="1"/>
  <c r="H35" i="3"/>
  <c r="G9" i="3"/>
  <c r="K9" i="22" s="1"/>
  <c r="G19" i="3"/>
  <c r="K19" i="22" s="1"/>
  <c r="G29" i="3"/>
  <c r="K29" i="22" s="1"/>
  <c r="H34" i="3"/>
  <c r="H20" i="3"/>
  <c r="H30" i="3"/>
  <c r="H11" i="3"/>
  <c r="G21" i="3"/>
  <c r="K21" i="22" s="1"/>
  <c r="H6" i="3"/>
  <c r="H16" i="3"/>
  <c r="H26" i="3"/>
  <c r="H36" i="3"/>
  <c r="G4" i="3"/>
  <c r="K4" i="22" s="1"/>
  <c r="G14" i="3"/>
  <c r="K14" i="22" s="1"/>
  <c r="H31" i="3"/>
  <c r="G33" i="3"/>
  <c r="K33" i="22" s="1"/>
  <c r="H7" i="3"/>
  <c r="H17" i="3"/>
  <c r="H27" i="3"/>
  <c r="H37" i="3"/>
  <c r="H18" i="3"/>
  <c r="H14" i="3"/>
  <c r="H19" i="3"/>
  <c r="G12" i="3"/>
  <c r="K12" i="22" s="1"/>
  <c r="G17" i="3"/>
  <c r="K17" i="22" s="1"/>
  <c r="H9" i="3"/>
  <c r="H15" i="3"/>
  <c r="H13" i="3"/>
  <c r="G16" i="3"/>
  <c r="K16" i="22" s="1"/>
  <c r="G22" i="3"/>
  <c r="K22" i="22" s="1"/>
  <c r="G26" i="3"/>
  <c r="K26" i="22" s="1"/>
  <c r="G30" i="3"/>
  <c r="K30" i="22" s="1"/>
  <c r="G34" i="3"/>
  <c r="K34" i="22" s="1"/>
  <c r="H21" i="3"/>
  <c r="H25" i="3"/>
  <c r="H33" i="3"/>
  <c r="G7" i="3"/>
  <c r="K7" i="22" s="1"/>
  <c r="G8" i="3"/>
  <c r="K8" i="22" s="1"/>
  <c r="H10" i="3"/>
  <c r="G11" i="3"/>
  <c r="K11" i="22" s="1"/>
  <c r="G23" i="3"/>
  <c r="K23" i="22" s="1"/>
  <c r="G27" i="3"/>
  <c r="K27" i="22" s="1"/>
  <c r="G31" i="3"/>
  <c r="K31" i="22" s="1"/>
  <c r="G35" i="3"/>
  <c r="K35" i="22" s="1"/>
  <c r="G20" i="3"/>
  <c r="K20" i="22" s="1"/>
  <c r="H29" i="3"/>
  <c r="G24" i="3"/>
  <c r="K24" i="22" s="1"/>
  <c r="G28" i="3"/>
  <c r="K28" i="22" s="1"/>
  <c r="G32" i="3"/>
  <c r="K32" i="22" s="1"/>
  <c r="G36" i="3"/>
  <c r="K36" i="22" s="1"/>
  <c r="G6" i="3"/>
  <c r="K6" i="22" s="1"/>
  <c r="G37" i="3"/>
  <c r="K37" i="22" s="1"/>
  <c r="J13" i="4" l="1"/>
  <c r="D16" i="4" s="1"/>
  <c r="I26" i="23"/>
  <c r="T72" i="23" s="1"/>
  <c r="F46" i="23"/>
  <c r="H41" i="23" s="1"/>
  <c r="D46" i="23"/>
  <c r="E41" i="23" s="1"/>
  <c r="G45" i="23"/>
  <c r="G46" i="23" s="1"/>
  <c r="AQ6" i="22"/>
  <c r="AN4" i="22"/>
  <c r="AQ10" i="22"/>
  <c r="AQ8" i="22"/>
  <c r="AQ9" i="22"/>
  <c r="AQ7" i="22"/>
  <c r="AQ5" i="22"/>
  <c r="AQ4" i="22"/>
  <c r="E42" i="23" l="1"/>
  <c r="M13" i="4"/>
  <c r="K26" i="23"/>
  <c r="J26" i="23"/>
  <c r="J32" i="23" s="1"/>
  <c r="I32" i="23"/>
  <c r="K32" i="23" s="1"/>
  <c r="E44" i="23"/>
  <c r="E43" i="23"/>
  <c r="E45" i="23"/>
  <c r="H43" i="23"/>
  <c r="H45" i="23"/>
  <c r="H44" i="23"/>
  <c r="H42" i="23"/>
  <c r="AW12" i="22"/>
  <c r="AW11" i="22"/>
  <c r="AX11" i="22"/>
  <c r="AW4" i="22"/>
  <c r="AX4" i="22"/>
  <c r="AW13" i="22"/>
  <c r="AX13" i="22"/>
  <c r="AW8" i="22"/>
  <c r="AX8" i="22"/>
  <c r="AW9" i="22"/>
  <c r="AW5" i="22"/>
  <c r="AX5" i="22"/>
  <c r="AW6" i="22"/>
  <c r="AX6" i="22"/>
  <c r="AW10" i="22"/>
  <c r="AX10" i="22"/>
  <c r="AW7" i="22"/>
  <c r="AX7" i="22"/>
  <c r="E46" i="23" l="1"/>
  <c r="H46" i="23"/>
  <c r="AX9" i="22"/>
  <c r="AX12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Guilherme</author>
  </authors>
  <commentList>
    <comment ref="D41" authorId="0" shapeId="0" xr:uid="{9B5FCF1A-386F-4E16-A7A1-F27A41264158}">
      <text>
        <r>
          <rPr>
            <b/>
            <sz val="9"/>
            <color indexed="81"/>
            <rFont val="Segoe UI"/>
            <family val="2"/>
          </rPr>
          <t>Inclui as OSPs com situação "Análise Gestor" e "Correção Fiscal" ('Tabelas Auxiliares'!M9:M10), consideradas como Em elaboração.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<sst xmlns="http://schemas.openxmlformats.org/spreadsheetml/2006/main" count="3024" uniqueCount="843">
  <si>
    <t>TRECHO</t>
  </si>
  <si>
    <t>VALOR PREVISTO</t>
  </si>
  <si>
    <t>-</t>
  </si>
  <si>
    <t>ID</t>
  </si>
  <si>
    <t>REGIÃO</t>
  </si>
  <si>
    <t>CONTRATO</t>
  </si>
  <si>
    <t>OSP</t>
  </si>
  <si>
    <t>DATA EMISSÃO</t>
  </si>
  <si>
    <t>N° TRECHO</t>
  </si>
  <si>
    <t>SERVIÇO</t>
  </si>
  <si>
    <t>SITUAÇÃO</t>
  </si>
  <si>
    <t>R02</t>
  </si>
  <si>
    <t>R14</t>
  </si>
  <si>
    <t>R15</t>
  </si>
  <si>
    <t>REGIÕES</t>
  </si>
  <si>
    <t>CONTRATOS</t>
  </si>
  <si>
    <t>Código Região</t>
  </si>
  <si>
    <t>Região</t>
  </si>
  <si>
    <t>Código Contrato</t>
  </si>
  <si>
    <t>Contrato</t>
  </si>
  <si>
    <t>R01</t>
  </si>
  <si>
    <t>C01</t>
  </si>
  <si>
    <t>040.2024</t>
  </si>
  <si>
    <t>C02</t>
  </si>
  <si>
    <t>014.2025</t>
  </si>
  <si>
    <t>Roçada</t>
  </si>
  <si>
    <t>Em andamento</t>
  </si>
  <si>
    <t>002.2025</t>
  </si>
  <si>
    <t>Concluída</t>
  </si>
  <si>
    <t>C14</t>
  </si>
  <si>
    <t>034.2025</t>
  </si>
  <si>
    <t>Justificada</t>
  </si>
  <si>
    <t>C15</t>
  </si>
  <si>
    <t>035.2025</t>
  </si>
  <si>
    <t>Cancelada</t>
  </si>
  <si>
    <t>R16</t>
  </si>
  <si>
    <t>C16</t>
  </si>
  <si>
    <t>036.2025</t>
  </si>
  <si>
    <t>jan/fev</t>
  </si>
  <si>
    <t>VALOR MEDIDO</t>
  </si>
  <si>
    <t>CRONOGRAMA</t>
  </si>
  <si>
    <t>REGIÃO 01</t>
  </si>
  <si>
    <t>TOTAL MEDIDO</t>
  </si>
  <si>
    <t>SALDO</t>
  </si>
  <si>
    <t>SITUAÇÃO FINAL</t>
  </si>
  <si>
    <t>%</t>
  </si>
  <si>
    <t>OBSERVAÇÃO</t>
  </si>
  <si>
    <t>RODOVIA TO-010 - TRECHO ARAGUATINS - ENTR. TO-201</t>
  </si>
  <si>
    <t>RODOVIA TO-010 - TRECHO BURITI DO TOCANTINS (ENTR. TO-201) - SÃO SEBASTIÃO DO TOCANTINS</t>
  </si>
  <si>
    <t>RODOVIA TO-126 - TRECHO MAURILÂNDIA - TOCANTINÓPOLIS</t>
  </si>
  <si>
    <t>RODOVIA TO-126 - TRECHO SUMAUMA - SÍTIO NOVO DO TOCANTINS</t>
  </si>
  <si>
    <t>RODOVIA TO-201 - TRECHO AUGUSTINÓPOLIS - BURITI DO TOCANTINS</t>
  </si>
  <si>
    <t>RODOVIA TO-201 - TRECHO BURITI DO TOCANTINS - ESPERANTINA</t>
  </si>
  <si>
    <t>RODOVIA TO-403 - TRECHO SAMPAIO - ENTR. TO-404 (ITAÚBA)</t>
  </si>
  <si>
    <t>RODOVIA TO-407 - TRECHO CARRASCO BONITO - ENTR. TO-201 (POVOADO CENTRO DOS FIRMINOS)</t>
  </si>
  <si>
    <t>fev</t>
  </si>
  <si>
    <t>fev/mar</t>
  </si>
  <si>
    <t>mar/abr</t>
  </si>
  <si>
    <t>fev/mar/abr</t>
  </si>
  <si>
    <t>Janeiro</t>
  </si>
  <si>
    <t>Fevereiro</t>
  </si>
  <si>
    <t>Março</t>
  </si>
  <si>
    <t>Abril</t>
  </si>
  <si>
    <t>Maio</t>
  </si>
  <si>
    <t>Junho</t>
  </si>
  <si>
    <t>A O.S.P. nº 040.2024.0073 (TO-010, trecho Araguatins - Entr. TO-201) estava programada para jan-fev/2026, mas não foi executada em janeiro, sendo reprogramada para fevereiro. Nessa atualização, constatou-se falha técnica no cronograma: o item de sinalização ficou fora do "Total Acumulado", comprometendo a exequibilidade e a medição. Em fevereiro, a execução também não ocorreu, pois a contratada priorizou atendimentos emergenciais das O.S.P. nº 040.2024.0090 e 040.2024.0091, a pedido da AGETO. Diante da impossibilidade de cumprir o prazo contratual, propõe-se o encerramento da O.S.P., condicionado à retificação do cronograma físico-financeiro para refletir corretamente o ocorrido, garantindo transparência e rastreabilidade histórica do trecho.</t>
  </si>
  <si>
    <t>Em atenção à solicitação de justificativa quanto à ausência de execução da O.S.P. nº 040.2024.0074, informamos que o serviço de roçagem mecanizada previsto para o mês de referência não foi realizado em razão de solicitação da Diretoria do órgão AGETO para priorização da execução das O.S.P. nº 040.2024.0090 e O.S.P. nº 040.2024.0091. Dessa forma, o serviço será reprogramado para execução no mês subsequente.</t>
  </si>
  <si>
    <t>Em atenção à solicitação de justificativa quanto à ausência de execução da O.S.P. nº 040.2024.0078, informamos que o serviço de roçagem mecanizada previsto para o mês de referência não foi realizado em razão de solicitação da Diretoria do órgão AGETO para priorização da execução das O.S.P. nº 040.2024.0090 e O.S.P. nº 040.2024.0091.</t>
  </si>
  <si>
    <t>Em atenção à solicitação de justificativa quanto à ausência de execução da O.S.P. nº 040.2024.0079, informamos que o serviço de roçagem mecanizada previsto para o mês de referência não foi realizado em razão de solicitação da Diretoria do órgão AGETO para priorização da execução das O.S.P. nº 040.2024.0090 e O.S.P. nº 040.2024.0091.</t>
  </si>
  <si>
    <t>Em atenção à solicitação de justificativa quanto à ausência de execução da O.S.P. nº 040.2024.0080, informamos que o serviço de roçagem mecanizada previsto para o mês de referência não foi realizado em razão de solicitação da Diretoria do órgão AGETO para priorização da execução das O.S.P. nº 040.2024.0090 e O.S.P. nº 040.2024.0091.</t>
  </si>
  <si>
    <t>Recomposição mecanizada de aterro</t>
  </si>
  <si>
    <t>Reparo EDS</t>
  </si>
  <si>
    <t xml:space="preserve">RODOVIA TO-126 - TRECHO SÍTIO NOVO DO TOCANTINS - ITAGUATINS </t>
  </si>
  <si>
    <t>RODOVIA TO-405 - TRECHO AXIXÁ DO TOCANTINS - ENTR. BR-230</t>
  </si>
  <si>
    <t>mar/abr/mai</t>
  </si>
  <si>
    <t>mar</t>
  </si>
  <si>
    <t>abr/mai</t>
  </si>
  <si>
    <t>Em elaboração</t>
  </si>
  <si>
    <t>mai</t>
  </si>
  <si>
    <t>G1</t>
  </si>
  <si>
    <t>G2</t>
  </si>
  <si>
    <t>Tapa-Buraco PMF</t>
  </si>
  <si>
    <t>Tapa-Buraco CAE</t>
  </si>
  <si>
    <t>G3</t>
  </si>
  <si>
    <t>Recomposição manual de aterro</t>
  </si>
  <si>
    <t>Remoção mecânica de barreira</t>
  </si>
  <si>
    <t>Enrocamento de pedra arrumada</t>
  </si>
  <si>
    <t>Enrocamento de pedra jogada</t>
  </si>
  <si>
    <t>Execução de Drenos DPS 07</t>
  </si>
  <si>
    <t>Execução de Contenção</t>
  </si>
  <si>
    <t>Recomposição de estruturas de concreto (contenção)</t>
  </si>
  <si>
    <t>Corta rio</t>
  </si>
  <si>
    <t>Recomposição de BSTC 100</t>
  </si>
  <si>
    <t>Recomposição guarda corpo</t>
  </si>
  <si>
    <t>Recomposição de bueiros celulares</t>
  </si>
  <si>
    <t>Remendo Profundo</t>
  </si>
  <si>
    <t>Caiação de EDS e pontes</t>
  </si>
  <si>
    <t>G4</t>
  </si>
  <si>
    <t>Microrrevestimento asfáltico 8 mm</t>
  </si>
  <si>
    <t>Fornecimento e aplicação de CBUQ</t>
  </si>
  <si>
    <t>Reciclagem do pavimento e execução de TSD</t>
  </si>
  <si>
    <t>G5</t>
  </si>
  <si>
    <t>Terraplenagem</t>
  </si>
  <si>
    <t>Execução de BSTC 100</t>
  </si>
  <si>
    <t>Reconformação da plataforma</t>
  </si>
  <si>
    <t>Recomposição do revestimento primário</t>
  </si>
  <si>
    <t>G6</t>
  </si>
  <si>
    <t>Serviços em pontes de madeira sem reaproveitamento</t>
  </si>
  <si>
    <t>Serviços em pontes de madeira com reaproveitamento</t>
  </si>
  <si>
    <t>Recomposição de elementos estruturais e não estruturais em pontes mistas ou de concreto</t>
  </si>
  <si>
    <t>G8</t>
  </si>
  <si>
    <t>Recuperação funcional do pavimento</t>
  </si>
  <si>
    <t>Pintura Horizontal da PPD e Pista de Taxiamento</t>
  </si>
  <si>
    <t>Manutenção corretiva Aeródromo</t>
  </si>
  <si>
    <t>G9</t>
  </si>
  <si>
    <t>Administração Local</t>
  </si>
  <si>
    <t>RELAÇÃO DOS TRECHOS DAS REGIÕES DE MANUTENÇÃO</t>
  </si>
  <si>
    <t>LOTE</t>
  </si>
  <si>
    <t>REGIÃO DE CONSERVAÇÃO</t>
  </si>
  <si>
    <t>CIDADE SEDE</t>
  </si>
  <si>
    <t>S.R.E</t>
  </si>
  <si>
    <t>SEGMENTOS</t>
  </si>
  <si>
    <t>EXTENSÃO
(KM)</t>
  </si>
  <si>
    <t>TIPO</t>
  </si>
  <si>
    <t>JURISDIÇÃO</t>
  </si>
  <si>
    <t xml:space="preserve">VALOR </t>
  </si>
  <si>
    <t>TOCANTINÓPOLIS</t>
  </si>
  <si>
    <t>RODOVIA TO-010 - TRECHO ANANÁS - ENTR. BR-230</t>
  </si>
  <si>
    <t>010ETO0511</t>
  </si>
  <si>
    <t>ANANÁS *TRECHO URBANO*</t>
  </si>
  <si>
    <t>010ETO0512</t>
  </si>
  <si>
    <t>010ETO0540</t>
  </si>
  <si>
    <t>ANANÁS *TRECHO URBANO* - ENTR. TO-414(TAPUIO)</t>
  </si>
  <si>
    <t>010ETO0550</t>
  </si>
  <si>
    <t>ENTR. TO-414 (TAPUIO) - ENTR. TO-210</t>
  </si>
  <si>
    <t>010ETO0555</t>
  </si>
  <si>
    <t>ENTR. TO-210 - FIM PAVIMENTACAO</t>
  </si>
  <si>
    <t>010ETO0560</t>
  </si>
  <si>
    <t>FIM PAVIMENTACAO - ENTR. TO-205</t>
  </si>
  <si>
    <t>010ETO0570</t>
  </si>
  <si>
    <t>ENTR. TO-205 - RONCA</t>
  </si>
  <si>
    <t>010ETO0580</t>
  </si>
  <si>
    <t>RONCA - NATAL</t>
  </si>
  <si>
    <t>010ETO0590</t>
  </si>
  <si>
    <t>NATAL - ESPERANCA VIVA</t>
  </si>
  <si>
    <t>010ETO0600</t>
  </si>
  <si>
    <t>ESPERANCA VIVA - VILA NOVA</t>
  </si>
  <si>
    <t>010ETO0610</t>
  </si>
  <si>
    <t>VILA NOVA - TAQUARI</t>
  </si>
  <si>
    <t>010ETO0620</t>
  </si>
  <si>
    <t>TAQUARI - ENTR. BR-230</t>
  </si>
  <si>
    <t>RODOVIA TO-010 - TRECHO ENTR. BR-230 - ARAGUATINS</t>
  </si>
  <si>
    <t>010ETO0630</t>
  </si>
  <si>
    <t>ENTR. BR-230 - TRANSARAGUAIA</t>
  </si>
  <si>
    <t>010ETO0640</t>
  </si>
  <si>
    <t>TRANSARAGUAIA (BR-230) - ARAGUATINS</t>
  </si>
  <si>
    <t>010ETO0650</t>
  </si>
  <si>
    <t>ARAGUATINS - ENTR. TO-404</t>
  </si>
  <si>
    <t>010ETO0665</t>
  </si>
  <si>
    <t>ENTR. TO-404 - POV. CANAÃ</t>
  </si>
  <si>
    <t>010ETO0670</t>
  </si>
  <si>
    <t>CANAÃ - VILA UNIÃO</t>
  </si>
  <si>
    <t>010ETO0680</t>
  </si>
  <si>
    <t>VILA UNIÃO - ENTR. TO-201</t>
  </si>
  <si>
    <t>010ETO0690</t>
  </si>
  <si>
    <t>ENTR. TO-201 - BURITI DO TOCANTINS *TRECHO URBANO*</t>
  </si>
  <si>
    <t>010ETO0710</t>
  </si>
  <si>
    <t>BURITI DO TOCANTINS *TRECHO URBANO* - SÃO SEBASTIÃO DO TOCANTINS *TRECHO URBANO*</t>
  </si>
  <si>
    <t>RODOVIA TO-126 - TRECHO TOCANTINÓPOLIS - ENTR. BR-230 (AGUIARNÓPOLIS)</t>
  </si>
  <si>
    <t>126ETO0151</t>
  </si>
  <si>
    <t>PERÍMETRO URBANO TOCANTINOPOLIS</t>
  </si>
  <si>
    <t>126ETO0190</t>
  </si>
  <si>
    <t>TOCANTINÓPOLIS *TRECHO URBANO* - ENTR. ACESSO TRIPA NORTE</t>
  </si>
  <si>
    <t>126ETO0200</t>
  </si>
  <si>
    <t>ENTR. ACESSO TRIPA NORTE - ENTR. BR-230</t>
  </si>
  <si>
    <t>ACESSO</t>
  </si>
  <si>
    <t>ENTR.TO-126 - ASA NORTE</t>
  </si>
  <si>
    <t>Estadual</t>
  </si>
  <si>
    <t>126ETO0130</t>
  </si>
  <si>
    <t>MAURILÃNDIA DO TOCANTINS *TRECHO URBANO* - RIBEIRÃO GRANDE</t>
  </si>
  <si>
    <t>TERRAPLENAGEM</t>
  </si>
  <si>
    <t>126ETO0140</t>
  </si>
  <si>
    <t>RIBEIRÃO GRANDE - FOLHA GROSSA</t>
  </si>
  <si>
    <t>126ETO0150</t>
  </si>
  <si>
    <t>FOLHA GROSSA - TOCANTINÓPOLIS *TRECHO URBANO*</t>
  </si>
  <si>
    <t>RODOVIA TO-126 - TRECHO ITAGUATINS - MAURILÂNDIA DO TOCANTINS</t>
  </si>
  <si>
    <t>126ETO0101</t>
  </si>
  <si>
    <t>PERÍMETRO URBANO ITAGUATINS</t>
  </si>
  <si>
    <t>126ETO0120</t>
  </si>
  <si>
    <t>ITAGUATINS *TRECHO URBANO* - MAURILÃNDIA DO TOCANTINS *TRECHO URBANO*</t>
  </si>
  <si>
    <t>126ETO0090</t>
  </si>
  <si>
    <t>ENTR. TO-201(B)(SÍTIO NOVO DO TOCANTINS) - CASTANHEIRO</t>
  </si>
  <si>
    <t>126ETO0100</t>
  </si>
  <si>
    <t>CASTANHEIRO - ITAGUATINS *TRECHO URBANO*</t>
  </si>
  <si>
    <t>126ETO0050</t>
  </si>
  <si>
    <t>SUMAUMA *TRECHO URBANO* - SÃO PEDRO</t>
  </si>
  <si>
    <t xml:space="preserve">TAPA BURACO </t>
  </si>
  <si>
    <t>126ETO0060</t>
  </si>
  <si>
    <t>SÃO PEDRO - ENTR. TO-201</t>
  </si>
  <si>
    <t>126ETO0080</t>
  </si>
  <si>
    <t>ENTR. TO-201(A) - ENTR. TO-201(B)(SÍTIO NOVO DO TOCANTINS)</t>
  </si>
  <si>
    <t>RODOVIA TO-134 - TRECHO ANGICO - DARCINÓPOLIS</t>
  </si>
  <si>
    <t>134ETO0220</t>
  </si>
  <si>
    <t>ENTR. TO-210 (ANGICO) - AMIGOS DA TERRA</t>
  </si>
  <si>
    <t>134ETO0230</t>
  </si>
  <si>
    <t>AMIGOS DA TERRA - ENTR. BR-226(DARCINÓPOLIS)</t>
  </si>
  <si>
    <t>RODOVIA TO-134 - TRECHO LUZINÓPOLIS - ANGICO</t>
  </si>
  <si>
    <t>134ETO0180</t>
  </si>
  <si>
    <t>ENTR. BR-230(LUZINÓPOLIS) - SANTA HELENA</t>
  </si>
  <si>
    <t>134ETO0190</t>
  </si>
  <si>
    <t>SANTA HELENA - BURITI</t>
  </si>
  <si>
    <t>134ETO0200</t>
  </si>
  <si>
    <t>BURITI - ENTR. TO-210 (GROTÃO DE NAZARÉ)</t>
  </si>
  <si>
    <t>134ETO0210</t>
  </si>
  <si>
    <t>ENTR. TO-210 (GROTÃO DE NAZARE) - ENTR. TO-210 (ANGICO)</t>
  </si>
  <si>
    <t>RODOVIA TO-134 - TRECHO RIO TOCANTINS (JATOBAL) - AXIXÁ DO TOCANTINS</t>
  </si>
  <si>
    <t>134ETO0020</t>
  </si>
  <si>
    <t>JATOBAL *TRECHO URBANO* - FOLHA SECA</t>
  </si>
  <si>
    <t>134ETO0030</t>
  </si>
  <si>
    <t>FOLHA SECA - JUVELÃNDIA</t>
  </si>
  <si>
    <t>134ETO0040</t>
  </si>
  <si>
    <t>JUVELÃNDIA - VILA SÃO FRANCISCO</t>
  </si>
  <si>
    <t>134ETO0050</t>
  </si>
  <si>
    <t>VILA SÃO FRANCISCO - SANTA LUZIA</t>
  </si>
  <si>
    <t>134ETO0060</t>
  </si>
  <si>
    <t>SANTA LUZIA - MORADA NOVA</t>
  </si>
  <si>
    <t>134ETO0070</t>
  </si>
  <si>
    <t>MORADA NOVA - AXIXÁ DO TOCANTINS *TRECHO URBANO*</t>
  </si>
  <si>
    <t>RODOVIA TO-134 - TRECHO AXIXÁ DO TOCANTINS - ENTR. BR-230</t>
  </si>
  <si>
    <t>134ETO0071</t>
  </si>
  <si>
    <t>AXIXÁ DO TOCANTINS *TRECHO URBANO*</t>
  </si>
  <si>
    <t>134ETO0110</t>
  </si>
  <si>
    <t>AXIXÁ DO TOCANTINS *TRECHO URBANO* - ENTR. TO-409</t>
  </si>
  <si>
    <t>134ETO0120</t>
  </si>
  <si>
    <t>ENTR. TO-409 - ENTR. BR-230</t>
  </si>
  <si>
    <t>RODOVIA TO-201 - TRECHO DIV. TO-MA - SÃO MIGUEL DO TOCANTINS</t>
  </si>
  <si>
    <t>201ETO0010</t>
  </si>
  <si>
    <t>DIV. TO-MA(PONTE RIO TOCANTINS) - ACESSO BELA VISTA</t>
  </si>
  <si>
    <t>201ETO0020</t>
  </si>
  <si>
    <t>ACESSO BELA VISTA - SÃO MIGUEL DO TOCANTINS</t>
  </si>
  <si>
    <t>BELA VISTA (BALSA) - ENTR. TO-201</t>
  </si>
  <si>
    <t>RODOVIA TO-201 - TRECHO SÃO MIGUEL DO TOCANTINS - SÍTIO NOVO DO TOCANTINS</t>
  </si>
  <si>
    <t>201ETO0030</t>
  </si>
  <si>
    <t>SÃO MIGUEL DO TOCANTINS - ENTR. TO-126</t>
  </si>
  <si>
    <t>201ETO0050</t>
  </si>
  <si>
    <t>ENTR. TO-126 - SÍTIO NOVO *TRECHO URBANO*</t>
  </si>
  <si>
    <t>RODOVIA TO-201 - TRECHO SÍTIO NOVO DO TOCANTINS - AXIXÁ DO TOCANTINS</t>
  </si>
  <si>
    <t>201ETO0070</t>
  </si>
  <si>
    <t>SÍTIO NOVO DO TOCANTINS *TRECHO URBANO* - ALTO DO ZUMBI</t>
  </si>
  <si>
    <t>201ETO0080</t>
  </si>
  <si>
    <t>ALTO DO ZUMBI - AXIXÁ DO TOCANTINS *TRECHO URBANO*</t>
  </si>
  <si>
    <t>RODOVIA TO-201 - TRECHO AXIXÁ DO TOCANTINS - AUGUSTINÓPOLIS</t>
  </si>
  <si>
    <t>201ETO0120</t>
  </si>
  <si>
    <t>AXIXÁ DO TOCANTINS *TRECHO URBANO* - GROTÃO</t>
  </si>
  <si>
    <t>201ETO0130</t>
  </si>
  <si>
    <t>GROTÃO - AUGUSTINÓPOLIS *TRECHO URBANO*</t>
  </si>
  <si>
    <t>201ETO0150</t>
  </si>
  <si>
    <t>AUGUSTINÓPOLIS *TRECHO URBANO* - VINTE MIL</t>
  </si>
  <si>
    <t>201ETO0160</t>
  </si>
  <si>
    <t>VINTE MIL - ENTR. TO-407</t>
  </si>
  <si>
    <t>201ETO0170</t>
  </si>
  <si>
    <t>ENTR.TO-407 - CENTRO DOS FIRMINOS</t>
  </si>
  <si>
    <t>201ETO0180</t>
  </si>
  <si>
    <t>CENTRO DOS FIRMINOS - CENTRO DOS FERREIRAS</t>
  </si>
  <si>
    <t>201ETO0190</t>
  </si>
  <si>
    <t>CENTRO DOS FERREIRAS - ENTR. TO-010</t>
  </si>
  <si>
    <t>201ETO0200</t>
  </si>
  <si>
    <t>ENTR. TO-010 - BURITI DO TOCANTINS *TRECHO URBANO*</t>
  </si>
  <si>
    <t>201ETO0210</t>
  </si>
  <si>
    <t>BURITI DO TOCANTINS *TRECHO URBANO* - JOSÉ ESTEVÃO</t>
  </si>
  <si>
    <t>201ETO0220</t>
  </si>
  <si>
    <t>JOSÉ ESTEVÃO - ENTR. TO-402</t>
  </si>
  <si>
    <t>201ETO0230</t>
  </si>
  <si>
    <t>ENTR. TO-402 - VILA TOCANTINS</t>
  </si>
  <si>
    <t>201ETO0240</t>
  </si>
  <si>
    <t>VILA TOCANTINS - ESPERANTINA *TRECHO URBANO*</t>
  </si>
  <si>
    <t>ACESSO*</t>
  </si>
  <si>
    <t>ENTR. TO-201 - DIV. TO-PA (PEDRA GRANDE)</t>
  </si>
  <si>
    <t>PPS</t>
  </si>
  <si>
    <t>RODOVIA TO-201 - TRECHO ESPERANTINA - DIVISA TO-MA</t>
  </si>
  <si>
    <t>201ETO0250</t>
  </si>
  <si>
    <t>ESPERANTINA *TRECHO URBANO* - ENTR. ACESSO DIV. TO-PA (PEDRA GRANDE)</t>
  </si>
  <si>
    <t>201ETO0260</t>
  </si>
  <si>
    <t>ENTR. ACESSO DIV. TO-PA (PEDRA GRANDE) - PEDRA DE AMOLAR</t>
  </si>
  <si>
    <t>201ETO0270</t>
  </si>
  <si>
    <t>PEDRA DE AMOLAR - DIV TO-PA-MA</t>
  </si>
  <si>
    <t>RODOVIA TO-205 - TRECHO SÃO BENTO DO TOCANTINS - ENTR. TO-010</t>
  </si>
  <si>
    <t>205ETO0010</t>
  </si>
  <si>
    <t>SÃO BENTO DO TO * TRECHO URBANO* - ENTR. TO-010 (CAMPO ALEGRE)</t>
  </si>
  <si>
    <t xml:space="preserve">RECONFORMAÇÃO DA PLATAFORMA </t>
  </si>
  <si>
    <t>RODOVIA TO-210 - TRECHO ENTR. TO-010 - DIVISA TO-PA (VILA ANTONINA)</t>
  </si>
  <si>
    <t>210ETO0290</t>
  </si>
  <si>
    <t>ENTR. TO-010 - VILA ANTONINA</t>
  </si>
  <si>
    <t>RODOVIA TO-210 - TRECHO ANGICO - ANANÁS</t>
  </si>
  <si>
    <t>210ETO0230</t>
  </si>
  <si>
    <t>ENTR. TO-134 - ANGICO</t>
  </si>
  <si>
    <t>210ETO0240</t>
  </si>
  <si>
    <t>ANGICO - ANANÁS *TRECHO URBANO*</t>
  </si>
  <si>
    <t>RODOVIA TO-210 - TRECHO NAZARÉ - ENTR. TO-134 (POVOADO GROTÃO DE NAZARÉ)</t>
  </si>
  <si>
    <t>210ETO0140</t>
  </si>
  <si>
    <t>NAZARÉ *TRECHO URBANO* - MATA GRANDE</t>
  </si>
  <si>
    <t>210ETO0150</t>
  </si>
  <si>
    <t>MATA GRANDE - ENTR. BR-230</t>
  </si>
  <si>
    <t>210ETO0160</t>
  </si>
  <si>
    <t>ENTR. BR-230 - POV. VILA ROBERTINO</t>
  </si>
  <si>
    <t>210ETO0170</t>
  </si>
  <si>
    <t>POV. VILA ROBERTINO - POV. PIAÇABA</t>
  </si>
  <si>
    <t>210ETO0190</t>
  </si>
  <si>
    <t>POV. PIAÇABA - POV. PIRANHAS</t>
  </si>
  <si>
    <t>210ETO0200</t>
  </si>
  <si>
    <t>POV. PIRANHAS - POV. BREJINHO</t>
  </si>
  <si>
    <t>210ETO0210</t>
  </si>
  <si>
    <t>POV. BREJINHO - ENTR. TO-134 (POV. GROTÃO DE NAZARÉ)</t>
  </si>
  <si>
    <t>RODOVIA TO-210 - TRECHO TOCANTINÓPOLIS - NAZARÉ</t>
  </si>
  <si>
    <t>210ETO0050</t>
  </si>
  <si>
    <t>TOCANTINÓPOLIS *TRECHO URBANO* - OLHO DAGUA</t>
  </si>
  <si>
    <t>210ETO0060</t>
  </si>
  <si>
    <t>OLHO DAGUA - PASSARINHO</t>
  </si>
  <si>
    <t>210ETO0070</t>
  </si>
  <si>
    <t>PASSARINHO - ENTR. ACESSO BR-230</t>
  </si>
  <si>
    <t>210ETO0090</t>
  </si>
  <si>
    <t>ENTR.ACESSO A BR-230 - GROTA DE AREIA</t>
  </si>
  <si>
    <t>210ETO0100</t>
  </si>
  <si>
    <t>GROTA DE AREIRA - NAZARÉ *TRECHO URBANO*</t>
  </si>
  <si>
    <t>ENTR. TO-210 - ENTR. BR-230</t>
  </si>
  <si>
    <t>RODOVIA TO-402 - TRECHO DIVISA TO-MA (VILA JURANDIR BELIZARIO) - ENTR. TO-201</t>
  </si>
  <si>
    <t>402ETO0010</t>
  </si>
  <si>
    <t>DIVISA TO-MA - VILA JURANDIR BELIZARIO - ENTR. TO-201</t>
  </si>
  <si>
    <t>RODOVIA TO-403 - TRECHO CARRASCO BONITO - SAMPAIO</t>
  </si>
  <si>
    <t>403ETO0010</t>
  </si>
  <si>
    <t>CARRASCO BONITO *TRECHO URBANO* - CACHIADO</t>
  </si>
  <si>
    <t>403ETO0020</t>
  </si>
  <si>
    <t>CACHIADO - SAMPAIO *TRECHO URBANO*</t>
  </si>
  <si>
    <t>403ETO0021</t>
  </si>
  <si>
    <t>PERÍMETRO URBANO DE SAMPAIO</t>
  </si>
  <si>
    <t>403ETO0030</t>
  </si>
  <si>
    <t>SAMPAIO *TRECHO URBANO* - ENTR. TO-404(ITAÚBA)</t>
  </si>
  <si>
    <t>RODOVIA TO-404 - TRECHO AUGUSTINÓPOLIS - ENTR. TO-010 (POVOADO MATA VELHA)</t>
  </si>
  <si>
    <t>404ETO0030</t>
  </si>
  <si>
    <t>ENTR. TO-201(AUGUSTINÓPOLIS) - DEZESSEIS MIL</t>
  </si>
  <si>
    <t>404ETO0040</t>
  </si>
  <si>
    <t>DEZESSEIS MIL - MATA VELHA</t>
  </si>
  <si>
    <t>404ETO0050</t>
  </si>
  <si>
    <t>MATA VELHA - ENTR. TO-010</t>
  </si>
  <si>
    <t xml:space="preserve">RODOVIA TO-404 - TRECHO AUGUSTINÓPOLIS - PRAIA NORTE </t>
  </si>
  <si>
    <t>404ETO0010</t>
  </si>
  <si>
    <t>PRAIA NORTE - ENTR. TO-403(ITAÚBA)</t>
  </si>
  <si>
    <t>404ETO0020</t>
  </si>
  <si>
    <t>ENTR. TO-403 (ITAÚBA) - ENTR. TO-201(AUGUSTINÓPOLIS)</t>
  </si>
  <si>
    <t>405ETO0020</t>
  </si>
  <si>
    <t>AXIXA DO TOCANTINS *TRECHO URBANO* - TABUA</t>
  </si>
  <si>
    <t>405ETO0030</t>
  </si>
  <si>
    <t>TABUA - GROTA DAGUA</t>
  </si>
  <si>
    <t>405ETO0040</t>
  </si>
  <si>
    <t>GROTA DAGUA - CANTO DO BARREIRO</t>
  </si>
  <si>
    <t>405ETO0050</t>
  </si>
  <si>
    <t>CANTO DO BARREIRO - ENTR. BR-230</t>
  </si>
  <si>
    <t>407ETO0020</t>
  </si>
  <si>
    <t>CARRASCO BONITO *TRECHO URBANO* - ENTR. TO-201(P- POVOADO CENTRO DOS FIRMINOS)</t>
  </si>
  <si>
    <t>RODOVIA TO-409 - TRECHO MAURILÂNDIA - ENTR. TO-134</t>
  </si>
  <si>
    <t>409ETO0020</t>
  </si>
  <si>
    <t>MAURILANDIA DO TOCANTINS *TRECHO URBANO* - RODOVILÂNDIA</t>
  </si>
  <si>
    <t>409ETO0030</t>
  </si>
  <si>
    <t>RODOVILÂNDIA - ENTR. TO-134</t>
  </si>
  <si>
    <t>RODOVIA TO-414 - TRECHO CACHOEIRINHA - ENTR. TO-010 (TAPUIO)</t>
  </si>
  <si>
    <t>414ETO0020</t>
  </si>
  <si>
    <t>CACHOEIRINHA *TRECHO URBANO* - ENTR. TO-010-TO-210(TAPUIO)</t>
  </si>
  <si>
    <t>RODOVIA TO-415 - TRECHO SANTA TEREZINHA DO TOCANTINS - PALMEIRAS DO TOCANTINS</t>
  </si>
  <si>
    <t>415ETO0060</t>
  </si>
  <si>
    <t>SANTA TEREZINHA DO TOCANTINS - IMBIRA</t>
  </si>
  <si>
    <t>415ETO0070</t>
  </si>
  <si>
    <t>IMBIRA - PALMEIRAS DO TOCANTINS *TRECHO URBANO*</t>
  </si>
  <si>
    <t>RODOVIA TO-415 - TRECHO NAZARÉ - SANTA TEREZINHA DO TOCANTINS</t>
  </si>
  <si>
    <t>415ETO0040</t>
  </si>
  <si>
    <t>ENTR. TO-210(NAZARÉ *TRECHO URBANO*) - ENTR. BR-230</t>
  </si>
  <si>
    <t>415ETO0050</t>
  </si>
  <si>
    <t>ENTR. BR-230 - SANTA TEREZINHA DO TOCANTINS</t>
  </si>
  <si>
    <t>RODOVIA TO-415 - TRECHO ENTR. RODOVIA VICINAL - NAZARÉ</t>
  </si>
  <si>
    <t>415ETO0030</t>
  </si>
  <si>
    <t>ENTR. ROD MUNICIPAL - NAZARÉ *TRECHO URBANO*</t>
  </si>
  <si>
    <t>RODOVIA TO-416 - TRECHO ANANÁS - ENTR. TO-010</t>
  </si>
  <si>
    <t>416ETO0020</t>
  </si>
  <si>
    <t>ANANÁS *TRECHO URBANO* - SÃO RAIMUNDO</t>
  </si>
  <si>
    <t>416ETO0030</t>
  </si>
  <si>
    <t>SÃO RAIMUNDO - ENTR. TO-010</t>
  </si>
  <si>
    <t>EXTENSÃO TOTAL (KM)</t>
  </si>
  <si>
    <t>NÚMERO TRECHO</t>
  </si>
  <si>
    <t>ARAGUAÍNA I</t>
  </si>
  <si>
    <t>RODOVIA TO-010 - TRECHO RIACHINHO - ANANÁS</t>
  </si>
  <si>
    <t>416ETO0040</t>
  </si>
  <si>
    <t>ENTR. TO-010 - RIACHINHO</t>
  </si>
  <si>
    <t>010ETO0500</t>
  </si>
  <si>
    <t>ENTR. TO-416 - SÃO RAIMUNDO</t>
  </si>
  <si>
    <t>010ETO0510</t>
  </si>
  <si>
    <t>SÃO RAIMUNDO - ANANÁS *TRECHO URBANO*</t>
  </si>
  <si>
    <t>RODOVIA TO-010 - TRECHO WANDERLÂNDIA - RIACHINHO</t>
  </si>
  <si>
    <t>010ETO0421</t>
  </si>
  <si>
    <t>WANDERLÂNDIA *TRECHO URBANO*</t>
  </si>
  <si>
    <t>010ETO0422</t>
  </si>
  <si>
    <t>010ETO0430</t>
  </si>
  <si>
    <t>WANDERLANDIA - ENTR. BR-153</t>
  </si>
  <si>
    <t>010ETO0440</t>
  </si>
  <si>
    <t>ENTR. BR-226 - ENTR.BR-153</t>
  </si>
  <si>
    <t>010ETO0470</t>
  </si>
  <si>
    <t>ENTR. BR-153 - CENTRO DOS BORGES</t>
  </si>
  <si>
    <t>010ETO0480</t>
  </si>
  <si>
    <t>CENTRO DOS BORGES - SOROROCA</t>
  </si>
  <si>
    <t>010ETO0490</t>
  </si>
  <si>
    <t>SOROROCA - ENTR. TO-416</t>
  </si>
  <si>
    <t>RODOVIA TO-164 - TRECHO ENTR. BR-153 (XAMBIOÁ) - ARAGUANÃ</t>
  </si>
  <si>
    <t>164ETO0101</t>
  </si>
  <si>
    <t>ARAGUANÃ *TRECHO URBANO*</t>
  </si>
  <si>
    <t>164ETO0095</t>
  </si>
  <si>
    <t>ENTR. BR-153 (XAMBIOÁ) - ENTR. TO-418 (XAMBIOAZINHO)</t>
  </si>
  <si>
    <t>164ETO0100</t>
  </si>
  <si>
    <t>ENTR. TO-418 (XAMBIOAZINHO) - ARAGUANÃ *TRECHO URBANO*</t>
  </si>
  <si>
    <t>RODOVIA TO-164 - TRECHO FÁBRICA DE CIMENTO - XAMBIOÁ - ENTR. BR-153</t>
  </si>
  <si>
    <t>164ETO0070</t>
  </si>
  <si>
    <t>FABRICA DE CIMENTO - POV. CHAPADA</t>
  </si>
  <si>
    <t>164ETO0080</t>
  </si>
  <si>
    <t>POV. CHAPADA - POV. MANCHAO DO MEIO</t>
  </si>
  <si>
    <t>164ETO0090</t>
  </si>
  <si>
    <t>POV. MANCHAO DO MEIO - ENTR. BR-153 (XAMBIOÁ)</t>
  </si>
  <si>
    <t>RODOVIA TO-164 - TRECHO ARAGOMINAS - MURICILÂNDIA</t>
  </si>
  <si>
    <t>164ETO0155</t>
  </si>
  <si>
    <t>ARAGOMINAS *TRECHO URBANO* - MURICILÃNDIA</t>
  </si>
  <si>
    <t>164ETO0151</t>
  </si>
  <si>
    <t>ARAGOMINAS *TRECHO URBANO*</t>
  </si>
  <si>
    <t>RODOVIA TO-164 - TRECHO ARAGUANÃ - CARMOLÂNDIA</t>
  </si>
  <si>
    <t>164ETO0110</t>
  </si>
  <si>
    <t>ARAGUANÃ *TRECHO URBANO* - JACILÃNDIA</t>
  </si>
  <si>
    <t>164ETO0120</t>
  </si>
  <si>
    <t>JACILÃNDIA - CARMOLÃNDIA</t>
  </si>
  <si>
    <t>RODOVIA TO-164 - TRECHO CARMOLÂNDIA - ENTR. TO-222 - ARAGOMINAS</t>
  </si>
  <si>
    <t>164ETO0130</t>
  </si>
  <si>
    <t>CARMOLÃNDIA - ENTR. TO-222 (NOVO HORIZONTE)</t>
  </si>
  <si>
    <t>164ETO0140</t>
  </si>
  <si>
    <t>TO-222 (NOVO HORIZONTE) - ENTR. TO-419 (BRITADOR)</t>
  </si>
  <si>
    <t>164ETO0150</t>
  </si>
  <si>
    <t>ENTR. TO-419 (BRITADOR) - ARAGOMINAS *TRECHO URBANO*</t>
  </si>
  <si>
    <t>RODOVIA TO-164 - TRECHO ENTR. TO-226 - POVOADO DEZENOVE - BERNARDO SAYÃO</t>
  </si>
  <si>
    <t>164ETO0190</t>
  </si>
  <si>
    <t>ENTR. TO-226 (B) - ENTR. TO-230</t>
  </si>
  <si>
    <t>164ETO0210</t>
  </si>
  <si>
    <t>ENTR. TO-230 (DEZENOVE) - ENTR. TO-430</t>
  </si>
  <si>
    <t>164ETO0230</t>
  </si>
  <si>
    <t>ENTR. TO-430 - ZÉ PRETO</t>
  </si>
  <si>
    <t>164ETO0240</t>
  </si>
  <si>
    <t>ZÉ PRETO - ENTR. TO-433</t>
  </si>
  <si>
    <t>164ETO0250</t>
  </si>
  <si>
    <t>ENTR. TO-433 - BERNARDO SAYÃO *TRECHO URBANO*</t>
  </si>
  <si>
    <t>RODOVIA TO-164 - TRECHO MURICILÂNDIA - ENTR. TO-226</t>
  </si>
  <si>
    <t>164ETO0156</t>
  </si>
  <si>
    <t>MURICILÃNDIA  * TRECHO URBANO*</t>
  </si>
  <si>
    <t>164ETO0160</t>
  </si>
  <si>
    <t>MURICILÃNDIA  * TRECHO URBANO* - COCALANDIA</t>
  </si>
  <si>
    <t>164ETO0170</t>
  </si>
  <si>
    <t>COCALANDIA - ENTR. TO-226 (A)</t>
  </si>
  <si>
    <t>RODOVIA TO-165 - TRECHO SANTA FÉ DO ARAGUAIA - ENTR. TO-226 - ARAPOEMA</t>
  </si>
  <si>
    <t>165ETO0100</t>
  </si>
  <si>
    <t>SANTA FÉ DO ARAGUAIA *TRECHO URBANO* - ENTR. TO-226</t>
  </si>
  <si>
    <t>165ETO0120</t>
  </si>
  <si>
    <t>ENTR. TO-226 (B) - ARAPOEMA *TRECHO URBANO*</t>
  </si>
  <si>
    <t>RODOVIA TO-166 - TRECHO ENTR. TO-222 - ENTR. TO-226 - ARAPOEMA</t>
  </si>
  <si>
    <t>166ETO0100</t>
  </si>
  <si>
    <t>ENTR. TO-222 - ENTR.TO-226 (A)</t>
  </si>
  <si>
    <t>166ETO0120</t>
  </si>
  <si>
    <t>ENTR. TO-226 - ARAPOEMA *TRECHO URBANO*</t>
  </si>
  <si>
    <t>RODOVIA TO-222 - TRECHO ARAGUAÍNA - ENTR. TO-164 (NOVO HORIZONTE)</t>
  </si>
  <si>
    <t>222ETO0130</t>
  </si>
  <si>
    <t>ENTR. BR-153 (ARAGUAINA) - ENTR. TO-419 (BARRA DA GROTA)</t>
  </si>
  <si>
    <t>222ETO0140</t>
  </si>
  <si>
    <t>ENTR. TO-419 (BARRA DA GROTA) - TO-164 (NOVO HORIZONTE)</t>
  </si>
  <si>
    <t>RODOVIA TO-222 - TRECHO MURICILÂNDIA - SANTA FÉ DO ARAGUAIA</t>
  </si>
  <si>
    <t>222ETO0180</t>
  </si>
  <si>
    <t>MURICILÃNDIA *TRECHO URBANO* - SANTA FÉ DO ARAGUAIA</t>
  </si>
  <si>
    <t>RODOVIA TO-222 - TRECHO SANTA FÉ DO ARAGUAIA - DIVISA TO-PA (POVOADO PORTO LEMOS)</t>
  </si>
  <si>
    <t>222ETO0190</t>
  </si>
  <si>
    <t>SANTA FÉ DO ARAGUAIA *TRECHO URBANO* - ENTR. TO-416</t>
  </si>
  <si>
    <t>222ETO0200</t>
  </si>
  <si>
    <t>ENTR. TO-416 - ENTR. TO-166</t>
  </si>
  <si>
    <t>222ETO0210</t>
  </si>
  <si>
    <t>ENTR. TO-166 - DIV TO-PA (PORTO LEMOS)</t>
  </si>
  <si>
    <t>RODOVIA TO-226 - TRECHO ENTR. BR-153 (POVOADO RIO PRETO) - DIVISA TO-PA (POVOADO GARIMPINHO)</t>
  </si>
  <si>
    <t>226ETO0240</t>
  </si>
  <si>
    <t>ENTR. BR-153 - ENTR. TO-164 (A)</t>
  </si>
  <si>
    <t>226ETO0250</t>
  </si>
  <si>
    <t>ENTR. TO-164 (A) - ENTR. TO-164 (B)</t>
  </si>
  <si>
    <t>226ETO0260</t>
  </si>
  <si>
    <t>ENTR. TO-164 (B) - ENTR. TO-165 (A)</t>
  </si>
  <si>
    <t>165ETO0110</t>
  </si>
  <si>
    <t>ENTR. TO-226 (A) - ENTR. TO-226 (B)</t>
  </si>
  <si>
    <t>226ETO0270</t>
  </si>
  <si>
    <t>ENTR. TO-165 (B) - ENTR. TO-166 (A)</t>
  </si>
  <si>
    <t>166ETO0110</t>
  </si>
  <si>
    <t>226ETO0280</t>
  </si>
  <si>
    <t>ENTR. TO-166  (B) - ENTR. TO-427</t>
  </si>
  <si>
    <t>226ETO0290</t>
  </si>
  <si>
    <t>ENTR. TO-427 - DIV TO-PA (GARIMPINHO)</t>
  </si>
  <si>
    <t>RODOVIA TO-230 - TRECHO ARAPOEMA - PAU D'ARCO (DIVISA TO-PA)</t>
  </si>
  <si>
    <t>230ETO0200</t>
  </si>
  <si>
    <t>ARAPOEMA *TRECHO URBANO* - ENTR. TO-429</t>
  </si>
  <si>
    <t>230ETO0210</t>
  </si>
  <si>
    <t>ENTR. TO-429 - PAU DARCO *TRECHO URBANO</t>
  </si>
  <si>
    <t>RODOVIA TO-230 - TRECHO BANDEIRANTES DO TOCANTINS - ARAPOEMA</t>
  </si>
  <si>
    <t>230ETO0130</t>
  </si>
  <si>
    <t>BANDEIRANTES DO TO *TRECHO URBANO* - BRASILENE</t>
  </si>
  <si>
    <t>230ETO0140</t>
  </si>
  <si>
    <t>BRASILENE - ENTR. TO-433</t>
  </si>
  <si>
    <t>230ETO0150</t>
  </si>
  <si>
    <t>ENTR. TO-433 - ENTR.TO-164</t>
  </si>
  <si>
    <t>164ETO0200</t>
  </si>
  <si>
    <t>ENTR. TO-164 - DEZENOVE</t>
  </si>
  <si>
    <t>230ETO0170</t>
  </si>
  <si>
    <t>ENTR.TO-164 (DEZENOVE) - ENTR. TO-430</t>
  </si>
  <si>
    <t>230ETO0180</t>
  </si>
  <si>
    <t>ENTR. TO-430 - CORIOLANDO</t>
  </si>
  <si>
    <t>230ETO0190</t>
  </si>
  <si>
    <t>CORIOLANDO - ARAPOEMA *TRECHO URBANO*</t>
  </si>
  <si>
    <t>RODOVIA TO-230 - TRECHO ENTR. BR-153 - BANDEIRANTES DO TOCANTINS</t>
  </si>
  <si>
    <t>230ETO0100</t>
  </si>
  <si>
    <t>ENTR.BR-153 - BANDEIRANTES DO TOCANTINS *TRECHO URBANO*</t>
  </si>
  <si>
    <t>RODOVIA TO-416 - TRECHO ENTR. BR-153 - RIACHINHO</t>
  </si>
  <si>
    <t>416ETO0050</t>
  </si>
  <si>
    <t>RIACHINHO - ENTR. BR-153</t>
  </si>
  <si>
    <t>RODOVIA TO-416 - TRECHO ENTR. TO-222 - POVOADO COCALINHO</t>
  </si>
  <si>
    <t>416ETO0100</t>
  </si>
  <si>
    <t>POV. COCALINHO - ENTR. TO-222</t>
  </si>
  <si>
    <t>RODOVIA TO-418 - TRECHO ENTR. BR-153 - ENTR. TO-164</t>
  </si>
  <si>
    <t>418ETO0010</t>
  </si>
  <si>
    <t>ENTR. TO-164 (XAMBIOAZINHO) - ENTR. BR-153</t>
  </si>
  <si>
    <t>RODOVIA TO-419 - TRECHO POVOADO BARRA DA GROTA - ENTR. TO-222</t>
  </si>
  <si>
    <t>419ETO0010</t>
  </si>
  <si>
    <t>ENTR. TO-222 (BARRA DA GROTA) - ENTR. TO-222 (BRITADOR)</t>
  </si>
  <si>
    <t>RODOVIA TO-420 - TRECHO ENTR. BR-153 (POVOADO XAMBERLÂNDIA) - PIRAQUÊ - ENTR. BR-153</t>
  </si>
  <si>
    <t>420ETO0010</t>
  </si>
  <si>
    <t>ENTR. BR-153 - PIRAQUÊ *TRECHO URBANO*</t>
  </si>
  <si>
    <t>420ETO0030</t>
  </si>
  <si>
    <t>PIRAQUÊ *TRECHO URBANO* - ENTR. BR-153 (XAMBERLÂNDIA)</t>
  </si>
  <si>
    <t>RODOVIA TO-421 - TRECHO ARAGUAÍNA - POVOADO GROTÃO</t>
  </si>
  <si>
    <t>421ETO0020</t>
  </si>
  <si>
    <t>ARAGUAÍNA *TRECHO URBANO* - GROTÃO</t>
  </si>
  <si>
    <t>421ETO0040</t>
  </si>
  <si>
    <t>GROTÃO - ÁGUA AMARELA</t>
  </si>
  <si>
    <t>RODOVIA TO-427 - TRECHO PAU D'ARCO (DIVISA TO-PA) - ENTR. TO-226</t>
  </si>
  <si>
    <t>427ETO0010</t>
  </si>
  <si>
    <t>ENTR. TO-226 - PAU D'ARCO *TRECHO URBANO*</t>
  </si>
  <si>
    <t>RODOVIA TO-429 - TRECHO ENTR. TO-230 (ARAPOEMA) - POVOADO ARACAJI</t>
  </si>
  <si>
    <t>429ETO0010</t>
  </si>
  <si>
    <t>ENTR. TO-230 - DIV TO-PA (ARACAJI)</t>
  </si>
  <si>
    <t>RODOVIA TO-430 - TRECHO POVOADO CORIOLANDO (ENTR. TO-230 - ARAPOEMA) - ENTR. TO-164</t>
  </si>
  <si>
    <t>430ETO0010</t>
  </si>
  <si>
    <t>ENTR. TO-230 - ENTR. TO-164</t>
  </si>
  <si>
    <t>RODOVIA TO-433 - TRECHO ENTR. TO-230 (POVOADO BRASILENE) - BERNARDO SAYÃO (ENTR. TO-164)</t>
  </si>
  <si>
    <t>433ETO0010</t>
  </si>
  <si>
    <t>ENTR. TO-230 (BRASILENE) - ENTR. TO-164</t>
  </si>
  <si>
    <t>ARAGUAÍNA II</t>
  </si>
  <si>
    <t>RODOVIA TO-010 - TRECHO ENTR. BR-010 (ITACAJÁ) - PALMEIRANTE</t>
  </si>
  <si>
    <t>010ETO0250</t>
  </si>
  <si>
    <t>ENTR. BR-010 - TRECHO ENTR. TO-226 (POV. CAMPOS)</t>
  </si>
  <si>
    <t>010ETO0290</t>
  </si>
  <si>
    <t>ENTR. TO-226 (CAMPOS) - RIO TOCANTINS ( BALSA PALMEIRANTE)</t>
  </si>
  <si>
    <t>RODOVIA TO-010 - TRECHO PALMEIRANTE - ENTR. TO-222 (POVOADO BIELÂNDIA)</t>
  </si>
  <si>
    <t>010ETO0320</t>
  </si>
  <si>
    <t>PALMERANTE *TRECHO URBANO* - ENTR. TO-335</t>
  </si>
  <si>
    <t>010ETO0330</t>
  </si>
  <si>
    <t>ENTR.TO-335 - TRECHO ENTR.TO-226</t>
  </si>
  <si>
    <t>010ETO0340</t>
  </si>
  <si>
    <t>ENTR. TO-226 - TRECHO POV. CICILÃNDIA</t>
  </si>
  <si>
    <t>010ETO0350</t>
  </si>
  <si>
    <t>POV. CICILÃNDIA - ENTR. TO-130</t>
  </si>
  <si>
    <t>010ETO0360</t>
  </si>
  <si>
    <t>ENTR. TO-130 - TRECHO BIELÂNDIA</t>
  </si>
  <si>
    <t>RODOVIA TO-010 - TRECHO ENTR. TO-222 (POVOADO FARTURÃO) - BABAÇULÂNDIA</t>
  </si>
  <si>
    <t>010ETO0380</t>
  </si>
  <si>
    <t>POV. FARTURAO - ENTR. TO-424</t>
  </si>
  <si>
    <t>010ETO0400</t>
  </si>
  <si>
    <t>ENTR. TO-424 - TRECHO BABAÇULÂNDIA *TRECHO URBANO*</t>
  </si>
  <si>
    <t>RODOVIA TO-010 - TRECHO BABAÇULÂNDIA - WANDERLÂNDIA</t>
  </si>
  <si>
    <t>010ETO0420</t>
  </si>
  <si>
    <t>BABAÇULÂNDIA *TRECHO URBANO* - WANDERLÂNDIA *TRECHO URBANO*</t>
  </si>
  <si>
    <t>RODOVIA TO-020 - TRECHO RECURSOLÂNDIA - CAMPOS LINDOS</t>
  </si>
  <si>
    <t>020ETO0200</t>
  </si>
  <si>
    <t>RECURSOLÂNDIA *TRECHO URBANO* - FIM PAVIMENTAÇÃO</t>
  </si>
  <si>
    <t>020ETO0210</t>
  </si>
  <si>
    <t>FIM PAVIMENTAÇÃO - INICIO PAVIMENTACAO (CAMPOS LINDOS)</t>
  </si>
  <si>
    <t>020ETO0215</t>
  </si>
  <si>
    <t>NICIO PAVIMENTACAO (CAMPOS LINDOS) - ENTR. TO-226</t>
  </si>
  <si>
    <t>RODOVIA TO-130 - TRECHO ENTR. TO-424 - TRECHO ENTR. TO-222</t>
  </si>
  <si>
    <t>130ETO0010</t>
  </si>
  <si>
    <t>ENTR. TO-424 - TRECHO ENTR. TO-222 (A)</t>
  </si>
  <si>
    <t>RODOVIA TO-130 - TRECHO ENTR. TO-010 - TRECHO BARRA DO OURO - ENTR. BR-010 (POVOADO MORRO GRANDE)</t>
  </si>
  <si>
    <t>130ETO0040</t>
  </si>
  <si>
    <t>ENTR. TO-010 - TRECHO BARRA DO OURO</t>
  </si>
  <si>
    <t>130ETO0060</t>
  </si>
  <si>
    <t>BARRA DO OURO - ENTR. TO-425</t>
  </si>
  <si>
    <t>130ETO0070</t>
  </si>
  <si>
    <t>ENTR. TO-425 - TRECHO MORRO GRANDE *TRECHO URBANO*</t>
  </si>
  <si>
    <t>RODOVIA TO-222 - TRECHO ARAGUAÍNA - FILADÉLFIA</t>
  </si>
  <si>
    <t>222ETO0010</t>
  </si>
  <si>
    <t>FILADÉLFIA *TRECHO URBANO* - ENTR. TO-424</t>
  </si>
  <si>
    <t>222ETO0020</t>
  </si>
  <si>
    <t>ENTR. TO-424 - TRECHO ENTR. TO-130</t>
  </si>
  <si>
    <t>222ETO0030</t>
  </si>
  <si>
    <t>ENTR. TO-130 (A) - ENTR. TO-130 (B) - TO-010 POV. BIELANDIA</t>
  </si>
  <si>
    <t>010ETO0370</t>
  </si>
  <si>
    <t>ENTR. TO-222(BIELÂNDIA) - POV. FARTURÃO</t>
  </si>
  <si>
    <t>222ETO0060</t>
  </si>
  <si>
    <t>FARTURÃO - ENTR. TO-424</t>
  </si>
  <si>
    <t>222ETO0070</t>
  </si>
  <si>
    <t>ENTR. TO-424 - TRECHO ARAGUAINA *TRECHO URBANO*</t>
  </si>
  <si>
    <t>RODOVIA TO-226 - TRECHO NOVA OLINDA - ENTR. TO-010</t>
  </si>
  <si>
    <t>226ETO0190</t>
  </si>
  <si>
    <t>ENTR.TO-010 - TRECHO POV. ALTO BONITO</t>
  </si>
  <si>
    <t>226ETO0200</t>
  </si>
  <si>
    <t>POV. ALTO BONITO - NOVA OLINDA *TRECHO URBANO*</t>
  </si>
  <si>
    <t>226ETO0201</t>
  </si>
  <si>
    <t>NOVA OLINDA *TRECHO URBANO*</t>
  </si>
  <si>
    <t>RODOVIA TO-226 - TRECHO ENTR. TO-010 (POVOADO CAMPOS) - ENTR. BR-010</t>
  </si>
  <si>
    <t>226ETO0120</t>
  </si>
  <si>
    <t>ENTR. BR-010-TO-130 - TRECHO BARRO VERMELHO</t>
  </si>
  <si>
    <t>226ETO0130</t>
  </si>
  <si>
    <t>BARRO VERMELHO - ENTR. TO-010 (CAMPOS)</t>
  </si>
  <si>
    <t>RODOVIA TO-226 - TRECHO GOIATINS - CAMPOS LINDOS - DIV TO-MA</t>
  </si>
  <si>
    <t>226ETO0010</t>
  </si>
  <si>
    <t>DIV TO-MA - ENTR. TO-020 (CAMPOS LINDOS)</t>
  </si>
  <si>
    <t>226ETO0020</t>
  </si>
  <si>
    <t>ENTR. TO-020 (CAMPOS LINDOS) - ENTR. TO-428</t>
  </si>
  <si>
    <t>226ETO0030</t>
  </si>
  <si>
    <t>ENTR. TO-428 - TRECHO BARRA DA ESTIVA</t>
  </si>
  <si>
    <t>226ETO0040</t>
  </si>
  <si>
    <t>BARRA DA ESTIVA - ENTR. TO-426 (CRAOLÂNDIA)</t>
  </si>
  <si>
    <t>226ETO0050</t>
  </si>
  <si>
    <t>ENTR. TO-426 (CRAOLÂNDIA) - GOIATINS *TRECHO URBANO*</t>
  </si>
  <si>
    <t>226ETO0051</t>
  </si>
  <si>
    <t>GOIATINS *TRECHO URBANO*</t>
  </si>
  <si>
    <t>226ETO0052</t>
  </si>
  <si>
    <t>RODOVIA TO-422 - TRECHO ENTR. BR-153 - TRECHO DISTRITO AGROINDUSTRIAL DE ARAGUAÍNA</t>
  </si>
  <si>
    <t>422ETO0010</t>
  </si>
  <si>
    <t>ENTR. BR-153 - TRECHO ZONA DE PROCESSAMENTO DE EXPORTAÇÃO</t>
  </si>
  <si>
    <t>RODOVIA TO-423 - TRECHO ARAGUAÍNA - ENTR. TO-424</t>
  </si>
  <si>
    <t>423ETO0020</t>
  </si>
  <si>
    <t>ARAGUAINA *TRECHO URBANO* - ENTR. TO-424</t>
  </si>
  <si>
    <t>RODOVIA TO-424 - TRECHO ENTR. TO-222 (PLAT. MULTI-MODAL) - BABAÇULÂNDIA</t>
  </si>
  <si>
    <t>424ETO0050</t>
  </si>
  <si>
    <t>ENTR. TO-010 (BABAÇULÂNDIA *TRECHO URBANO*) - VILA CORRENTE</t>
  </si>
  <si>
    <t>424ETO0060</t>
  </si>
  <si>
    <t>VILA CORRENTE - BARRO PRETO</t>
  </si>
  <si>
    <t>424ETO0070</t>
  </si>
  <si>
    <t>BARRO PRETO - ENTR. TO-423</t>
  </si>
  <si>
    <t>424ETO0080</t>
  </si>
  <si>
    <t>ENTR. TO-423 - TRECHO ENTR. TO-222</t>
  </si>
  <si>
    <t>RODOVIA TO-424 - TRECHO ENTR. TO-010 (BABAÇULÂNDIA) - ENTR. TO-222</t>
  </si>
  <si>
    <t>424ETO0010</t>
  </si>
  <si>
    <t>ENTR. TO-222 - TRECHO CANA BRAVA</t>
  </si>
  <si>
    <t>424ETO0015</t>
  </si>
  <si>
    <t>CANA BRAVA - ENTR. TO-130</t>
  </si>
  <si>
    <t>424ETO0020</t>
  </si>
  <si>
    <t>ENTR. TO-130 - TRECHO ENTR. TO-010</t>
  </si>
  <si>
    <t>RODOVIA TO-425 - TRECHO ENTR. TO-130 (BARRA DO OURO) - GOIATINS</t>
  </si>
  <si>
    <t>425ETO0010</t>
  </si>
  <si>
    <t>GOIATINS *TRECHO URBANO* - ENTR. TO-130</t>
  </si>
  <si>
    <t>RODOVIA TO-426 - TRECHO POVOADO CRAOLÂNDIA - ENTR. TO-226</t>
  </si>
  <si>
    <t>426ETO0010</t>
  </si>
  <si>
    <t>ENTR. TO-226 - TRECHO POV. CRAOLÂNDIA</t>
  </si>
  <si>
    <t>RODOVIA TO-428 - TRECHO POVOADO BANDEIRA - ENTR. TO-226</t>
  </si>
  <si>
    <t>428ETO0010</t>
  </si>
  <si>
    <t>ENTR. TO-226 - TRECHO RANCHARIA</t>
  </si>
  <si>
    <t>428ETO0020</t>
  </si>
  <si>
    <t>RANCHARIA - BANDEIRA</t>
  </si>
  <si>
    <t>AERÓDROMO DE ARAGUATINS</t>
  </si>
  <si>
    <t>Limpeza EDS</t>
  </si>
  <si>
    <t>Limpeza Ponte</t>
  </si>
  <si>
    <t>Recomposição de BDTC 100</t>
  </si>
  <si>
    <t>Tapa-Buraco CAE / Remendo Profundo</t>
  </si>
  <si>
    <t>---------- COMBINAÇÕES ----------</t>
  </si>
  <si>
    <t>Tapa-Buraco CAE / Recomposição mecanizada de aterro / Enrocamento de pedra arrumada / Enrocamento de pedra jogada / Reparo EDS / Remendo Profundo</t>
  </si>
  <si>
    <t>Enrocamento de pedra arrumada / Enrocamento de pedra jogada / Terraplenagem / Execução de BSTC 100 / Reconformação da plataforma / Recomposição do revestimento primário</t>
  </si>
  <si>
    <t>Execução de BDTC 100</t>
  </si>
  <si>
    <t>Terraplenagem / Execução de BDTC 100 / Reconformação da plataforma / Recomposição do revestimento primário</t>
  </si>
  <si>
    <t>Recomposição mecanizada de aterro / Enrocamento de pedra arrumada / Enrocamento de pedra jogada / Reparo EDS</t>
  </si>
  <si>
    <t>Terraplenagem / Reconformação da plataforma / Recomposição do revestimento primário</t>
  </si>
  <si>
    <t>REGIÃO 02</t>
  </si>
  <si>
    <t>Terraplenagem / Execução de BSTC 100 / Reconformação da plataforma</t>
  </si>
  <si>
    <t>Recomposição manual de aterro / Enrocamento de pedra arrumada / Enrocamento de pedra jogada / Reparo EDS</t>
  </si>
  <si>
    <t>Roçada / Tapa-Buraco CAE / Recomposição manual de aterro / Enrocamento de pedra arrumada / Enrocamento de pedra jogada / Reparo EDS / Remendo Profundo</t>
  </si>
  <si>
    <t>Roçada / Tapa-Buraco CAE / Remendo Profundo</t>
  </si>
  <si>
    <t>PSU</t>
  </si>
  <si>
    <t>Municipal</t>
  </si>
  <si>
    <t>EOP</t>
  </si>
  <si>
    <t>PDU</t>
  </si>
  <si>
    <t>LEN</t>
  </si>
  <si>
    <t>Limpeza EDS / Caiação de EDS e pontes</t>
  </si>
  <si>
    <t>Roçada / Tapa-Buraco CAE</t>
  </si>
  <si>
    <t>A execução do revestimento primário na rodovia não pavimentada é necessária para restabelecer trafegabilidade, segurança e durabilidade da via, degradada pelo tráfego contínuo e pelas chuvas intensas da região. Para viabilizar essa intervenção, são indispensáveis serviços complementares: terraplenagem e correção de greide, visando ao adequado escoamento das águas pluviais; recomposição de aterro e estabilização de pontos com processos erosivos que comprometem a plataforma; recomposição do bueiro tubular existente, cujas condições deterioradas de drenagem favorecem erosões e carreamento de material; e patrolamento da superfície de rolamento, para corrigir irregularidades como ondulações e trilhas de roda. A execução conjunta desses serviços — terraplenagem, correção de greide, patrolamento, tratamento de erosões, recomposição do dispositivo de drenagem e aplicação do revestimento primário — é indispensável para restabelecer as condições estruturais e operacionais da rodovia, garantindo maior segurança, melhor desempenho e maior durabilidade das intervenções.</t>
  </si>
  <si>
    <t>mai/jun/jul</t>
  </si>
  <si>
    <t>abr/mai/jun</t>
  </si>
  <si>
    <t>Roçada / Limpeza Ponte / Caiação de EDS e pontes</t>
  </si>
  <si>
    <t>mai/jun</t>
  </si>
  <si>
    <t>Tapa-Buraco PMF / Remendo Profundo</t>
  </si>
  <si>
    <t>Terraplenagem / Reconformação da plataforma</t>
  </si>
  <si>
    <t>jun/jul</t>
  </si>
  <si>
    <t>A inspeção técnica identificou diversos buracos no revestimento da rodovia, patologia que compromete a trafegabilidade, gerando desconforto aos usuários, perda de estabilidade veicular e maior risco de acidentes, sobretudo em trechos de tráfego intenso ou velocidade elevada. Como os buracos tendem a evoluir, permitindo infiltração de água na base e sub-base e acelerando a degradação do pavimento — com consequente aumento dos custos futuros de manutenção —, a intervenção imediata por meio do serviço de tapa-buraco é indispensável para interromper esse processo, restabelecer as condições de rolamento, preservar a plataforma da via e assegurar padrões mínimos de segurança operacional. Registra-se, ainda, em cumprimento ao Termo de Ajuste de Gestão (Cláusula Segunda, Parágrafo Sexto), que a partir de 2025 os serviços de manutenção rodoviária passaram a contar com histórico de execução e mensuração dos níveis de esforço realizados.</t>
  </si>
  <si>
    <t>REGIÃO 03</t>
  </si>
  <si>
    <t>REGIÃO 14</t>
  </si>
  <si>
    <t>REGIÃO 15</t>
  </si>
  <si>
    <t>REGIÃO 16</t>
  </si>
  <si>
    <t>BASE CONSOLIDADA — alimenta o DASHBOARD (não editar)</t>
  </si>
  <si>
    <t>Critério de região aplicado:</t>
  </si>
  <si>
    <t>N° OSPs</t>
  </si>
  <si>
    <t>SCORE</t>
  </si>
  <si>
    <t>RANK</t>
  </si>
  <si>
    <t>CONTROLE DE OSPs — LOTE 01</t>
  </si>
  <si>
    <t>FILTRO — REGIÃO:</t>
  </si>
  <si>
    <t>TODAS</t>
  </si>
  <si>
    <t>N° DE OSPs</t>
  </si>
  <si>
    <t>VALOR PREVISTO (R$)</t>
  </si>
  <si>
    <t>TOTAL MEDIDO (R$)</t>
  </si>
  <si>
    <t>SALDO A MEDIR (R$)</t>
  </si>
  <si>
    <t>% DE EXECUÇÃO</t>
  </si>
  <si>
    <t>OSPs CONCLUÍDAS</t>
  </si>
  <si>
    <t>OSPs CANCELADAS</t>
  </si>
  <si>
    <t>VALOR MÉDIO / OSP (R$)</t>
  </si>
  <si>
    <t>% EXEC.</t>
  </si>
  <si>
    <t>CONCLUÍDAS</t>
  </si>
  <si>
    <t>CANCELADAS</t>
  </si>
  <si>
    <t>TOTAL — LOTE 01</t>
  </si>
  <si>
    <t>% DAS OSPs</t>
  </si>
  <si>
    <t>% DO VALOR</t>
  </si>
  <si>
    <t>TOTAL</t>
  </si>
  <si>
    <t>MÊS</t>
  </si>
  <si>
    <t>Valor medido no mês</t>
  </si>
  <si>
    <t>Acumulado</t>
  </si>
  <si>
    <t>% do valor previsto</t>
  </si>
  <si>
    <t>OSPs com medição</t>
  </si>
  <si>
    <t>#</t>
  </si>
  <si>
    <t>% DO TOTAL</t>
  </si>
  <si>
    <t>FONTES DOS GRÁFICOS DO DASHBOARD</t>
  </si>
  <si>
    <t>PREVISTO</t>
  </si>
  <si>
    <t>MEDIDO</t>
  </si>
  <si>
    <t>MEDIDO NO MÊS</t>
  </si>
  <si>
    <t>ACUMULADO</t>
  </si>
  <si>
    <t>Roçada / Limpeza EDS</t>
  </si>
  <si>
    <t>INSERIR OSP  →  HISTÓRICO:</t>
  </si>
  <si>
    <t>Região 01</t>
  </si>
  <si>
    <t>Região 02</t>
  </si>
  <si>
    <t>Região 03</t>
  </si>
  <si>
    <t>Região 14</t>
  </si>
  <si>
    <t>Região 15</t>
  </si>
  <si>
    <t>Região 16</t>
  </si>
  <si>
    <t>VER CONSOLIDADO  →  RESUMO:</t>
  </si>
  <si>
    <t>próxima linha livre →</t>
  </si>
  <si>
    <t>DETALHAMENTO</t>
  </si>
  <si>
    <t>DETALHAMENTO OSPs — LOTE 01</t>
  </si>
  <si>
    <t>FONTE: SISTEMA DE GESTÃO OSP - AGETO</t>
  </si>
  <si>
    <t>COMPARATIVO POR REGIÃO</t>
  </si>
  <si>
    <t>TOP 10 SERVIÇOS POR VALOR PREVISTO</t>
  </si>
  <si>
    <t>TOP 10 OSPs POR VALOR PREVISTO</t>
  </si>
  <si>
    <t>SITUAÇÃO DAS OSPs</t>
  </si>
  <si>
    <t>EVOLUÇÃO MENSAL — 2026</t>
  </si>
  <si>
    <t>DADOS DOS GRÁFICOS (apoio)</t>
  </si>
  <si>
    <t>Valor Previsto</t>
  </si>
  <si>
    <t>Total Medido</t>
  </si>
  <si>
    <t>Medido no mês</t>
  </si>
  <si>
    <t>FILTRO DE REGIÃO (DASHBOARD)</t>
  </si>
  <si>
    <t>Rótulo</t>
  </si>
  <si>
    <t>Código</t>
  </si>
  <si>
    <t>*</t>
  </si>
  <si>
    <t>Recomposição mecanizada de aterro / Enrocamento de pedra arrumada / Enrocamento de pedra jogada / Terraplenagem</t>
  </si>
  <si>
    <t>Roçada / Tapa-Buraco CAE / Remendo Profundo / Reconformação da plataforma</t>
  </si>
  <si>
    <t>Os serviços de tapa-buraco e roçada são essenciais para garantir a conservação, a segurança e a trafegabilidade das rodovias pavimentadas. Essas intervenções preservam as condições do pavimento, asseguram a visibilidade da sinalização e dos dispositivos de drenagem, reduzem custos com reparos futuros e contribuem para a adequada manutenção da infraestrutura viária. Registra-se, ainda, que, a partir de 2025, os serviços passaram a contar com histórico de execução e mensuração dos níveis de esforço, em atendimento ao Termo de Ajuste de Gestão.</t>
  </si>
  <si>
    <t>Os serviços de revestimento primário e recomposição de bueiros são essenciais para garantir a trafegabilidade, a segurança e a conservação das rodovias não pavimentadas. Essas intervenções restabelecem as condições de rolamento, asseguram o adequado escoamento das águas pluviais, reduzem processos erosivos e preservam a integridade da infraestrutura viária, contribuindo para a durabilidade da estrada e a continuidade segura do tráfego.</t>
  </si>
  <si>
    <t>Enrocamento de pedra arrumada / Enrocamento de pedra jogada / Terraplenagem / Reconformação da plataforma / Recomposição do revestimento primário</t>
  </si>
  <si>
    <t xml:space="preserve"> Roçada / Tapa-Buraco CAE</t>
  </si>
  <si>
    <t>Tapa-Buraco CAE / Enrocamento de pedra arrumada / Enrocamento de pedra jogada / Recomposição de BDTC 100 / Reparo EDS / Remendo Profundo</t>
  </si>
  <si>
    <t>Julho</t>
  </si>
  <si>
    <t>Agosto</t>
  </si>
  <si>
    <t>jun/jul/ago</t>
  </si>
  <si>
    <t>jul/ago</t>
  </si>
  <si>
    <t>jul/ago/set</t>
  </si>
  <si>
    <t>Análise Gestor</t>
  </si>
  <si>
    <t>ago/set/out</t>
  </si>
  <si>
    <t>jul</t>
  </si>
  <si>
    <t>Tapa-Buraco CAE / Enrocamento de pedra arrumada / Enrocamento de pedra jogada / Reparo EDS / Remendo Profundo</t>
  </si>
  <si>
    <t>A execução dos serviços de recuperação da erosão identificada na margem da rodovia TO-230, justica-se pela necessidade de preservar a integridade da infraestrutura viária, garantir a seguraça dos usuários e evitar a progressão dos danos causados pela ação das águas pluviais e pelo escoamento superficial.</t>
  </si>
  <si>
    <t>A execução do serviço de reconformação da plataforma faz-se necessária em virtude das deformações identificadas na superfície, ocasionadas pela ação do tráfego, intempéries e processos naturais de acomodação do solo. Tais irregularidades comprometem as condições geométricas da plataforma, prejudicando a drenagem superficial, a estabilidade estrutural e a segurança operacional da área.</t>
  </si>
  <si>
    <t>Observa-se que, ao longo do tempo, fatores como o desgaste natural dos materiais, o aumento do volume de tráfego, a ação contínua das águas pluviais, o carreamento de sedimentos e possíveis obstruções internas contribuem para a perda de capacidade hidráulica e estrutural do bueiro. Em estruturas compostas por múltiplas linhas tubulares, eventuais deformações, rupturas, recalques diferenciais ou assoreamento podem comprometer significativamente o desempenho do sistema de drenagem, elevando o risco de alagamentos, erosões localizadas e danos à plataforma da rodovia.</t>
  </si>
  <si>
    <t>Durante as inspeções de campo, constatou-se que a ponte de madeira existente apresenta elevado grau de deterioração estrutural e risco iminente de colapso, comprometendo a segurança dos usuários e a continuidade do tráfego. Considerando a importância da rodovia, propõe-se sua substituição por bueiro celular de concreto armado. Embora o estudo hidrológico recomende, como solução definitiva, um bueiro celular triplo de 2,50 m x 2,50 m, a disponibilidade atual de apenas 08 aduelas pela AGETO inviabiliza sua execução imediata. Assim, será implantado provisoriamente um bueiro celular simples de 2,50 m x 2,50 m, visando garantir a trafegabilidade e a segurança da via, devendo posteriormente ser ampliado para a configuração definitiva prevista no estudo.</t>
  </si>
  <si>
    <t xml:space="preserve"> Roçada / Tapa-Buraco PMF</t>
  </si>
  <si>
    <t xml:space="preserve"> Roçada / Tapa-Buraco PMF / Caiação de EDS e pontes</t>
  </si>
  <si>
    <t>A execução tempestiva dos serviços de tapa-buraco é fundamental para impedir a evolução dos defeitos superficiais para danos estruturais mais severos, reduzindo significativamente os custos futuros de recuperação e reconstrução do pavimento. A permanência dos buracos favorece a infiltração de água nas camadas inferiores da estrutura do pavimento, acelerando sua degradação e comprometendo sua vida útil.</t>
  </si>
  <si>
    <t>Enrocamento de pedra jogada / Terraplenagem / Execução de BSTC 100 / Execução de BDTC 100 / Reconformação da plataforma / Recomposição do revestimento primário</t>
  </si>
  <si>
    <t>Tapa-Buraco CAE / Recomposição manual de aterro / Enrocamento de pedra arrumada / Enrocamento de pedra jogada / Reparo EDS / Remendo Profundo / Terraplenagem</t>
  </si>
  <si>
    <t xml:space="preserve"> Roçada / Caiação de EDS e pontes</t>
  </si>
  <si>
    <t>A execução dos serviços de roçagem mecanizada, roçagem costal e caiação de pontes em rodovias é indispensável para garantir a segurança viária, a conservação da infraestrutura rodoviária e a manutenção das condições adequadas de trafegabilidade, contribuindo para a preservação do patrimônio público e para a redução dos riscos de acidentes.</t>
  </si>
  <si>
    <t>A execução dos serviços de roçagem mecanizada e roçagem costal ao longo da faixa de domínio da rodovia é indispensável para garantir condições adequadas de segurança viária, conservação da infraestrutura rodoviária e preservação ambiental.</t>
  </si>
  <si>
    <t>ago/set</t>
  </si>
  <si>
    <t>R03 L</t>
  </si>
  <si>
    <t>R03 E</t>
  </si>
  <si>
    <t>C03 L</t>
  </si>
  <si>
    <t>C03 E</t>
  </si>
  <si>
    <t>1452.2026</t>
  </si>
  <si>
    <t>Roçada / Tapa-Buraco PMF</t>
  </si>
  <si>
    <t>Terraplenagem / Recomposição do revestimento primário</t>
  </si>
  <si>
    <t>jun</t>
  </si>
  <si>
    <t>A execução do serviço de roçagem ao longo da rodovia é essencial para garantir condições adequadas de segurança viária e preservação da infraestrutura. O adensamento da vegetação às margens da via pode reduzir significativamente a visibilidade dos usuários, especialmente em curvas, acessos, interseções e áreas urbanizadas, aumentando o risco de acidentes.</t>
  </si>
  <si>
    <t>Terraplenagem / Execução de BSTC 100 / Reconposição do revestimento primário</t>
  </si>
  <si>
    <t>Roçada / Tapa-Buraco PMF / Tapa-Buraco CAE / Remendo Profundo</t>
  </si>
  <si>
    <t>A execução do serviço de reconformação de plataforma (patrolamento) justifica-se pelo estado de deterioração superficial verificado nos trechos não pavimentados sob responsabilidade desta fiscalização, decorrente das precipitações pluviométricas intensas e prolongadas características do período chuvoso regional.</t>
  </si>
  <si>
    <t>Terraplenagem / Execução de BDTC 100 / Recomposição do revestimento primário</t>
  </si>
  <si>
    <t>Roçada / Tapa-Buraco PMF / Caiação de EDS e pontes</t>
  </si>
  <si>
    <t>Correção Fiscal</t>
  </si>
  <si>
    <t>Roçada / Limpeza EDS / Caiação de EDS e pontes</t>
  </si>
  <si>
    <t>Roçada / Tapa-Buraco CAE / Reparo EDS / Remendo Profundo / Caiação de EDS e pontes</t>
  </si>
  <si>
    <t>Reconformação da plataforma / Recomposição do revestimento primário</t>
  </si>
  <si>
    <t>Drenagem</t>
  </si>
  <si>
    <t>SERVIÇOS MANUTENÇÃO</t>
  </si>
  <si>
    <t>SERVIÇOS RESTAURAÇÃO</t>
  </si>
  <si>
    <t>R03</t>
  </si>
  <si>
    <t>Tapa-Buraco PMF / Recomposição manual de aterro / Enrocamento de pedra arrumada / Enrocamento de pedra jogada / Reparo EDS / Remendo Profundo</t>
  </si>
  <si>
    <t>Recomposição mecanizada de aterro / Enrocamento de pedra arrumada / Enrocamento de pedra jogada / Terraplenagem / Reconformação da plataforma</t>
  </si>
  <si>
    <t>RESCISÃO DE CONTRATO</t>
  </si>
  <si>
    <t>jan</t>
  </si>
  <si>
    <t>A medição foi cancelada em razão da não mobilização da empresa contratada dentro do prazo previamente estabelecido. Em decorrência do descumprimento do cronograma contratual, a própria empresa formalizou a solicitação de cancelamento do contrato.</t>
  </si>
  <si>
    <t>Sem justificativa anexada</t>
  </si>
  <si>
    <t>Sinalização de Obras</t>
  </si>
  <si>
    <t>4.1</t>
  </si>
  <si>
    <t>4.2</t>
  </si>
  <si>
    <t>4.3</t>
  </si>
  <si>
    <t>4.4</t>
  </si>
  <si>
    <t>4.5</t>
  </si>
  <si>
    <t xml:space="preserve">Reciclagem do pavimento e execução de TSD / Sinalização de Obras </t>
  </si>
  <si>
    <t xml:space="preserve">Reciclagem do pavimento e execução de TSD / Microrrevestimento asfáltico 8 mm / Sinalização de Obras </t>
  </si>
  <si>
    <t xml:space="preserve">Fornecimento e aplicação de CBUQ / Sinalização de Obras </t>
  </si>
  <si>
    <t xml:space="preserve">Reciclagem do pavimento e execução de TSD / Fornecimento e aplicação de CBUQ / Sinalização de Obras </t>
  </si>
  <si>
    <t xml:space="preserve">Reciclagem do pavimento e execução de TSD / Microrrevestimento asfáltico 8 mm / Fornecimento e aplicação de CBUQ / Sinalização de Obras </t>
  </si>
  <si>
    <t>Reciclagem do pavimento e execução de TSD / Microrrevestimento asfáltico 8 mm</t>
  </si>
  <si>
    <t>Roçada / Remendo profundo</t>
  </si>
  <si>
    <t>Microrrevestimento asfáltico 8 mm / Sinalização de Obras</t>
  </si>
  <si>
    <t>set/out</t>
  </si>
  <si>
    <t>set/out/nov</t>
  </si>
  <si>
    <t>Setembro</t>
  </si>
  <si>
    <t>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</si>
</sst>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&quot;R$&quot;\ #,##0.00"/>
    <numFmt numFmtId="166" formatCode="0.0%"/>
    <numFmt numFmtId="167" formatCode="#,##0;\(#,##0\);&quot;-&quot;"/>
    <numFmt numFmtId="168" formatCode="&quot;R$&quot;\ #,##0.00;\(&quot;R$&quot;\ #,##0.00\);&quot;-&quot;"/>
    <numFmt numFmtId="169" formatCode="&quot;R$&quot;\ #,##0;\(&quot;R$&quot;\ #,##0\);&quot;-&quot;"/>
    <numFmt numFmtId="170" formatCode="m/d/yyyy"/>
  </numFmts>
  <fonts count="54" x14ac:knownFonts="1">
    <font>
      <sz val="12"/>
      <color theme="1"/>
      <name val="Calibri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</font>
    <font>
      <sz val="8"/>
      <name val="Calibri"/>
      <family val="2"/>
    </font>
    <font>
      <sz val="12"/>
      <color theme="1"/>
      <name val="Times New Roman"/>
      <family val="1"/>
    </font>
    <font>
      <sz val="14"/>
      <color theme="1"/>
      <name val="Times New Roman"/>
      <family val="1"/>
    </font>
    <font>
      <sz val="12"/>
      <name val="Times New Roman"/>
      <family val="1"/>
    </font>
    <font>
      <b/>
      <sz val="16"/>
      <color theme="1"/>
      <name val="Times New Roman"/>
      <family val="1"/>
    </font>
    <font>
      <sz val="14"/>
      <name val="Calibri"/>
      <family val="2"/>
    </font>
    <font>
      <sz val="12"/>
      <name val="Times New Roman"/>
      <family val="1"/>
    </font>
    <font>
      <sz val="14"/>
      <name val="Times New Roman"/>
      <family val="1"/>
    </font>
    <font>
      <b/>
      <sz val="14"/>
      <name val="Times New Roman"/>
      <family val="1"/>
    </font>
    <font>
      <b/>
      <sz val="12"/>
      <color theme="0"/>
      <name val="Times New Roman"/>
      <family val="1"/>
    </font>
    <font>
      <b/>
      <sz val="20"/>
      <color theme="0"/>
      <name val="Times New Roman"/>
      <family val="1"/>
    </font>
    <font>
      <sz val="14"/>
      <name val="Times New Roman"/>
      <family val="1"/>
    </font>
    <font>
      <sz val="10"/>
      <name val="Times New Roman"/>
      <family val="1"/>
    </font>
    <font>
      <sz val="12"/>
      <color rgb="FF002060"/>
      <name val="Times New Roman"/>
      <family val="1"/>
    </font>
    <font>
      <sz val="12"/>
      <color rgb="FF00B050"/>
      <name val="Times New Roman"/>
      <family val="1"/>
    </font>
    <font>
      <sz val="12"/>
      <color rgb="FF00B0F0"/>
      <name val="Times New Roman"/>
      <family val="1"/>
    </font>
    <font>
      <sz val="12"/>
      <color rgb="FFC00000"/>
      <name val="Times New Roman"/>
      <family val="1"/>
    </font>
    <font>
      <sz val="11"/>
      <color theme="1"/>
      <name val="Times New Roman"/>
      <family val="1"/>
    </font>
    <font>
      <b/>
      <sz val="12"/>
      <color theme="1"/>
      <name val="Calibri"/>
      <family val="2"/>
    </font>
    <font>
      <b/>
      <sz val="14"/>
      <color theme="0"/>
      <name val="Times New Roman"/>
      <family val="1"/>
    </font>
    <font>
      <b/>
      <sz val="11"/>
      <color theme="1"/>
      <name val="Times New Roman"/>
      <family val="1"/>
    </font>
    <font>
      <b/>
      <sz val="12"/>
      <color rgb="FF000000"/>
      <name val="Times New Roman"/>
      <family val="1"/>
    </font>
    <font>
      <sz val="12"/>
      <name val="Calibri"/>
      <family val="2"/>
    </font>
    <font>
      <b/>
      <sz val="25"/>
      <name val="Times New Roman"/>
      <family val="1"/>
    </font>
    <font>
      <sz val="14"/>
      <color theme="1"/>
      <name val="Calibri"/>
      <family val="2"/>
    </font>
    <font>
      <b/>
      <sz val="10"/>
      <color rgb="FF595959"/>
      <name val="Times New Roman"/>
      <family val="1"/>
    </font>
    <font>
      <b/>
      <sz val="18"/>
      <color rgb="FF333F4F"/>
      <name val="Times New Roman"/>
      <family val="1"/>
    </font>
    <font>
      <b/>
      <sz val="14"/>
      <color rgb="FF333F4F"/>
      <name val="Times New Roman"/>
      <family val="1"/>
    </font>
    <font>
      <sz val="12"/>
      <name val="Calibri"/>
      <family val="2"/>
      <scheme val="minor"/>
    </font>
    <font>
      <sz val="12"/>
      <name val="Times New Roman"/>
      <family val="1"/>
    </font>
    <font>
      <u/>
      <sz val="12"/>
      <color theme="10"/>
      <name val="Calibri"/>
      <family val="2"/>
    </font>
    <font>
      <i/>
      <sz val="9"/>
      <color rgb="FF808080"/>
      <name val="Times New Roman"/>
      <family val="1"/>
    </font>
    <font>
      <b/>
      <sz val="12"/>
      <color rgb="FFFFFFFF"/>
      <name val="Times New Roman"/>
      <family val="1"/>
    </font>
    <font>
      <sz val="16"/>
      <color rgb="FFFFFFFF"/>
      <name val="Times New Roman"/>
      <family val="1"/>
    </font>
    <font>
      <sz val="12"/>
      <color theme="0"/>
      <name val="Times New Roman"/>
      <family val="1"/>
    </font>
    <font>
      <b/>
      <sz val="14"/>
      <color rgb="FFFFFFFF"/>
      <name val="Times New Roman"/>
      <family val="1"/>
    </font>
    <font>
      <b/>
      <sz val="45"/>
      <color rgb="FFFFFFFF"/>
      <name val="Times New Roman"/>
      <family val="1"/>
    </font>
    <font>
      <b/>
      <sz val="20"/>
      <color rgb="FFFFFFFF"/>
      <name val="Times New Roman"/>
      <family val="1"/>
    </font>
    <font>
      <b/>
      <sz val="18"/>
      <color rgb="FFFFFFFF"/>
      <name val="Times New Roman"/>
      <family val="1"/>
    </font>
    <font>
      <b/>
      <sz val="12"/>
      <color theme="1"/>
      <name val="Times New Roman"/>
      <family val="1"/>
    </font>
    <font>
      <sz val="10"/>
      <color theme="1"/>
      <name val="Times New Roman"/>
      <family val="1"/>
    </font>
    <font>
      <sz val="14"/>
      <color theme="0"/>
      <name val="Times New Roman"/>
      <family val="1"/>
    </font>
    <font>
      <b/>
      <sz val="9"/>
      <color theme="1"/>
      <name val="Calibri"/>
      <family val="2"/>
    </font>
    <font>
      <u/>
      <sz val="12"/>
      <color theme="1"/>
      <name val="Calibri"/>
      <family val="2"/>
    </font>
    <font>
      <sz val="12"/>
      <color rgb="FF7030A0"/>
      <name val="Times New Roman"/>
      <family val="1"/>
    </font>
    <font>
      <sz val="12"/>
      <name val="Calibri"/>
      <family val="2"/>
      <scheme val="minor"/>
    </font>
    <font>
      <sz val="12"/>
      <name val="Times New Roman"/>
      <family val="1"/>
    </font>
    <font>
      <b/>
      <sz val="9"/>
      <color indexed="81"/>
      <name val="Segoe UI"/>
      <family val="2"/>
    </font>
    <font>
      <sz val="12"/>
      <name val="Times New Roman"/>
    </font>
    <font>
      <sz val="12"/>
      <color rgb="FFED7D31"/>
      <name val="Times New Roman"/>
      <family val="1"/>
    </font>
    <font>
      <sz val="12"/>
      <name val="Calibri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</fills>
  <borders count="109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medium">
        <color theme="4"/>
      </left>
      <right style="medium">
        <color theme="4"/>
      </right>
      <top style="medium">
        <color theme="4"/>
      </top>
      <bottom style="medium">
        <color theme="4"/>
      </bottom>
      <diagonal/>
    </border>
    <border>
      <left style="medium">
        <color theme="4"/>
      </left>
      <right/>
      <top style="medium">
        <color theme="4"/>
      </top>
      <bottom/>
      <diagonal/>
    </border>
    <border>
      <left/>
      <right style="medium">
        <color theme="4"/>
      </right>
      <top style="medium">
        <color theme="4"/>
      </top>
      <bottom/>
      <diagonal/>
    </border>
    <border>
      <left style="medium">
        <color theme="4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medium">
        <color theme="4"/>
      </right>
      <top style="thin">
        <color rgb="FFB4C6E7"/>
      </top>
      <bottom style="thin">
        <color rgb="FFB4C6E7"/>
      </bottom>
      <diagonal/>
    </border>
    <border>
      <left style="medium">
        <color theme="4"/>
      </left>
      <right style="thin">
        <color rgb="FFB4C6E7"/>
      </right>
      <top style="thin">
        <color rgb="FFB4C6E7"/>
      </top>
      <bottom style="medium">
        <color theme="4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medium">
        <color theme="4"/>
      </bottom>
      <diagonal/>
    </border>
    <border>
      <left style="thin">
        <color rgb="FFB4C6E7"/>
      </left>
      <right style="medium">
        <color theme="4"/>
      </right>
      <top style="thin">
        <color rgb="FFB4C6E7"/>
      </top>
      <bottom style="medium">
        <color theme="4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medium">
        <color theme="4"/>
      </right>
      <top style="medium">
        <color theme="4"/>
      </top>
      <bottom style="medium">
        <color theme="4"/>
      </bottom>
      <diagonal/>
    </border>
    <border>
      <left style="medium">
        <color theme="4"/>
      </left>
      <right/>
      <top/>
      <bottom style="medium">
        <color theme="4"/>
      </bottom>
      <diagonal/>
    </border>
    <border>
      <left/>
      <right style="medium">
        <color theme="4"/>
      </right>
      <top/>
      <bottom style="medium">
        <color theme="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medium">
        <color indexed="64"/>
      </right>
      <top style="thin">
        <color theme="0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medium">
        <color indexed="64"/>
      </right>
      <top style="thin">
        <color theme="4"/>
      </top>
      <bottom style="thin">
        <color theme="4"/>
      </bottom>
      <diagonal/>
    </border>
    <border>
      <left style="medium">
        <color theme="4"/>
      </left>
      <right/>
      <top style="thin">
        <color theme="4"/>
      </top>
      <bottom/>
      <diagonal/>
    </border>
    <border>
      <left/>
      <right style="medium">
        <color theme="4"/>
      </right>
      <top style="thin">
        <color theme="4"/>
      </top>
      <bottom/>
      <diagonal/>
    </border>
    <border>
      <left style="medium">
        <color theme="4"/>
      </left>
      <right/>
      <top/>
      <bottom style="double">
        <color theme="4"/>
      </bottom>
      <diagonal/>
    </border>
    <border>
      <left/>
      <right style="medium">
        <color theme="4"/>
      </right>
      <top/>
      <bottom style="double">
        <color theme="4"/>
      </bottom>
      <diagonal/>
    </border>
    <border>
      <left style="medium">
        <color indexed="64"/>
      </left>
      <right/>
      <top/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 style="medium">
        <color indexed="64"/>
      </left>
      <right style="thin">
        <color theme="0"/>
      </right>
      <top style="slantDashDot">
        <color theme="0"/>
      </top>
      <bottom style="slantDashDot">
        <color theme="0"/>
      </bottom>
      <diagonal/>
    </border>
    <border>
      <left style="thin">
        <color theme="0"/>
      </left>
      <right style="thin">
        <color theme="0"/>
      </right>
      <top style="slantDashDot">
        <color theme="0"/>
      </top>
      <bottom style="slantDashDot">
        <color theme="0"/>
      </bottom>
      <diagonal/>
    </border>
    <border>
      <left style="thin">
        <color theme="0"/>
      </left>
      <right style="medium">
        <color indexed="64"/>
      </right>
      <top style="slantDashDot">
        <color theme="0"/>
      </top>
      <bottom style="slantDashDot">
        <color theme="0"/>
      </bottom>
      <diagonal/>
    </border>
    <border>
      <left style="medium">
        <color indexed="64"/>
      </left>
      <right/>
      <top style="slantDashDot">
        <color theme="0"/>
      </top>
      <bottom style="slantDashDot">
        <color theme="0"/>
      </bottom>
      <diagonal/>
    </border>
    <border>
      <left/>
      <right/>
      <top style="slantDashDot">
        <color theme="0"/>
      </top>
      <bottom style="slantDashDot">
        <color theme="0"/>
      </bottom>
      <diagonal/>
    </border>
    <border>
      <left style="medium">
        <color theme="4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medium">
        <color theme="4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/>
      <diagonal/>
    </border>
    <border>
      <left style="thin">
        <color theme="3"/>
      </left>
      <right style="thin">
        <color theme="3"/>
      </right>
      <top/>
      <bottom style="thin">
        <color theme="3"/>
      </bottom>
      <diagonal/>
    </border>
    <border>
      <left style="medium">
        <color theme="4"/>
      </left>
      <right style="thin">
        <color theme="3"/>
      </right>
      <top/>
      <bottom style="thin">
        <color theme="3"/>
      </bottom>
      <diagonal/>
    </border>
    <border>
      <left style="thin">
        <color theme="3"/>
      </left>
      <right style="medium">
        <color theme="4"/>
      </right>
      <top/>
      <bottom style="thin">
        <color theme="3"/>
      </bottom>
      <diagonal/>
    </border>
    <border>
      <left style="medium">
        <color theme="4"/>
      </left>
      <right style="thin">
        <color rgb="FFB4C6E7"/>
      </right>
      <top style="thin">
        <color rgb="FFB4C6E7"/>
      </top>
      <bottom/>
      <diagonal/>
    </border>
    <border>
      <left style="thin">
        <color rgb="FFB4C6E7"/>
      </left>
      <right style="medium">
        <color theme="4"/>
      </right>
      <top style="thin">
        <color rgb="FFB4C6E7"/>
      </top>
      <bottom/>
      <diagonal/>
    </border>
    <border>
      <left style="medium">
        <color theme="4"/>
      </left>
      <right style="thin">
        <color theme="3"/>
      </right>
      <top style="thin">
        <color theme="3"/>
      </top>
      <bottom style="medium">
        <color theme="4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medium">
        <color theme="4"/>
      </bottom>
      <diagonal/>
    </border>
    <border>
      <left style="thin">
        <color theme="3"/>
      </left>
      <right style="medium">
        <color theme="4"/>
      </right>
      <top style="thin">
        <color theme="3"/>
      </top>
      <bottom style="medium">
        <color theme="4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thin">
        <color theme="3"/>
      </right>
      <top/>
      <bottom/>
      <diagonal/>
    </border>
    <border>
      <left/>
      <right style="thin">
        <color rgb="FFB4C6E7"/>
      </right>
      <top/>
      <bottom/>
      <diagonal/>
    </border>
    <border>
      <left style="medium">
        <color theme="4"/>
      </left>
      <right/>
      <top/>
      <bottom/>
      <diagonal/>
    </border>
    <border>
      <left/>
      <right/>
      <top/>
      <bottom style="medium">
        <color theme="4"/>
      </bottom>
      <diagonal/>
    </border>
    <border>
      <left/>
      <right style="thin">
        <color rgb="FFB4C6E7"/>
      </right>
      <top/>
      <bottom style="medium">
        <color theme="4"/>
      </bottom>
      <diagonal/>
    </border>
    <border>
      <left/>
      <right style="medium">
        <color indexed="64"/>
      </right>
      <top style="slantDashDot">
        <color theme="0"/>
      </top>
      <bottom style="slantDashDot">
        <color theme="0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1" fillId="0" borderId="0"/>
    <xf numFmtId="0" fontId="1" fillId="0" borderId="0"/>
    <xf numFmtId="0" fontId="33" fillId="0" borderId="0" applyNumberFormat="0" applyFill="0" applyBorder="0" applyAlignment="0" applyProtection="0"/>
  </cellStyleXfs>
  <cellXfs count="337">
    <xf numFmtId="0" fontId="0" fillId="0" borderId="0" xfId="0"/>
    <xf numFmtId="0" fontId="5" fillId="0" borderId="0" xfId="0" applyFont="1"/>
    <xf numFmtId="0" fontId="4" fillId="0" borderId="0" xfId="0" applyFont="1" applyAlignment="1">
      <alignment wrapText="1"/>
    </xf>
    <xf numFmtId="0" fontId="7" fillId="2" borderId="4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 wrapText="1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 wrapText="1"/>
    </xf>
    <xf numFmtId="3" fontId="6" fillId="0" borderId="2" xfId="0" quotePrefix="1" applyNumberFormat="1" applyFont="1" applyBorder="1" applyAlignment="1">
      <alignment horizontal="center" vertical="center" wrapText="1"/>
    </xf>
    <xf numFmtId="164" fontId="6" fillId="0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4" borderId="5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12" fillId="5" borderId="5" xfId="0" applyFont="1" applyFill="1" applyBorder="1" applyAlignment="1">
      <alignment horizontal="center" vertical="center" wrapText="1"/>
    </xf>
    <xf numFmtId="0" fontId="12" fillId="6" borderId="5" xfId="0" applyFont="1" applyFill="1" applyBorder="1" applyAlignment="1">
      <alignment horizontal="center" vertical="center" wrapText="1"/>
    </xf>
    <xf numFmtId="0" fontId="12" fillId="7" borderId="5" xfId="0" applyFont="1" applyFill="1" applyBorder="1" applyAlignment="1">
      <alignment horizontal="center" vertical="center" wrapText="1"/>
    </xf>
    <xf numFmtId="0" fontId="11" fillId="3" borderId="14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165" fontId="0" fillId="0" borderId="2" xfId="0" applyNumberFormat="1" applyBorder="1" applyAlignment="1">
      <alignment vertical="center"/>
    </xf>
    <xf numFmtId="165" fontId="0" fillId="0" borderId="1" xfId="0" applyNumberForma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10" fontId="0" fillId="0" borderId="2" xfId="0" applyNumberFormat="1" applyBorder="1" applyAlignment="1">
      <alignment vertical="center"/>
    </xf>
    <xf numFmtId="0" fontId="14" fillId="3" borderId="15" xfId="0" applyFont="1" applyFill="1" applyBorder="1" applyAlignment="1">
      <alignment horizontal="center" vertical="center" wrapText="1"/>
    </xf>
    <xf numFmtId="0" fontId="10" fillId="3" borderId="16" xfId="0" applyFont="1" applyFill="1" applyBorder="1" applyAlignment="1">
      <alignment horizontal="center" vertical="center" wrapText="1"/>
    </xf>
    <xf numFmtId="0" fontId="10" fillId="3" borderId="14" xfId="0" applyFont="1" applyFill="1" applyBorder="1" applyAlignment="1">
      <alignment horizontal="center" vertical="center" wrapText="1"/>
    </xf>
    <xf numFmtId="1" fontId="9" fillId="0" borderId="2" xfId="0" quotePrefix="1" applyNumberFormat="1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49" fontId="9" fillId="0" borderId="2" xfId="0" applyNumberFormat="1" applyFont="1" applyBorder="1" applyAlignment="1">
      <alignment horizontal="center" vertical="center" wrapText="1"/>
    </xf>
    <xf numFmtId="3" fontId="9" fillId="0" borderId="1" xfId="0" applyNumberFormat="1" applyFont="1" applyBorder="1" applyAlignment="1">
      <alignment horizontal="center" vertical="center" wrapText="1"/>
    </xf>
    <xf numFmtId="3" fontId="0" fillId="0" borderId="13" xfId="0" applyNumberFormat="1" applyBorder="1" applyAlignment="1">
      <alignment horizontal="center" vertical="center"/>
    </xf>
    <xf numFmtId="3" fontId="9" fillId="0" borderId="20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3" fontId="6" fillId="0" borderId="20" xfId="0" applyNumberFormat="1" applyFont="1" applyBorder="1" applyAlignment="1">
      <alignment horizontal="center" vertical="center" wrapText="1"/>
    </xf>
    <xf numFmtId="49" fontId="15" fillId="0" borderId="12" xfId="0" quotePrefix="1" applyNumberFormat="1" applyFont="1" applyBorder="1" applyAlignment="1">
      <alignment horizontal="left" vertical="center" wrapText="1"/>
    </xf>
    <xf numFmtId="165" fontId="0" fillId="0" borderId="2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0" borderId="4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49" fontId="4" fillId="0" borderId="11" xfId="0" applyNumberFormat="1" applyFont="1" applyBorder="1" applyAlignment="1">
      <alignment horizontal="center" vertical="center"/>
    </xf>
    <xf numFmtId="49" fontId="4" fillId="0" borderId="6" xfId="0" applyNumberFormat="1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49" fontId="4" fillId="0" borderId="7" xfId="0" applyNumberFormat="1" applyFont="1" applyBorder="1" applyAlignment="1">
      <alignment horizontal="center" vertical="center"/>
    </xf>
    <xf numFmtId="165" fontId="0" fillId="0" borderId="1" xfId="0" applyNumberFormat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20" fillId="0" borderId="21" xfId="3" applyFont="1" applyBorder="1" applyAlignment="1">
      <alignment horizontal="left" vertical="center" wrapText="1"/>
    </xf>
    <xf numFmtId="10" fontId="21" fillId="0" borderId="2" xfId="0" applyNumberFormat="1" applyFont="1" applyBorder="1" applyAlignment="1">
      <alignment vertical="center"/>
    </xf>
    <xf numFmtId="165" fontId="21" fillId="0" borderId="2" xfId="0" applyNumberFormat="1" applyFont="1" applyBorder="1" applyAlignment="1">
      <alignment vertical="center"/>
    </xf>
    <xf numFmtId="0" fontId="11" fillId="3" borderId="10" xfId="0" applyFont="1" applyFill="1" applyBorder="1" applyAlignment="1">
      <alignment horizontal="center" vertical="center" wrapText="1"/>
    </xf>
    <xf numFmtId="0" fontId="12" fillId="5" borderId="22" xfId="0" applyFont="1" applyFill="1" applyBorder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/>
    </xf>
    <xf numFmtId="0" fontId="20" fillId="0" borderId="0" xfId="3" applyFont="1" applyAlignment="1">
      <alignment horizontal="center" vertical="center" wrapText="1"/>
    </xf>
    <xf numFmtId="0" fontId="4" fillId="0" borderId="0" xfId="0" applyFont="1" applyAlignment="1">
      <alignment vertical="center"/>
    </xf>
    <xf numFmtId="0" fontId="23" fillId="0" borderId="23" xfId="0" applyFont="1" applyBorder="1" applyAlignment="1">
      <alignment horizontal="center" vertical="center" wrapText="1"/>
    </xf>
    <xf numFmtId="0" fontId="20" fillId="0" borderId="6" xfId="3" applyFont="1" applyBorder="1" applyAlignment="1">
      <alignment horizontal="center" vertical="center" wrapText="1"/>
    </xf>
    <xf numFmtId="0" fontId="20" fillId="0" borderId="21" xfId="3" applyFont="1" applyBorder="1" applyAlignment="1">
      <alignment horizontal="center" vertical="center" wrapText="1"/>
    </xf>
    <xf numFmtId="1" fontId="20" fillId="0" borderId="21" xfId="3" applyNumberFormat="1" applyFont="1" applyBorder="1" applyAlignment="1">
      <alignment horizontal="center" vertical="center" wrapText="1"/>
    </xf>
    <xf numFmtId="4" fontId="20" fillId="0" borderId="21" xfId="3" applyNumberFormat="1" applyFont="1" applyBorder="1" applyAlignment="1">
      <alignment horizontal="right" vertical="center" wrapText="1"/>
    </xf>
    <xf numFmtId="0" fontId="20" fillId="0" borderId="8" xfId="3" applyFont="1" applyBorder="1" applyAlignment="1">
      <alignment horizontal="right" vertical="center" wrapText="1"/>
    </xf>
    <xf numFmtId="0" fontId="20" fillId="0" borderId="0" xfId="3" applyFont="1" applyAlignment="1">
      <alignment vertical="center" wrapText="1"/>
    </xf>
    <xf numFmtId="0" fontId="20" fillId="0" borderId="0" xfId="3" applyFont="1" applyAlignment="1">
      <alignment vertical="center"/>
    </xf>
    <xf numFmtId="0" fontId="20" fillId="0" borderId="8" xfId="3" applyFont="1" applyBorder="1" applyAlignment="1">
      <alignment vertical="center" wrapText="1"/>
    </xf>
    <xf numFmtId="0" fontId="20" fillId="0" borderId="0" xfId="3" applyFont="1" applyAlignment="1">
      <alignment horizontal="center" vertical="center"/>
    </xf>
    <xf numFmtId="0" fontId="20" fillId="0" borderId="24" xfId="3" applyFont="1" applyBorder="1" applyAlignment="1">
      <alignment horizontal="center" vertical="center"/>
    </xf>
    <xf numFmtId="4" fontId="20" fillId="0" borderId="25" xfId="3" applyNumberFormat="1" applyFont="1" applyBorder="1" applyAlignment="1">
      <alignment vertical="center"/>
    </xf>
    <xf numFmtId="4" fontId="20" fillId="0" borderId="0" xfId="3" applyNumberFormat="1" applyFont="1" applyAlignment="1">
      <alignment vertical="center"/>
    </xf>
    <xf numFmtId="49" fontId="20" fillId="0" borderId="0" xfId="3" applyNumberFormat="1" applyFont="1" applyAlignment="1">
      <alignment vertical="center"/>
    </xf>
    <xf numFmtId="0" fontId="23" fillId="0" borderId="14" xfId="0" applyFont="1" applyBorder="1" applyAlignment="1">
      <alignment horizontal="center" vertical="center" wrapText="1"/>
    </xf>
    <xf numFmtId="0" fontId="24" fillId="12" borderId="26" xfId="3" applyFont="1" applyFill="1" applyBorder="1" applyAlignment="1">
      <alignment horizontal="center" vertical="center" wrapText="1"/>
    </xf>
    <xf numFmtId="0" fontId="20" fillId="0" borderId="21" xfId="3" applyFont="1" applyBorder="1" applyAlignment="1">
      <alignment horizontal="center" vertical="center"/>
    </xf>
    <xf numFmtId="0" fontId="20" fillId="0" borderId="21" xfId="3" applyFont="1" applyBorder="1"/>
    <xf numFmtId="0" fontId="20" fillId="0" borderId="21" xfId="3" applyFont="1" applyBorder="1" applyAlignment="1">
      <alignment vertical="center" wrapText="1"/>
    </xf>
    <xf numFmtId="4" fontId="20" fillId="0" borderId="21" xfId="3" applyNumberFormat="1" applyFont="1" applyBorder="1" applyAlignment="1">
      <alignment vertical="center"/>
    </xf>
    <xf numFmtId="0" fontId="20" fillId="0" borderId="8" xfId="3" applyFont="1" applyBorder="1" applyAlignment="1">
      <alignment horizontal="center" vertical="center" wrapText="1"/>
    </xf>
    <xf numFmtId="0" fontId="20" fillId="0" borderId="0" xfId="3" applyFont="1"/>
    <xf numFmtId="2" fontId="20" fillId="0" borderId="24" xfId="3" applyNumberFormat="1" applyFont="1" applyBorder="1" applyAlignment="1">
      <alignment horizontal="center" vertical="center"/>
    </xf>
    <xf numFmtId="0" fontId="23" fillId="0" borderId="5" xfId="3" applyFont="1" applyBorder="1" applyAlignment="1">
      <alignment horizontal="center" vertical="center" wrapText="1"/>
    </xf>
    <xf numFmtId="49" fontId="23" fillId="0" borderId="5" xfId="3" applyNumberFormat="1" applyFont="1" applyBorder="1" applyAlignment="1">
      <alignment horizontal="center" vertical="center" wrapText="1"/>
    </xf>
    <xf numFmtId="4" fontId="23" fillId="0" borderId="5" xfId="3" applyNumberFormat="1" applyFont="1" applyBorder="1" applyAlignment="1">
      <alignment horizontal="center" vertical="center" wrapText="1"/>
    </xf>
    <xf numFmtId="1" fontId="20" fillId="0" borderId="0" xfId="3" applyNumberFormat="1" applyFont="1" applyAlignment="1">
      <alignment horizontal="center" vertical="center" wrapText="1"/>
    </xf>
    <xf numFmtId="1" fontId="20" fillId="0" borderId="0" xfId="3" applyNumberFormat="1" applyFont="1" applyAlignment="1">
      <alignment vertical="center"/>
    </xf>
    <xf numFmtId="0" fontId="6" fillId="0" borderId="2" xfId="0" quotePrefix="1" applyFont="1" applyBorder="1" applyAlignment="1">
      <alignment horizontal="left" vertical="center" wrapText="1"/>
    </xf>
    <xf numFmtId="49" fontId="4" fillId="10" borderId="4" xfId="0" applyNumberFormat="1" applyFont="1" applyFill="1" applyBorder="1" applyAlignment="1">
      <alignment horizontal="center" vertical="center" wrapText="1"/>
    </xf>
    <xf numFmtId="49" fontId="6" fillId="0" borderId="2" xfId="0" quotePrefix="1" applyNumberFormat="1" applyFont="1" applyBorder="1" applyAlignment="1">
      <alignment horizontal="center" vertical="center" wrapText="1"/>
    </xf>
    <xf numFmtId="0" fontId="25" fillId="0" borderId="1" xfId="0" applyFont="1" applyBorder="1" applyAlignment="1">
      <alignment horizontal="center" vertical="center"/>
    </xf>
    <xf numFmtId="49" fontId="6" fillId="0" borderId="2" xfId="0" applyNumberFormat="1" applyFont="1" applyBorder="1" applyAlignment="1">
      <alignment horizontal="center" vertical="center" wrapText="1"/>
    </xf>
    <xf numFmtId="49" fontId="9" fillId="0" borderId="2" xfId="0" quotePrefix="1" applyNumberFormat="1" applyFont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vertical="center"/>
    </xf>
    <xf numFmtId="17" fontId="0" fillId="0" borderId="0" xfId="0" applyNumberFormat="1"/>
    <xf numFmtId="49" fontId="0" fillId="0" borderId="0" xfId="0" applyNumberFormat="1"/>
    <xf numFmtId="1" fontId="0" fillId="0" borderId="0" xfId="0" applyNumberFormat="1"/>
    <xf numFmtId="3" fontId="0" fillId="0" borderId="0" xfId="0" applyNumberFormat="1"/>
    <xf numFmtId="0" fontId="0" fillId="13" borderId="0" xfId="0" applyFill="1"/>
    <xf numFmtId="0" fontId="21" fillId="0" borderId="0" xfId="0" applyFont="1"/>
    <xf numFmtId="0" fontId="21" fillId="17" borderId="0" xfId="0" applyFont="1" applyFill="1"/>
    <xf numFmtId="17" fontId="21" fillId="17" borderId="0" xfId="0" applyNumberFormat="1" applyFont="1" applyFill="1"/>
    <xf numFmtId="0" fontId="0" fillId="0" borderId="0" xfId="0" applyAlignment="1">
      <alignment wrapText="1"/>
    </xf>
    <xf numFmtId="49" fontId="31" fillId="0" borderId="2" xfId="0" applyNumberFormat="1" applyFont="1" applyBorder="1" applyAlignment="1">
      <alignment horizontal="center" vertical="center" wrapText="1"/>
    </xf>
    <xf numFmtId="170" fontId="32" fillId="0" borderId="2" xfId="0" quotePrefix="1" applyNumberFormat="1" applyFont="1" applyBorder="1" applyAlignment="1">
      <alignment horizontal="center" vertical="center" wrapText="1"/>
    </xf>
    <xf numFmtId="49" fontId="32" fillId="0" borderId="12" xfId="0" quotePrefix="1" applyNumberFormat="1" applyFont="1" applyBorder="1" applyAlignment="1">
      <alignment horizontal="center" vertical="center" wrapText="1"/>
    </xf>
    <xf numFmtId="0" fontId="0" fillId="13" borderId="0" xfId="0" applyFill="1" applyAlignment="1">
      <alignment wrapText="1"/>
    </xf>
    <xf numFmtId="0" fontId="0" fillId="18" borderId="0" xfId="0" applyFill="1" applyAlignment="1">
      <alignment horizontal="center"/>
    </xf>
    <xf numFmtId="0" fontId="0" fillId="18" borderId="38" xfId="0" applyFill="1" applyBorder="1" applyAlignment="1">
      <alignment horizontal="center"/>
    </xf>
    <xf numFmtId="0" fontId="22" fillId="18" borderId="37" xfId="0" applyFont="1" applyFill="1" applyBorder="1" applyAlignment="1">
      <alignment vertical="center"/>
    </xf>
    <xf numFmtId="0" fontId="22" fillId="18" borderId="38" xfId="0" applyFont="1" applyFill="1" applyBorder="1" applyAlignment="1">
      <alignment horizontal="center" vertical="center"/>
    </xf>
    <xf numFmtId="0" fontId="28" fillId="18" borderId="0" xfId="0" applyFont="1" applyFill="1" applyAlignment="1">
      <alignment vertical="center"/>
    </xf>
    <xf numFmtId="0" fontId="28" fillId="18" borderId="38" xfId="0" applyFont="1" applyFill="1" applyBorder="1" applyAlignment="1">
      <alignment vertical="center"/>
    </xf>
    <xf numFmtId="3" fontId="29" fillId="18" borderId="0" xfId="0" applyNumberFormat="1" applyFont="1" applyFill="1" applyAlignment="1">
      <alignment vertical="center"/>
    </xf>
    <xf numFmtId="3" fontId="29" fillId="18" borderId="38" xfId="0" applyNumberFormat="1" applyFont="1" applyFill="1" applyBorder="1" applyAlignment="1">
      <alignment vertical="center"/>
    </xf>
    <xf numFmtId="0" fontId="0" fillId="18" borderId="39" xfId="0" applyFill="1" applyBorder="1" applyAlignment="1">
      <alignment horizontal="center"/>
    </xf>
    <xf numFmtId="0" fontId="0" fillId="18" borderId="40" xfId="0" applyFill="1" applyBorder="1" applyAlignment="1">
      <alignment horizontal="center"/>
    </xf>
    <xf numFmtId="0" fontId="0" fillId="18" borderId="41" xfId="0" applyFill="1" applyBorder="1" applyAlignment="1">
      <alignment horizontal="center"/>
    </xf>
    <xf numFmtId="0" fontId="0" fillId="18" borderId="37" xfId="0" applyFill="1" applyBorder="1"/>
    <xf numFmtId="0" fontId="0" fillId="18" borderId="0" xfId="0" applyFill="1"/>
    <xf numFmtId="0" fontId="0" fillId="18" borderId="38" xfId="0" applyFill="1" applyBorder="1"/>
    <xf numFmtId="0" fontId="37" fillId="18" borderId="0" xfId="0" applyFont="1" applyFill="1"/>
    <xf numFmtId="0" fontId="30" fillId="13" borderId="44" xfId="0" applyFont="1" applyFill="1" applyBorder="1" applyAlignment="1">
      <alignment horizontal="center" vertical="center"/>
    </xf>
    <xf numFmtId="169" fontId="4" fillId="15" borderId="80" xfId="0" applyNumberFormat="1" applyFont="1" applyFill="1" applyBorder="1" applyAlignment="1">
      <alignment horizontal="center"/>
    </xf>
    <xf numFmtId="169" fontId="4" fillId="15" borderId="81" xfId="0" applyNumberFormat="1" applyFont="1" applyFill="1" applyBorder="1" applyAlignment="1">
      <alignment horizontal="center"/>
    </xf>
    <xf numFmtId="166" fontId="4" fillId="15" borderId="27" xfId="0" applyNumberFormat="1" applyFont="1" applyFill="1" applyBorder="1" applyAlignment="1">
      <alignment horizontal="center"/>
    </xf>
    <xf numFmtId="166" fontId="4" fillId="15" borderId="48" xfId="0" applyNumberFormat="1" applyFont="1" applyFill="1" applyBorder="1" applyAlignment="1">
      <alignment horizontal="center"/>
    </xf>
    <xf numFmtId="0" fontId="38" fillId="16" borderId="84" xfId="0" applyFont="1" applyFill="1" applyBorder="1" applyAlignment="1">
      <alignment horizontal="center" vertical="center" wrapText="1"/>
    </xf>
    <xf numFmtId="17" fontId="38" fillId="16" borderId="83" xfId="0" applyNumberFormat="1" applyFont="1" applyFill="1" applyBorder="1" applyAlignment="1">
      <alignment horizontal="center" vertical="center" wrapText="1"/>
    </xf>
    <xf numFmtId="17" fontId="38" fillId="16" borderId="85" xfId="0" applyNumberFormat="1" applyFont="1" applyFill="1" applyBorder="1" applyAlignment="1">
      <alignment horizontal="center" vertical="center" wrapText="1"/>
    </xf>
    <xf numFmtId="167" fontId="4" fillId="15" borderId="80" xfId="0" applyNumberFormat="1" applyFont="1" applyFill="1" applyBorder="1" applyAlignment="1">
      <alignment horizontal="center" vertical="center"/>
    </xf>
    <xf numFmtId="0" fontId="4" fillId="15" borderId="80" xfId="0" applyFont="1" applyFill="1" applyBorder="1" applyAlignment="1">
      <alignment horizontal="center" vertical="center"/>
    </xf>
    <xf numFmtId="166" fontId="4" fillId="15" borderId="81" xfId="0" applyNumberFormat="1" applyFont="1" applyFill="1" applyBorder="1" applyAlignment="1">
      <alignment horizontal="center" vertical="center"/>
    </xf>
    <xf numFmtId="167" fontId="4" fillId="15" borderId="27" xfId="0" applyNumberFormat="1" applyFont="1" applyFill="1" applyBorder="1" applyAlignment="1">
      <alignment horizontal="center" vertical="center"/>
    </xf>
    <xf numFmtId="0" fontId="4" fillId="15" borderId="27" xfId="0" applyFont="1" applyFill="1" applyBorder="1" applyAlignment="1">
      <alignment horizontal="center" vertical="center"/>
    </xf>
    <xf numFmtId="168" fontId="4" fillId="15" borderId="27" xfId="0" applyNumberFormat="1" applyFont="1" applyFill="1" applyBorder="1" applyAlignment="1">
      <alignment horizontal="right" vertical="center"/>
    </xf>
    <xf numFmtId="166" fontId="4" fillId="15" borderId="48" xfId="0" applyNumberFormat="1" applyFont="1" applyFill="1" applyBorder="1" applyAlignment="1">
      <alignment horizontal="center" vertical="center"/>
    </xf>
    <xf numFmtId="166" fontId="6" fillId="15" borderId="48" xfId="0" applyNumberFormat="1" applyFont="1" applyFill="1" applyBorder="1" applyAlignment="1">
      <alignment horizontal="center" vertical="center"/>
    </xf>
    <xf numFmtId="0" fontId="42" fillId="15" borderId="79" xfId="0" applyFont="1" applyFill="1" applyBorder="1" applyAlignment="1">
      <alignment horizontal="center" vertical="center"/>
    </xf>
    <xf numFmtId="0" fontId="42" fillId="15" borderId="47" xfId="0" applyFont="1" applyFill="1" applyBorder="1" applyAlignment="1">
      <alignment horizontal="center" vertical="center"/>
    </xf>
    <xf numFmtId="168" fontId="42" fillId="15" borderId="80" xfId="0" applyNumberFormat="1" applyFont="1" applyFill="1" applyBorder="1" applyAlignment="1">
      <alignment horizontal="right" vertical="center"/>
    </xf>
    <xf numFmtId="168" fontId="42" fillId="15" borderId="27" xfId="0" applyNumberFormat="1" applyFont="1" applyFill="1" applyBorder="1" applyAlignment="1">
      <alignment horizontal="right" vertical="center"/>
    </xf>
    <xf numFmtId="0" fontId="42" fillId="19" borderId="47" xfId="0" applyFont="1" applyFill="1" applyBorder="1" applyAlignment="1">
      <alignment horizontal="center" vertical="center"/>
    </xf>
    <xf numFmtId="167" fontId="4" fillId="19" borderId="27" xfId="0" applyNumberFormat="1" applyFont="1" applyFill="1" applyBorder="1" applyAlignment="1">
      <alignment horizontal="center" vertical="center"/>
    </xf>
    <xf numFmtId="0" fontId="4" fillId="19" borderId="27" xfId="0" applyFont="1" applyFill="1" applyBorder="1" applyAlignment="1">
      <alignment horizontal="center" vertical="center"/>
    </xf>
    <xf numFmtId="168" fontId="42" fillId="19" borderId="27" xfId="0" applyNumberFormat="1" applyFont="1" applyFill="1" applyBorder="1" applyAlignment="1">
      <alignment horizontal="right" vertical="center"/>
    </xf>
    <xf numFmtId="166" fontId="4" fillId="19" borderId="48" xfId="0" applyNumberFormat="1" applyFont="1" applyFill="1" applyBorder="1" applyAlignment="1">
      <alignment horizontal="center" vertical="center"/>
    </xf>
    <xf numFmtId="0" fontId="38" fillId="16" borderId="83" xfId="0" applyFont="1" applyFill="1" applyBorder="1" applyAlignment="1">
      <alignment horizontal="center" vertical="center" wrapText="1"/>
    </xf>
    <xf numFmtId="0" fontId="38" fillId="16" borderId="85" xfId="0" applyFont="1" applyFill="1" applyBorder="1" applyAlignment="1">
      <alignment horizontal="center" vertical="center" wrapText="1"/>
    </xf>
    <xf numFmtId="0" fontId="42" fillId="19" borderId="49" xfId="0" applyFont="1" applyFill="1" applyBorder="1" applyAlignment="1">
      <alignment horizontal="center" vertical="center"/>
    </xf>
    <xf numFmtId="167" fontId="4" fillId="19" borderId="50" xfId="0" applyNumberFormat="1" applyFont="1" applyFill="1" applyBorder="1" applyAlignment="1">
      <alignment horizontal="center" vertical="center"/>
    </xf>
    <xf numFmtId="0" fontId="4" fillId="19" borderId="50" xfId="0" applyFont="1" applyFill="1" applyBorder="1" applyAlignment="1">
      <alignment horizontal="center" vertical="center"/>
    </xf>
    <xf numFmtId="168" fontId="42" fillId="19" borderId="50" xfId="0" applyNumberFormat="1" applyFont="1" applyFill="1" applyBorder="1" applyAlignment="1">
      <alignment horizontal="right" vertical="center"/>
    </xf>
    <xf numFmtId="166" fontId="4" fillId="19" borderId="51" xfId="0" applyNumberFormat="1" applyFont="1" applyFill="1" applyBorder="1" applyAlignment="1">
      <alignment horizontal="center" vertical="center"/>
    </xf>
    <xf numFmtId="166" fontId="4" fillId="15" borderId="27" xfId="0" applyNumberFormat="1" applyFont="1" applyFill="1" applyBorder="1" applyAlignment="1">
      <alignment horizontal="center" vertical="center"/>
    </xf>
    <xf numFmtId="0" fontId="42" fillId="15" borderId="47" xfId="0" applyFont="1" applyFill="1" applyBorder="1" applyAlignment="1">
      <alignment horizontal="left"/>
    </xf>
    <xf numFmtId="0" fontId="42" fillId="15" borderId="79" xfId="0" applyFont="1" applyFill="1" applyBorder="1" applyAlignment="1">
      <alignment horizontal="left" vertical="center"/>
    </xf>
    <xf numFmtId="0" fontId="42" fillId="15" borderId="47" xfId="0" applyFont="1" applyFill="1" applyBorder="1" applyAlignment="1">
      <alignment horizontal="left" vertical="center"/>
    </xf>
    <xf numFmtId="0" fontId="42" fillId="19" borderId="47" xfId="0" applyFont="1" applyFill="1" applyBorder="1" applyAlignment="1">
      <alignment horizontal="left" vertical="center"/>
    </xf>
    <xf numFmtId="169" fontId="4" fillId="19" borderId="27" xfId="0" applyNumberFormat="1" applyFont="1" applyFill="1" applyBorder="1" applyAlignment="1">
      <alignment horizontal="center"/>
    </xf>
    <xf numFmtId="169" fontId="4" fillId="19" borderId="48" xfId="0" applyNumberFormat="1" applyFont="1" applyFill="1" applyBorder="1" applyAlignment="1">
      <alignment horizontal="center"/>
    </xf>
    <xf numFmtId="0" fontId="42" fillId="19" borderId="47" xfId="0" applyFont="1" applyFill="1" applyBorder="1" applyAlignment="1">
      <alignment horizontal="left"/>
    </xf>
    <xf numFmtId="166" fontId="4" fillId="19" borderId="27" xfId="0" applyNumberFormat="1" applyFont="1" applyFill="1" applyBorder="1" applyAlignment="1">
      <alignment horizontal="center" vertical="center"/>
    </xf>
    <xf numFmtId="168" fontId="4" fillId="19" borderId="27" xfId="0" applyNumberFormat="1" applyFont="1" applyFill="1" applyBorder="1" applyAlignment="1">
      <alignment horizontal="right" vertical="center"/>
    </xf>
    <xf numFmtId="0" fontId="42" fillId="19" borderId="49" xfId="0" applyFont="1" applyFill="1" applyBorder="1" applyAlignment="1">
      <alignment horizontal="left" vertical="center"/>
    </xf>
    <xf numFmtId="167" fontId="4" fillId="19" borderId="50" xfId="0" applyNumberFormat="1" applyFont="1" applyFill="1" applyBorder="1" applyAlignment="1">
      <alignment horizontal="center"/>
    </xf>
    <xf numFmtId="167" fontId="4" fillId="19" borderId="51" xfId="0" applyNumberFormat="1" applyFont="1" applyFill="1" applyBorder="1" applyAlignment="1">
      <alignment horizontal="center"/>
    </xf>
    <xf numFmtId="0" fontId="42" fillId="20" borderId="88" xfId="0" applyFont="1" applyFill="1" applyBorder="1" applyAlignment="1">
      <alignment horizontal="center" vertical="center"/>
    </xf>
    <xf numFmtId="167" fontId="42" fillId="20" borderId="89" xfId="0" applyNumberFormat="1" applyFont="1" applyFill="1" applyBorder="1" applyAlignment="1">
      <alignment horizontal="center" vertical="center"/>
    </xf>
    <xf numFmtId="168" fontId="42" fillId="20" borderId="89" xfId="0" applyNumberFormat="1" applyFont="1" applyFill="1" applyBorder="1" applyAlignment="1">
      <alignment horizontal="right" vertical="center"/>
    </xf>
    <xf numFmtId="166" fontId="42" fillId="20" borderId="90" xfId="0" applyNumberFormat="1" applyFont="1" applyFill="1" applyBorder="1" applyAlignment="1">
      <alignment horizontal="center" vertical="center"/>
    </xf>
    <xf numFmtId="0" fontId="42" fillId="19" borderId="86" xfId="0" applyFont="1" applyFill="1" applyBorder="1" applyAlignment="1">
      <alignment horizontal="center" vertical="center"/>
    </xf>
    <xf numFmtId="167" fontId="4" fillId="19" borderId="82" xfId="0" applyNumberFormat="1" applyFont="1" applyFill="1" applyBorder="1" applyAlignment="1">
      <alignment horizontal="center" vertical="center"/>
    </xf>
    <xf numFmtId="168" fontId="4" fillId="19" borderId="82" xfId="0" applyNumberFormat="1" applyFont="1" applyFill="1" applyBorder="1" applyAlignment="1">
      <alignment horizontal="right" vertical="center"/>
    </xf>
    <xf numFmtId="166" fontId="4" fillId="19" borderId="87" xfId="0" applyNumberFormat="1" applyFont="1" applyFill="1" applyBorder="1" applyAlignment="1">
      <alignment horizontal="center" vertical="center"/>
    </xf>
    <xf numFmtId="166" fontId="42" fillId="20" borderId="89" xfId="0" applyNumberFormat="1" applyFont="1" applyFill="1" applyBorder="1" applyAlignment="1">
      <alignment horizontal="center" vertical="center"/>
    </xf>
    <xf numFmtId="0" fontId="45" fillId="0" borderId="0" xfId="0" applyFont="1"/>
    <xf numFmtId="0" fontId="46" fillId="0" borderId="0" xfId="0" applyFont="1"/>
    <xf numFmtId="0" fontId="44" fillId="18" borderId="0" xfId="0" applyFont="1" applyFill="1"/>
    <xf numFmtId="0" fontId="0" fillId="13" borderId="37" xfId="0" applyFill="1" applyBorder="1"/>
    <xf numFmtId="0" fontId="0" fillId="0" borderId="38" xfId="0" applyBorder="1"/>
    <xf numFmtId="165" fontId="0" fillId="0" borderId="0" xfId="0" applyNumberFormat="1" applyAlignment="1">
      <alignment vertical="center"/>
    </xf>
    <xf numFmtId="164" fontId="32" fillId="0" borderId="2" xfId="1" applyNumberFormat="1" applyFont="1" applyFill="1" applyBorder="1" applyAlignment="1">
      <alignment horizontal="center" vertical="center"/>
    </xf>
    <xf numFmtId="170" fontId="6" fillId="0" borderId="2" xfId="0" quotePrefix="1" applyNumberFormat="1" applyFont="1" applyBorder="1" applyAlignment="1">
      <alignment horizontal="center" vertical="center" wrapText="1"/>
    </xf>
    <xf numFmtId="49" fontId="48" fillId="0" borderId="2" xfId="0" applyNumberFormat="1" applyFont="1" applyBorder="1" applyAlignment="1">
      <alignment horizontal="center" vertical="center" wrapText="1"/>
    </xf>
    <xf numFmtId="49" fontId="6" fillId="0" borderId="12" xfId="0" quotePrefix="1" applyNumberFormat="1" applyFont="1" applyBorder="1" applyAlignment="1">
      <alignment horizontal="center" vertical="center" wrapText="1"/>
    </xf>
    <xf numFmtId="2" fontId="6" fillId="0" borderId="2" xfId="0" quotePrefix="1" applyNumberFormat="1" applyFont="1" applyBorder="1" applyAlignment="1">
      <alignment horizontal="center" vertical="center" wrapText="1"/>
    </xf>
    <xf numFmtId="1" fontId="6" fillId="0" borderId="2" xfId="0" quotePrefix="1" applyNumberFormat="1" applyFont="1" applyBorder="1" applyAlignment="1">
      <alignment horizontal="center" vertical="center" wrapText="1"/>
    </xf>
    <xf numFmtId="49" fontId="49" fillId="0" borderId="12" xfId="0" quotePrefix="1" applyNumberFormat="1" applyFont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49" fontId="31" fillId="0" borderId="2" xfId="0" quotePrefix="1" applyNumberFormat="1" applyFont="1" applyBorder="1" applyAlignment="1">
      <alignment horizontal="left" vertical="center" wrapText="1"/>
    </xf>
    <xf numFmtId="3" fontId="6" fillId="0" borderId="3" xfId="0" quotePrefix="1" applyNumberFormat="1" applyFont="1" applyBorder="1" applyAlignment="1">
      <alignment horizontal="center" vertical="center" wrapText="1"/>
    </xf>
    <xf numFmtId="168" fontId="0" fillId="0" borderId="0" xfId="0" applyNumberFormat="1"/>
    <xf numFmtId="167" fontId="0" fillId="0" borderId="0" xfId="0" applyNumberFormat="1"/>
    <xf numFmtId="0" fontId="4" fillId="19" borderId="82" xfId="0" applyFont="1" applyFill="1" applyBorder="1" applyAlignment="1">
      <alignment horizontal="center" vertical="center"/>
    </xf>
    <xf numFmtId="49" fontId="51" fillId="0" borderId="12" xfId="0" quotePrefix="1" applyNumberFormat="1" applyFont="1" applyBorder="1" applyAlignment="1">
      <alignment horizontal="center" vertical="center" wrapText="1"/>
    </xf>
    <xf numFmtId="49" fontId="15" fillId="0" borderId="12" xfId="0" quotePrefix="1" applyNumberFormat="1" applyFont="1" applyBorder="1" applyAlignment="1">
      <alignment horizontal="center" vertical="center" wrapText="1"/>
    </xf>
    <xf numFmtId="3" fontId="53" fillId="0" borderId="2" xfId="0" applyNumberFormat="1" applyFont="1" applyBorder="1" applyAlignment="1">
      <alignment horizontal="center" vertical="center" wrapText="1"/>
    </xf>
    <xf numFmtId="49" fontId="53" fillId="0" borderId="2" xfId="0" applyNumberFormat="1" applyFont="1" applyBorder="1" applyAlignment="1">
      <alignment horizontal="center" vertical="center" wrapText="1"/>
    </xf>
    <xf numFmtId="2" fontId="53" fillId="0" borderId="2" xfId="0" quotePrefix="1" applyNumberFormat="1" applyFont="1" applyBorder="1" applyAlignment="1">
      <alignment horizontal="center" vertical="center" wrapText="1"/>
    </xf>
    <xf numFmtId="170" fontId="51" fillId="0" borderId="2" xfId="0" quotePrefix="1" applyNumberFormat="1" applyFont="1" applyBorder="1" applyAlignment="1">
      <alignment horizontal="center" vertical="center" wrapText="1"/>
    </xf>
    <xf numFmtId="3" fontId="51" fillId="0" borderId="2" xfId="0" quotePrefix="1" applyNumberFormat="1" applyFont="1" applyBorder="1" applyAlignment="1">
      <alignment horizontal="center" vertical="center" wrapText="1"/>
    </xf>
    <xf numFmtId="49" fontId="53" fillId="0" borderId="2" xfId="0" quotePrefix="1" applyNumberFormat="1" applyFont="1" applyBorder="1" applyAlignment="1">
      <alignment horizontal="left" vertical="center" wrapText="1"/>
    </xf>
    <xf numFmtId="164" fontId="51" fillId="0" borderId="2" xfId="1" applyNumberFormat="1" applyFont="1" applyFill="1" applyBorder="1" applyAlignment="1">
      <alignment horizontal="center" vertical="center"/>
    </xf>
    <xf numFmtId="3" fontId="51" fillId="0" borderId="3" xfId="0" quotePrefix="1" applyNumberFormat="1" applyFont="1" applyBorder="1" applyAlignment="1">
      <alignment horizontal="center" vertical="center" wrapText="1"/>
    </xf>
    <xf numFmtId="1" fontId="53" fillId="0" borderId="2" xfId="0" quotePrefix="1" applyNumberFormat="1" applyFont="1" applyBorder="1" applyAlignment="1">
      <alignment horizontal="center" vertical="center" wrapText="1"/>
    </xf>
    <xf numFmtId="0" fontId="0" fillId="10" borderId="0" xfId="0" applyFill="1" applyAlignment="1">
      <alignment horizontal="center" vertical="center"/>
    </xf>
    <xf numFmtId="0" fontId="52" fillId="0" borderId="4" xfId="0" applyFont="1" applyBorder="1" applyAlignment="1">
      <alignment horizontal="center" vertical="center" wrapText="1"/>
    </xf>
    <xf numFmtId="0" fontId="16" fillId="0" borderId="4" xfId="0" applyFont="1" applyBorder="1" applyAlignment="1">
      <alignment horizontal="center" vertical="center" wrapText="1"/>
    </xf>
    <xf numFmtId="0" fontId="17" fillId="0" borderId="4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19" fillId="0" borderId="4" xfId="0" applyFont="1" applyBorder="1" applyAlignment="1">
      <alignment horizontal="center" vertical="center" wrapText="1"/>
    </xf>
    <xf numFmtId="0" fontId="47" fillId="0" borderId="4" xfId="0" applyFont="1" applyBorder="1" applyAlignment="1">
      <alignment horizontal="center" vertical="center" wrapText="1"/>
    </xf>
    <xf numFmtId="0" fontId="4" fillId="0" borderId="4" xfId="0" quotePrefix="1" applyFont="1" applyBorder="1" applyAlignment="1">
      <alignment horizontal="center" vertical="center" wrapText="1"/>
    </xf>
    <xf numFmtId="3" fontId="53" fillId="0" borderId="100" xfId="0" applyNumberFormat="1" applyFont="1" applyBorder="1" applyAlignment="1">
      <alignment horizontal="center" vertical="center" wrapText="1"/>
    </xf>
    <xf numFmtId="170" fontId="6" fillId="0" borderId="100" xfId="0" quotePrefix="1" applyNumberFormat="1" applyFont="1" applyBorder="1" applyAlignment="1">
      <alignment horizontal="center" vertical="center" wrapText="1"/>
    </xf>
    <xf numFmtId="3" fontId="6" fillId="0" borderId="100" xfId="0" quotePrefix="1" applyNumberFormat="1" applyFont="1" applyBorder="1" applyAlignment="1">
      <alignment horizontal="center" vertical="center" wrapText="1"/>
    </xf>
    <xf numFmtId="49" fontId="6" fillId="0" borderId="100" xfId="0" quotePrefix="1" applyNumberFormat="1" applyFont="1" applyBorder="1" applyAlignment="1">
      <alignment horizontal="center" vertical="center" wrapText="1"/>
    </xf>
    <xf numFmtId="49" fontId="51" fillId="0" borderId="101" xfId="0" quotePrefix="1" applyNumberFormat="1" applyFont="1" applyBorder="1" applyAlignment="1">
      <alignment horizontal="center" vertical="center" wrapText="1"/>
    </xf>
    <xf numFmtId="17" fontId="12" fillId="5" borderId="12" xfId="0" applyNumberFormat="1" applyFont="1" applyFill="1" applyBorder="1" applyAlignment="1">
      <alignment horizontal="center" vertical="center"/>
    </xf>
    <xf numFmtId="0" fontId="12" fillId="5" borderId="12" xfId="0" applyFont="1" applyFill="1" applyBorder="1" applyAlignment="1">
      <alignment horizontal="center" vertical="center"/>
    </xf>
    <xf numFmtId="0" fontId="13" fillId="8" borderId="1" xfId="0" applyFont="1" applyFill="1" applyBorder="1" applyAlignment="1">
      <alignment horizontal="center" vertical="center"/>
    </xf>
    <xf numFmtId="0" fontId="13" fillId="8" borderId="2" xfId="0" applyFont="1" applyFill="1" applyBorder="1" applyAlignment="1">
      <alignment horizontal="center" vertical="center"/>
    </xf>
    <xf numFmtId="17" fontId="12" fillId="4" borderId="12" xfId="0" applyNumberFormat="1" applyFont="1" applyFill="1" applyBorder="1" applyAlignment="1">
      <alignment horizontal="center" vertical="center"/>
    </xf>
    <xf numFmtId="0" fontId="12" fillId="4" borderId="12" xfId="0" applyFont="1" applyFill="1" applyBorder="1" applyAlignment="1">
      <alignment horizontal="center" vertical="center"/>
    </xf>
    <xf numFmtId="17" fontId="12" fillId="6" borderId="12" xfId="0" applyNumberFormat="1" applyFont="1" applyFill="1" applyBorder="1" applyAlignment="1">
      <alignment horizontal="center" vertical="center"/>
    </xf>
    <xf numFmtId="0" fontId="12" fillId="6" borderId="12" xfId="0" applyFont="1" applyFill="1" applyBorder="1" applyAlignment="1">
      <alignment horizontal="center" vertical="center"/>
    </xf>
    <xf numFmtId="17" fontId="12" fillId="7" borderId="12" xfId="0" applyNumberFormat="1" applyFont="1" applyFill="1" applyBorder="1" applyAlignment="1">
      <alignment horizontal="center" vertical="center"/>
    </xf>
    <xf numFmtId="0" fontId="12" fillId="7" borderId="12" xfId="0" applyFont="1" applyFill="1" applyBorder="1" applyAlignment="1">
      <alignment horizontal="center" vertical="center"/>
    </xf>
    <xf numFmtId="0" fontId="39" fillId="18" borderId="32" xfId="0" applyFont="1" applyFill="1" applyBorder="1" applyAlignment="1">
      <alignment horizontal="center" vertical="center"/>
    </xf>
    <xf numFmtId="0" fontId="39" fillId="18" borderId="33" xfId="0" applyFont="1" applyFill="1" applyBorder="1" applyAlignment="1">
      <alignment horizontal="center" vertical="center"/>
    </xf>
    <xf numFmtId="0" fontId="39" fillId="18" borderId="34" xfId="0" applyFont="1" applyFill="1" applyBorder="1" applyAlignment="1">
      <alignment horizontal="center" vertical="center"/>
    </xf>
    <xf numFmtId="0" fontId="36" fillId="14" borderId="74" xfId="0" applyFont="1" applyFill="1" applyBorder="1" applyAlignment="1">
      <alignment horizontal="center" vertical="center"/>
    </xf>
    <xf numFmtId="0" fontId="36" fillId="14" borderId="75" xfId="0" applyFont="1" applyFill="1" applyBorder="1" applyAlignment="1">
      <alignment horizontal="center" vertical="center"/>
    </xf>
    <xf numFmtId="0" fontId="36" fillId="14" borderId="76" xfId="0" applyFont="1" applyFill="1" applyBorder="1" applyAlignment="1">
      <alignment horizontal="center" vertical="center"/>
    </xf>
    <xf numFmtId="0" fontId="0" fillId="18" borderId="37" xfId="0" applyFill="1" applyBorder="1" applyAlignment="1">
      <alignment horizontal="center"/>
    </xf>
    <xf numFmtId="0" fontId="0" fillId="18" borderId="0" xfId="0" applyFill="1" applyAlignment="1">
      <alignment horizontal="center"/>
    </xf>
    <xf numFmtId="0" fontId="0" fillId="18" borderId="38" xfId="0" applyFill="1" applyBorder="1" applyAlignment="1">
      <alignment horizontal="center"/>
    </xf>
    <xf numFmtId="0" fontId="35" fillId="14" borderId="28" xfId="4" applyFont="1" applyFill="1" applyBorder="1" applyAlignment="1">
      <alignment horizontal="center" vertical="center"/>
    </xf>
    <xf numFmtId="0" fontId="35" fillId="14" borderId="36" xfId="4" applyFont="1" applyFill="1" applyBorder="1" applyAlignment="1">
      <alignment horizontal="center" vertical="center"/>
    </xf>
    <xf numFmtId="0" fontId="35" fillId="14" borderId="63" xfId="4" applyFont="1" applyFill="1" applyBorder="1" applyAlignment="1">
      <alignment horizontal="center" vertical="center"/>
    </xf>
    <xf numFmtId="0" fontId="35" fillId="14" borderId="65" xfId="4" applyFont="1" applyFill="1" applyBorder="1" applyAlignment="1">
      <alignment horizontal="center" vertical="center"/>
    </xf>
    <xf numFmtId="0" fontId="35" fillId="14" borderId="30" xfId="4" applyFont="1" applyFill="1" applyBorder="1" applyAlignment="1">
      <alignment horizontal="center" vertical="center"/>
    </xf>
    <xf numFmtId="0" fontId="35" fillId="14" borderId="31" xfId="4" applyFont="1" applyFill="1" applyBorder="1" applyAlignment="1">
      <alignment horizontal="center" vertical="center"/>
    </xf>
    <xf numFmtId="0" fontId="35" fillId="14" borderId="64" xfId="4" applyFont="1" applyFill="1" applyBorder="1" applyAlignment="1">
      <alignment horizontal="center" vertical="center"/>
    </xf>
    <xf numFmtId="0" fontId="35" fillId="14" borderId="52" xfId="4" applyFont="1" applyFill="1" applyBorder="1" applyAlignment="1">
      <alignment horizontal="center" vertical="center"/>
    </xf>
    <xf numFmtId="3" fontId="29" fillId="15" borderId="70" xfId="0" applyNumberFormat="1" applyFont="1" applyFill="1" applyBorder="1" applyAlignment="1">
      <alignment horizontal="center" vertical="center"/>
    </xf>
    <xf numFmtId="3" fontId="29" fillId="15" borderId="71" xfId="0" applyNumberFormat="1" applyFont="1" applyFill="1" applyBorder="1" applyAlignment="1">
      <alignment horizontal="center" vertical="center"/>
    </xf>
    <xf numFmtId="168" fontId="29" fillId="15" borderId="61" xfId="0" applyNumberFormat="1" applyFont="1" applyFill="1" applyBorder="1" applyAlignment="1">
      <alignment horizontal="center" vertical="center"/>
    </xf>
    <xf numFmtId="168" fontId="29" fillId="15" borderId="62" xfId="0" applyNumberFormat="1" applyFont="1" applyFill="1" applyBorder="1" applyAlignment="1">
      <alignment horizontal="center" vertical="center"/>
    </xf>
    <xf numFmtId="0" fontId="38" fillId="3" borderId="53" xfId="4" applyFont="1" applyFill="1" applyBorder="1" applyAlignment="1">
      <alignment horizontal="center" vertical="center"/>
    </xf>
    <xf numFmtId="0" fontId="38" fillId="3" borderId="54" xfId="4" applyFont="1" applyFill="1" applyBorder="1" applyAlignment="1">
      <alignment horizontal="center" vertical="center"/>
    </xf>
    <xf numFmtId="0" fontId="38" fillId="3" borderId="55" xfId="4" applyFont="1" applyFill="1" applyBorder="1" applyAlignment="1">
      <alignment horizontal="center" vertical="center"/>
    </xf>
    <xf numFmtId="0" fontId="38" fillId="3" borderId="56" xfId="4" applyFont="1" applyFill="1" applyBorder="1" applyAlignment="1">
      <alignment horizontal="center" vertical="center"/>
    </xf>
    <xf numFmtId="0" fontId="38" fillId="3" borderId="57" xfId="4" applyFont="1" applyFill="1" applyBorder="1" applyAlignment="1">
      <alignment horizontal="center" vertical="center"/>
    </xf>
    <xf numFmtId="0" fontId="38" fillId="3" borderId="58" xfId="4" applyFont="1" applyFill="1" applyBorder="1" applyAlignment="1">
      <alignment horizontal="center" vertical="center"/>
    </xf>
    <xf numFmtId="0" fontId="28" fillId="15" borderId="68" xfId="0" applyFont="1" applyFill="1" applyBorder="1" applyAlignment="1">
      <alignment horizontal="center" vertical="center"/>
    </xf>
    <xf numFmtId="0" fontId="28" fillId="15" borderId="69" xfId="0" applyFont="1" applyFill="1" applyBorder="1" applyAlignment="1">
      <alignment horizontal="center" vertical="center"/>
    </xf>
    <xf numFmtId="0" fontId="28" fillId="15" borderId="45" xfId="0" applyFont="1" applyFill="1" applyBorder="1" applyAlignment="1">
      <alignment horizontal="center" vertical="center"/>
    </xf>
    <xf numFmtId="0" fontId="28" fillId="15" borderId="46" xfId="0" applyFont="1" applyFill="1" applyBorder="1" applyAlignment="1">
      <alignment horizontal="center" vertical="center"/>
    </xf>
    <xf numFmtId="10" fontId="29" fillId="15" borderId="61" xfId="0" applyNumberFormat="1" applyFont="1" applyFill="1" applyBorder="1" applyAlignment="1">
      <alignment horizontal="center" vertical="center"/>
    </xf>
    <xf numFmtId="10" fontId="29" fillId="15" borderId="62" xfId="0" applyNumberFormat="1" applyFont="1" applyFill="1" applyBorder="1" applyAlignment="1">
      <alignment horizontal="center" vertical="center"/>
    </xf>
    <xf numFmtId="3" fontId="29" fillId="15" borderId="61" xfId="0" applyNumberFormat="1" applyFont="1" applyFill="1" applyBorder="1" applyAlignment="1">
      <alignment horizontal="center" vertical="center"/>
    </xf>
    <xf numFmtId="3" fontId="29" fillId="15" borderId="62" xfId="0" applyNumberFormat="1" applyFont="1" applyFill="1" applyBorder="1" applyAlignment="1">
      <alignment horizontal="center" vertical="center"/>
    </xf>
    <xf numFmtId="0" fontId="13" fillId="9" borderId="59" xfId="0" applyFont="1" applyFill="1" applyBorder="1" applyAlignment="1">
      <alignment horizontal="center" vertical="center"/>
    </xf>
    <xf numFmtId="0" fontId="13" fillId="9" borderId="60" xfId="0" applyFont="1" applyFill="1" applyBorder="1" applyAlignment="1">
      <alignment horizontal="center" vertical="center"/>
    </xf>
    <xf numFmtId="0" fontId="35" fillId="3" borderId="35" xfId="4" applyFont="1" applyFill="1" applyBorder="1" applyAlignment="1">
      <alignment horizontal="right" vertical="center"/>
    </xf>
    <xf numFmtId="0" fontId="35" fillId="3" borderId="28" xfId="4" applyFont="1" applyFill="1" applyBorder="1" applyAlignment="1">
      <alignment horizontal="right" vertical="center"/>
    </xf>
    <xf numFmtId="0" fontId="34" fillId="13" borderId="72" xfId="0" applyFont="1" applyFill="1" applyBorder="1" applyAlignment="1">
      <alignment horizontal="right" vertical="center"/>
    </xf>
    <xf numFmtId="0" fontId="34" fillId="13" borderId="73" xfId="0" applyFont="1" applyFill="1" applyBorder="1" applyAlignment="1">
      <alignment horizontal="right" vertical="center"/>
    </xf>
    <xf numFmtId="0" fontId="34" fillId="13" borderId="66" xfId="0" applyFont="1" applyFill="1" applyBorder="1" applyAlignment="1">
      <alignment horizontal="center" vertical="center"/>
    </xf>
    <xf numFmtId="0" fontId="34" fillId="13" borderId="67" xfId="0" applyFont="1" applyFill="1" applyBorder="1" applyAlignment="1">
      <alignment horizontal="center" vertical="center"/>
    </xf>
    <xf numFmtId="0" fontId="43" fillId="15" borderId="96" xfId="0" applyFont="1" applyFill="1" applyBorder="1" applyAlignment="1">
      <alignment horizontal="left" vertical="center" wrapText="1"/>
    </xf>
    <xf numFmtId="0" fontId="43" fillId="15" borderId="0" xfId="0" applyFont="1" applyFill="1" applyAlignment="1">
      <alignment horizontal="left" vertical="center" wrapText="1"/>
    </xf>
    <xf numFmtId="0" fontId="43" fillId="15" borderId="95" xfId="0" applyFont="1" applyFill="1" applyBorder="1" applyAlignment="1">
      <alignment horizontal="left" vertical="center" wrapText="1"/>
    </xf>
    <xf numFmtId="0" fontId="43" fillId="19" borderId="96" xfId="0" applyFont="1" applyFill="1" applyBorder="1" applyAlignment="1">
      <alignment horizontal="left" vertical="center" wrapText="1"/>
    </xf>
    <xf numFmtId="0" fontId="43" fillId="19" borderId="0" xfId="0" applyFont="1" applyFill="1" applyAlignment="1">
      <alignment horizontal="left" vertical="center" wrapText="1"/>
    </xf>
    <xf numFmtId="0" fontId="43" fillId="19" borderId="95" xfId="0" applyFont="1" applyFill="1" applyBorder="1" applyAlignment="1">
      <alignment horizontal="left" vertical="center" wrapText="1"/>
    </xf>
    <xf numFmtId="0" fontId="43" fillId="19" borderId="61" xfId="0" applyFont="1" applyFill="1" applyBorder="1" applyAlignment="1">
      <alignment horizontal="left" vertical="center" wrapText="1"/>
    </xf>
    <xf numFmtId="0" fontId="43" fillId="19" borderId="97" xfId="0" applyFont="1" applyFill="1" applyBorder="1" applyAlignment="1">
      <alignment horizontal="left" vertical="center" wrapText="1"/>
    </xf>
    <xf numFmtId="0" fontId="43" fillId="19" borderId="98" xfId="0" applyFont="1" applyFill="1" applyBorder="1" applyAlignment="1">
      <alignment horizontal="left" vertical="center" wrapText="1"/>
    </xf>
    <xf numFmtId="0" fontId="36" fillId="14" borderId="77" xfId="0" applyFont="1" applyFill="1" applyBorder="1" applyAlignment="1">
      <alignment horizontal="center" vertical="center"/>
    </xf>
    <xf numFmtId="0" fontId="36" fillId="14" borderId="78" xfId="0" applyFont="1" applyFill="1" applyBorder="1" applyAlignment="1">
      <alignment horizontal="center" vertical="center"/>
    </xf>
    <xf numFmtId="0" fontId="36" fillId="14" borderId="99" xfId="0" applyFont="1" applyFill="1" applyBorder="1" applyAlignment="1">
      <alignment horizontal="center" vertical="center"/>
    </xf>
    <xf numFmtId="0" fontId="40" fillId="14" borderId="91" xfId="0" applyFont="1" applyFill="1" applyBorder="1" applyAlignment="1">
      <alignment horizontal="center" vertical="center"/>
    </xf>
    <xf numFmtId="0" fontId="40" fillId="14" borderId="92" xfId="0" applyFont="1" applyFill="1" applyBorder="1" applyAlignment="1">
      <alignment horizontal="center" vertical="center"/>
    </xf>
    <xf numFmtId="0" fontId="40" fillId="14" borderId="93" xfId="0" applyFont="1" applyFill="1" applyBorder="1" applyAlignment="1">
      <alignment horizontal="center" vertical="center"/>
    </xf>
    <xf numFmtId="0" fontId="38" fillId="16" borderId="96" xfId="0" applyFont="1" applyFill="1" applyBorder="1" applyAlignment="1">
      <alignment horizontal="center" vertical="center" wrapText="1"/>
    </xf>
    <xf numFmtId="0" fontId="38" fillId="16" borderId="0" xfId="0" applyFont="1" applyFill="1" applyAlignment="1">
      <alignment horizontal="center" vertical="center" wrapText="1"/>
    </xf>
    <xf numFmtId="0" fontId="38" fillId="16" borderId="94" xfId="0" applyFont="1" applyFill="1" applyBorder="1" applyAlignment="1">
      <alignment horizontal="center" vertical="center" wrapText="1"/>
    </xf>
    <xf numFmtId="0" fontId="15" fillId="15" borderId="96" xfId="0" applyFont="1" applyFill="1" applyBorder="1" applyAlignment="1">
      <alignment horizontal="left" vertical="center" wrapText="1"/>
    </xf>
    <xf numFmtId="0" fontId="15" fillId="15" borderId="0" xfId="0" applyFont="1" applyFill="1" applyAlignment="1">
      <alignment horizontal="left" vertical="center" wrapText="1"/>
    </xf>
    <xf numFmtId="0" fontId="15" fillId="15" borderId="95" xfId="0" applyFont="1" applyFill="1" applyBorder="1" applyAlignment="1">
      <alignment horizontal="left" vertical="center" wrapText="1"/>
    </xf>
    <xf numFmtId="0" fontId="0" fillId="18" borderId="42" xfId="0" applyFill="1" applyBorder="1" applyAlignment="1">
      <alignment horizontal="center"/>
    </xf>
    <xf numFmtId="0" fontId="0" fillId="18" borderId="29" xfId="0" applyFill="1" applyBorder="1" applyAlignment="1">
      <alignment horizontal="center"/>
    </xf>
    <xf numFmtId="0" fontId="0" fillId="18" borderId="43" xfId="0" applyFill="1" applyBorder="1" applyAlignment="1">
      <alignment horizontal="center"/>
    </xf>
    <xf numFmtId="0" fontId="41" fillId="14" borderId="91" xfId="0" applyFont="1" applyFill="1" applyBorder="1" applyAlignment="1">
      <alignment horizontal="center" vertical="center"/>
    </xf>
    <xf numFmtId="0" fontId="41" fillId="14" borderId="92" xfId="0" applyFont="1" applyFill="1" applyBorder="1" applyAlignment="1">
      <alignment horizontal="center" vertical="center"/>
    </xf>
    <xf numFmtId="0" fontId="41" fillId="14" borderId="93" xfId="0" applyFont="1" applyFill="1" applyBorder="1" applyAlignment="1">
      <alignment horizontal="center" vertical="center"/>
    </xf>
    <xf numFmtId="0" fontId="42" fillId="20" borderId="88" xfId="0" applyFont="1" applyFill="1" applyBorder="1" applyAlignment="1">
      <alignment horizontal="center" vertical="center"/>
    </xf>
    <xf numFmtId="0" fontId="42" fillId="20" borderId="89" xfId="0" applyFont="1" applyFill="1" applyBorder="1" applyAlignment="1">
      <alignment horizontal="center" vertical="center"/>
    </xf>
    <xf numFmtId="0" fontId="0" fillId="18" borderId="39" xfId="0" applyFill="1" applyBorder="1" applyAlignment="1">
      <alignment horizontal="center"/>
    </xf>
    <xf numFmtId="0" fontId="0" fillId="18" borderId="40" xfId="0" applyFill="1" applyBorder="1" applyAlignment="1">
      <alignment horizontal="center"/>
    </xf>
    <xf numFmtId="0" fontId="0" fillId="18" borderId="41" xfId="0" applyFill="1" applyBorder="1" applyAlignment="1">
      <alignment horizontal="center"/>
    </xf>
    <xf numFmtId="0" fontId="26" fillId="9" borderId="17" xfId="0" applyFont="1" applyFill="1" applyBorder="1" applyAlignment="1">
      <alignment horizontal="center" vertical="center" wrapText="1"/>
    </xf>
    <xf numFmtId="0" fontId="26" fillId="9" borderId="18" xfId="0" applyFont="1" applyFill="1" applyBorder="1" applyAlignment="1">
      <alignment horizontal="center" vertical="center" wrapText="1"/>
    </xf>
    <xf numFmtId="0" fontId="26" fillId="9" borderId="19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2" fillId="11" borderId="4" xfId="0" applyFont="1" applyFill="1" applyBorder="1" applyAlignment="1">
      <alignment horizontal="center" vertical="center"/>
    </xf>
    <xf numFmtId="0" fontId="12" fillId="11" borderId="0" xfId="0" applyFont="1" applyFill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 wrapText="1"/>
    </xf>
    <xf numFmtId="49" fontId="0" fillId="0" borderId="2" xfId="0" applyNumberFormat="1" applyFont="1" applyBorder="1" applyAlignment="1">
      <alignment horizontal="center" vertical="center"/>
    </xf>
    <xf numFmtId="49" fontId="53" fillId="0" borderId="100" xfId="0" applyNumberFormat="1" applyFont="1" applyBorder="1" applyAlignment="1">
      <alignment horizontal="center" vertical="center" wrapText="1"/>
    </xf>
    <xf numFmtId="170" fontId="51" fillId="0" borderId="100" xfId="0" quotePrefix="1" applyNumberFormat="1" applyFont="1" applyBorder="1" applyAlignment="1">
      <alignment horizontal="center" vertical="center" wrapText="1"/>
    </xf>
    <xf numFmtId="49" fontId="53" fillId="0" borderId="100" xfId="0" quotePrefix="1" applyNumberFormat="1" applyFont="1" applyBorder="1" applyAlignment="1">
      <alignment horizontal="left" vertical="center" wrapText="1"/>
    </xf>
    <xf numFmtId="164" fontId="51" fillId="0" borderId="100" xfId="1" applyNumberFormat="1" applyFont="1" applyFill="1" applyBorder="1" applyAlignment="1">
      <alignment horizontal="center" vertical="center"/>
    </xf>
    <xf numFmtId="3" fontId="51" fillId="0" borderId="102" xfId="0" quotePrefix="1" applyNumberFormat="1" applyFont="1" applyBorder="1" applyAlignment="1">
      <alignment horizontal="center" vertical="center" wrapText="1"/>
    </xf>
    <xf numFmtId="0" fontId="0" fillId="0" borderId="103" xfId="0" applyBorder="1" applyAlignment="1">
      <alignment horizontal="center" vertical="center"/>
    </xf>
    <xf numFmtId="165" fontId="0" fillId="0" borderId="103" xfId="0" applyNumberFormat="1" applyBorder="1" applyAlignment="1">
      <alignment vertical="center"/>
    </xf>
    <xf numFmtId="165" fontId="21" fillId="0" borderId="103" xfId="0" applyNumberFormat="1" applyFont="1" applyBorder="1" applyAlignment="1">
      <alignment vertical="center"/>
    </xf>
    <xf numFmtId="10" fontId="21" fillId="0" borderId="103" xfId="0" applyNumberFormat="1" applyFont="1" applyBorder="1" applyAlignment="1">
      <alignment vertical="center"/>
    </xf>
    <xf numFmtId="49" fontId="0" fillId="0" borderId="103" xfId="0" applyNumberFormat="1" applyFont="1" applyBorder="1" applyAlignment="1">
      <alignment horizontal="center" vertical="center"/>
    </xf>
    <xf numFmtId="165" fontId="0" fillId="0" borderId="13" xfId="0" applyNumberFormat="1" applyBorder="1" applyAlignment="1">
      <alignment horizontal="right" vertical="center"/>
    </xf>
    <xf numFmtId="0" fontId="0" fillId="0" borderId="104" xfId="0" applyBorder="1" applyAlignment="1">
      <alignment horizontal="center" vertical="center"/>
    </xf>
    <xf numFmtId="3" fontId="0" fillId="0" borderId="105" xfId="0" applyNumberFormat="1" applyBorder="1" applyAlignment="1">
      <alignment horizontal="center" vertical="center"/>
    </xf>
    <xf numFmtId="0" fontId="0" fillId="0" borderId="106" xfId="0" applyBorder="1" applyAlignment="1">
      <alignment horizontal="center" vertical="center"/>
    </xf>
    <xf numFmtId="0" fontId="0" fillId="0" borderId="107" xfId="0" applyBorder="1" applyAlignment="1">
      <alignment horizontal="center" vertical="center"/>
    </xf>
    <xf numFmtId="165" fontId="0" fillId="0" borderId="107" xfId="0" applyNumberFormat="1" applyBorder="1" applyAlignment="1">
      <alignment vertical="center"/>
    </xf>
    <xf numFmtId="165" fontId="21" fillId="0" borderId="107" xfId="0" applyNumberFormat="1" applyFont="1" applyBorder="1" applyAlignment="1">
      <alignment vertical="center"/>
    </xf>
    <xf numFmtId="10" fontId="21" fillId="0" borderId="107" xfId="0" applyNumberFormat="1" applyFont="1" applyBorder="1" applyAlignment="1">
      <alignment vertical="center"/>
    </xf>
    <xf numFmtId="49" fontId="0" fillId="0" borderId="107" xfId="0" applyNumberFormat="1" applyFont="1" applyBorder="1" applyAlignment="1">
      <alignment horizontal="center" vertical="center"/>
    </xf>
    <xf numFmtId="165" fontId="0" fillId="0" borderId="106" xfId="0" applyNumberFormat="1" applyBorder="1" applyAlignment="1">
      <alignment horizontal="right" vertical="center"/>
    </xf>
    <xf numFmtId="0" fontId="0" fillId="0" borderId="108" xfId="0" applyBorder="1" applyAlignment="1">
      <alignment horizontal="center" vertical="center"/>
    </xf>
    <xf numFmtId="0" fontId="0" fillId="0" borderId="40" xfId="0" applyBorder="1"/>
    <xf numFmtId="1" fontId="53" fillId="0" borderId="100" xfId="0" quotePrefix="1" applyNumberFormat="1" applyFont="1" applyBorder="1" applyAlignment="1">
      <alignment horizontal="center" vertical="center" wrapText="1"/>
    </xf>
    <xf numFmtId="2" fontId="6" fillId="0" borderId="100" xfId="0" quotePrefix="1" applyNumberFormat="1" applyFont="1" applyBorder="1" applyAlignment="1">
      <alignment horizontal="center" vertical="center" wrapText="1"/>
    </xf>
  </cellXfs>
  <cellStyles count="5">
    <cellStyle name="Hiperlink" xfId="4" builtinId="8"/>
    <cellStyle name="Moeda" xfId="1" builtinId="4"/>
    <cellStyle name="Normal" xfId="0" builtinId="0"/>
    <cellStyle name="Normal 2" xfId="2" xr:uid="{DACA4F86-7166-42FB-ACB3-E059ED3C5FB2}"/>
    <cellStyle name="Normal 9" xfId="3" xr:uid="{16CCAB0D-F153-4658-8D1F-5E2AB536490E}"/>
  </cellStyles>
  <dxfs count="199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FFFFFF"/>
      </font>
      <fill>
        <patternFill patternType="solid">
          <fgColor indexed="64"/>
          <bgColor rgb="FFED7D31"/>
        </patternFill>
      </fill>
    </dxf>
    <dxf>
      <font>
        <color rgb="FFFFFFFF"/>
      </font>
      <fill>
        <patternFill patternType="solid">
          <fgColor indexed="64"/>
          <bgColor rgb="FFED7D31"/>
        </patternFill>
      </fill>
    </dxf>
    <dxf>
      <font>
        <color rgb="FFFFFFFF"/>
      </font>
      <fill>
        <patternFill patternType="solid">
          <fgColor indexed="64"/>
          <bgColor rgb="FF7030A0"/>
        </patternFill>
      </fill>
    </dxf>
    <dxf>
      <font>
        <color rgb="FF000000"/>
      </font>
      <fill>
        <patternFill patternType="solid">
          <fgColor indexed="64"/>
          <bgColor rgb="FFFFFFFF"/>
        </patternFill>
      </fill>
    </dxf>
    <dxf>
      <fill>
        <patternFill>
          <fgColor rgb="FF00B0F0"/>
          <bgColor rgb="FF00B0F0"/>
        </patternFill>
      </fill>
    </dxf>
    <dxf>
      <fill>
        <patternFill>
          <fgColor rgb="FF92D050"/>
          <bgColor rgb="FF92D050"/>
        </patternFill>
      </fill>
    </dxf>
    <dxf>
      <fill>
        <patternFill>
          <fgColor rgb="FFFFFF00"/>
          <bgColor rgb="FFFFFF00"/>
        </patternFill>
      </fill>
    </dxf>
    <dxf>
      <fill>
        <patternFill>
          <fgColor rgb="FFFF0000"/>
          <bgColor rgb="FFFF0000"/>
        </patternFill>
      </fill>
    </dxf>
    <dxf>
      <font>
        <color rgb="FFFFFFFF"/>
      </font>
      <fill>
        <patternFill patternType="solid">
          <fgColor indexed="64"/>
          <bgColor rgb="FF7030A0"/>
        </patternFill>
      </fill>
    </dxf>
    <dxf>
      <font>
        <color rgb="FF000000"/>
      </font>
      <fill>
        <patternFill patternType="solid">
          <fgColor indexed="64"/>
          <bgColor rgb="FFFFFFFF"/>
        </patternFill>
      </fill>
    </dxf>
    <dxf>
      <fill>
        <patternFill>
          <fgColor rgb="FF00B0F0"/>
          <bgColor rgb="FF00B0F0"/>
        </patternFill>
      </fill>
    </dxf>
    <dxf>
      <fill>
        <patternFill>
          <fgColor rgb="FF92D050"/>
          <bgColor rgb="FF92D050"/>
        </patternFill>
      </fill>
    </dxf>
    <dxf>
      <fill>
        <patternFill>
          <fgColor rgb="FFFFFF00"/>
          <bgColor rgb="FFFFFF00"/>
        </patternFill>
      </fill>
    </dxf>
    <dxf>
      <fill>
        <patternFill>
          <fgColor rgb="FFFF0000"/>
          <bgColor rgb="FFFF0000"/>
        </patternFill>
      </fill>
    </dxf>
    <dxf>
      <font>
        <color rgb="FFFFFFFF"/>
      </font>
      <fill>
        <patternFill patternType="solid">
          <fgColor indexed="64"/>
          <bgColor rgb="FFED7D31"/>
        </patternFill>
      </fill>
    </dxf>
    <dxf>
      <font>
        <color rgb="FFFFFFFF"/>
      </font>
      <fill>
        <patternFill patternType="solid">
          <fgColor indexed="64"/>
          <bgColor rgb="FF7030A0"/>
        </patternFill>
      </fill>
    </dxf>
    <dxf>
      <font>
        <color rgb="FF000000"/>
      </font>
      <fill>
        <patternFill patternType="solid">
          <fgColor indexed="64"/>
          <bgColor rgb="FFFFFFFF"/>
        </patternFill>
      </fill>
    </dxf>
    <dxf>
      <fill>
        <patternFill>
          <fgColor rgb="FF00B0F0"/>
          <bgColor rgb="FF00B0F0"/>
        </patternFill>
      </fill>
    </dxf>
    <dxf>
      <fill>
        <patternFill>
          <fgColor rgb="FF92D050"/>
          <bgColor rgb="FF92D050"/>
        </patternFill>
      </fill>
    </dxf>
    <dxf>
      <fill>
        <patternFill>
          <fgColor rgb="FFFFFF00"/>
          <bgColor rgb="FFFFFF00"/>
        </patternFill>
      </fill>
    </dxf>
    <dxf>
      <fill>
        <patternFill>
          <fgColor rgb="FFFF0000"/>
          <bgColor rgb="FFFF0000"/>
        </patternFill>
      </fill>
    </dxf>
    <dxf>
      <font>
        <color rgb="FFFFFFFF"/>
      </font>
      <fill>
        <patternFill patternType="solid">
          <fgColor indexed="64"/>
          <bgColor rgb="FFED7D31"/>
        </patternFill>
      </fill>
    </dxf>
    <dxf>
      <font>
        <color rgb="FFFFFFFF"/>
      </font>
      <fill>
        <patternFill patternType="solid">
          <fgColor indexed="64"/>
          <bgColor rgb="FF7030A0"/>
        </patternFill>
      </fill>
    </dxf>
    <dxf>
      <font>
        <color rgb="FF000000"/>
      </font>
      <fill>
        <patternFill patternType="solid">
          <fgColor indexed="64"/>
          <bgColor rgb="FFFFFFFF"/>
        </patternFill>
      </fill>
    </dxf>
    <dxf>
      <fill>
        <patternFill>
          <fgColor rgb="FF00B0F0"/>
          <bgColor rgb="FF00B0F0"/>
        </patternFill>
      </fill>
    </dxf>
    <dxf>
      <fill>
        <patternFill>
          <fgColor rgb="FF92D050"/>
          <bgColor rgb="FF92D050"/>
        </patternFill>
      </fill>
    </dxf>
    <dxf>
      <fill>
        <patternFill>
          <fgColor rgb="FFFFFF00"/>
          <bgColor rgb="FFFFFF00"/>
        </patternFill>
      </fill>
    </dxf>
    <dxf>
      <fill>
        <patternFill>
          <fgColor rgb="FFFF0000"/>
          <bgColor rgb="FFFF0000"/>
        </patternFill>
      </fill>
    </dxf>
    <dxf>
      <font>
        <color rgb="FFFFFFFF"/>
      </font>
      <fill>
        <patternFill patternType="solid">
          <fgColor indexed="64"/>
          <bgColor rgb="FFED7D31"/>
        </patternFill>
      </fill>
    </dxf>
    <dxf>
      <font>
        <color rgb="FFFFFFFF"/>
      </font>
      <fill>
        <patternFill patternType="solid">
          <fgColor indexed="64"/>
          <bgColor rgb="FF7030A0"/>
        </patternFill>
      </fill>
    </dxf>
    <dxf>
      <font>
        <color rgb="FF000000"/>
      </font>
      <fill>
        <patternFill patternType="solid">
          <fgColor indexed="64"/>
          <bgColor rgb="FFFFFFFF"/>
        </patternFill>
      </fill>
    </dxf>
    <dxf>
      <fill>
        <patternFill>
          <fgColor rgb="FF00B0F0"/>
          <bgColor rgb="FF00B0F0"/>
        </patternFill>
      </fill>
    </dxf>
    <dxf>
      <fill>
        <patternFill>
          <fgColor rgb="FF92D050"/>
          <bgColor rgb="FF92D050"/>
        </patternFill>
      </fill>
    </dxf>
    <dxf>
      <fill>
        <patternFill>
          <fgColor rgb="FFFFFF00"/>
          <bgColor rgb="FFFFFF00"/>
        </patternFill>
      </fill>
    </dxf>
    <dxf>
      <fill>
        <patternFill>
          <fgColor rgb="FFFF0000"/>
          <bgColor rgb="FFFF0000"/>
        </patternFill>
      </fill>
    </dxf>
    <dxf>
      <font>
        <color rgb="FFFFFFFF"/>
      </font>
      <fill>
        <patternFill patternType="solid">
          <fgColor indexed="64"/>
          <bgColor rgb="FFED7D31"/>
        </patternFill>
      </fill>
    </dxf>
    <dxf>
      <font>
        <color rgb="FFFFFFFF"/>
      </font>
      <fill>
        <patternFill patternType="solid">
          <fgColor indexed="64"/>
          <bgColor rgb="FF7030A0"/>
        </patternFill>
      </fill>
    </dxf>
    <dxf>
      <font>
        <color rgb="FF000000"/>
      </font>
      <fill>
        <patternFill patternType="solid">
          <fgColor indexed="64"/>
          <bgColor rgb="FFFFFFFF"/>
        </patternFill>
      </fill>
    </dxf>
    <dxf>
      <fill>
        <patternFill>
          <fgColor rgb="FF00B0F0"/>
          <bgColor rgb="FF00B0F0"/>
        </patternFill>
      </fill>
    </dxf>
    <dxf>
      <fill>
        <patternFill>
          <fgColor rgb="FF92D050"/>
          <bgColor rgb="FF92D050"/>
        </patternFill>
      </fill>
    </dxf>
    <dxf>
      <fill>
        <patternFill>
          <fgColor rgb="FFFFFF00"/>
          <bgColor rgb="FFFFFF00"/>
        </patternFill>
      </fill>
    </dxf>
    <dxf>
      <fill>
        <patternFill>
          <fgColor rgb="FFFF0000"/>
          <bgColor rgb="FFFF0000"/>
        </patternFill>
      </fill>
    </dxf>
    <dxf>
      <font>
        <color rgb="FFFFFFFF"/>
      </font>
      <fill>
        <patternFill patternType="solid">
          <fgColor indexed="64"/>
          <bgColor rgb="FFED7D31"/>
        </patternFill>
      </fill>
    </dxf>
    <dxf>
      <font>
        <color rgb="FFFFFFFF"/>
      </font>
      <fill>
        <patternFill patternType="solid">
          <fgColor indexed="64"/>
          <bgColor rgb="FF7030A0"/>
        </patternFill>
      </fill>
    </dxf>
    <dxf>
      <font>
        <color rgb="FF000000"/>
      </font>
      <fill>
        <patternFill patternType="solid">
          <fgColor indexed="64"/>
          <bgColor rgb="FFFFFFFF"/>
        </patternFill>
      </fill>
    </dxf>
    <dxf>
      <fill>
        <patternFill>
          <fgColor rgb="FF00B0F0"/>
          <bgColor rgb="FF00B0F0"/>
        </patternFill>
      </fill>
    </dxf>
    <dxf>
      <fill>
        <patternFill>
          <fgColor rgb="FF92D050"/>
          <bgColor rgb="FF92D050"/>
        </patternFill>
      </fill>
    </dxf>
    <dxf>
      <fill>
        <patternFill>
          <fgColor rgb="FFFFFF00"/>
          <bgColor rgb="FFFFFF00"/>
        </patternFill>
      </fill>
    </dxf>
    <dxf>
      <fill>
        <patternFill>
          <fgColor rgb="FFFF0000"/>
          <bgColor rgb="FFFF0000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/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none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4" formatCode="#,##0.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4" formatCode="#,##0.00"/>
      <alignment horizontal="right" vertical="center" textRotation="0" wrapText="1" indent="0" justifyLastLine="0" shrinkToFit="0" readingOrder="0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left" vertical="center" textRotation="0" wrapText="1" indent="0" justifyLastLine="0" shrinkToFit="0" readingOrder="0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left" vertical="center" textRotation="0" wrapText="1" indent="0" justifyLastLine="0" shrinkToFit="0" readingOrder="0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auto="1"/>
        <name val="Times New Roman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Times New Roman"/>
      </font>
      <numFmt numFmtId="3" formatCode="#,##0"/>
      <alignment wrapText="1"/>
      <border>
        <right style="thin">
          <color indexed="64"/>
        </right>
      </border>
    </dxf>
    <dxf>
      <font>
        <color auto="1"/>
        <name val="Times New Roman"/>
      </font>
      <numFmt numFmtId="164" formatCode="_-[$R$-416]\ * #,##0.00_-;\-[$R$-416]\ * #,##0.00_-;_-[$R$-416]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30" formatCode="@"/>
      <alignment horizontal="left" vertical="center" textRotation="0" wrapText="1" indent="0" justifyLastLine="0" shrinkToFit="0" readingOrder="0"/>
    </dxf>
    <dxf>
      <font>
        <color auto="1"/>
        <name val="Times New Roman"/>
        <family val="1"/>
      </font>
      <numFmt numFmtId="3" formatCode="#,##0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color auto="1"/>
        <name val="Times New Roman"/>
      </font>
      <numFmt numFmtId="170" formatCode="m/d/yyyy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1" formatCode="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border outline="0">
        <top style="thin">
          <color rgb="FF000000"/>
        </top>
      </border>
    </dxf>
    <dxf>
      <font>
        <name val="Times New Roman"/>
      </font>
      <alignment wrapText="1"/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auto="1"/>
        <name val="Times New Roman"/>
        <scheme val="none"/>
      </font>
      <fill>
        <patternFill patternType="solid">
          <fgColor indexed="64"/>
          <bgColor theme="3" tint="0.39997558519241921"/>
        </patternFill>
      </fill>
      <alignment horizontal="center" vertical="center" wrapText="1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auto="1"/>
        <name val="Times New Roman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Times New Roman"/>
      </font>
      <numFmt numFmtId="3" formatCode="#,##0"/>
      <alignment wrapText="1"/>
      <border>
        <right style="thin">
          <color indexed="64"/>
        </right>
      </border>
    </dxf>
    <dxf>
      <font>
        <color auto="1"/>
        <name val="Times New Roman"/>
      </font>
      <numFmt numFmtId="164" formatCode="_-[$R$-416]\ * #,##0.00_-;\-[$R$-416]\ * #,##0.00_-;_-[$R$-416]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30" formatCode="@"/>
      <alignment horizontal="left" vertical="center" textRotation="0" wrapText="1" indent="0" justifyLastLine="0" shrinkToFit="0" readingOrder="0"/>
    </dxf>
    <dxf>
      <font>
        <color auto="1"/>
        <name val="Times New Roman"/>
        <family val="1"/>
      </font>
      <numFmt numFmtId="3" formatCode="#,##0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color auto="1"/>
        <name val="Times New Roman"/>
      </font>
      <numFmt numFmtId="170" formatCode="m/d/yyyy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1" formatCode="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border outline="0">
        <top style="thin">
          <color rgb="FF000000"/>
        </top>
      </border>
    </dxf>
    <dxf>
      <font>
        <name val="Times New Roman"/>
      </font>
      <alignment wrapText="1"/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auto="1"/>
        <name val="Times New Roman"/>
        <scheme val="none"/>
      </font>
      <fill>
        <patternFill patternType="solid">
          <fgColor indexed="64"/>
          <bgColor theme="3" tint="0.39997558519241921"/>
        </patternFill>
      </fill>
      <alignment horizontal="center" vertical="center" wrapText="1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auto="1"/>
        <name val="Times New Roman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Times New Roman"/>
      </font>
      <numFmt numFmtId="3" formatCode="#,##0"/>
      <alignment wrapText="1"/>
      <border>
        <right style="thin">
          <color indexed="64"/>
        </right>
      </border>
    </dxf>
    <dxf>
      <font>
        <color auto="1"/>
        <name val="Times New Roman"/>
      </font>
      <numFmt numFmtId="164" formatCode="_-[$R$-416]\ * #,##0.00_-;\-[$R$-416]\ * #,##0.00_-;_-[$R$-416]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30" formatCode="@"/>
      <alignment horizontal="left" vertical="center" textRotation="0" wrapText="1" indent="0" justifyLastLine="0" shrinkToFit="0" readingOrder="0"/>
    </dxf>
    <dxf>
      <font>
        <color auto="1"/>
        <name val="Times New Roman"/>
        <family val="1"/>
      </font>
      <numFmt numFmtId="3" formatCode="#,##0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color auto="1"/>
        <name val="Times New Roman"/>
      </font>
      <numFmt numFmtId="170" formatCode="m/d/yyyy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1" formatCode="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border outline="0">
        <top style="thin">
          <color rgb="FF000000"/>
        </top>
      </border>
    </dxf>
    <dxf>
      <font>
        <name val="Times New Roman"/>
      </font>
      <alignment wrapText="1"/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auto="1"/>
        <name val="Times New Roman"/>
        <scheme val="none"/>
      </font>
      <fill>
        <patternFill patternType="solid">
          <fgColor indexed="64"/>
          <bgColor theme="3" tint="0.39997558519241921"/>
        </patternFill>
      </fill>
      <alignment horizontal="center" vertical="center" wrapText="1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auto="1"/>
        <name val="Times New Roman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Times New Roman"/>
      </font>
      <numFmt numFmtId="3" formatCode="#,##0"/>
      <alignment wrapText="1"/>
      <border>
        <right style="thin">
          <color indexed="64"/>
        </right>
      </border>
    </dxf>
    <dxf>
      <font>
        <color auto="1"/>
        <name val="Times New Roman"/>
      </font>
      <numFmt numFmtId="164" formatCode="_-[$R$-416]\ * #,##0.00_-;\-[$R$-416]\ * #,##0.00_-;_-[$R$-416]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30" formatCode="@"/>
      <alignment horizontal="left" vertical="center" textRotation="0" wrapText="1" indent="0" justifyLastLine="0" shrinkToFit="0" readingOrder="0"/>
    </dxf>
    <dxf>
      <font>
        <color auto="1"/>
        <name val="Times New Roman"/>
        <family val="1"/>
      </font>
      <numFmt numFmtId="3" formatCode="#,##0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color auto="1"/>
        <name val="Times New Roman"/>
      </font>
      <numFmt numFmtId="170" formatCode="m/d/yyyy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1" formatCode="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border outline="0">
        <top style="thin">
          <color rgb="FF000000"/>
        </top>
      </border>
    </dxf>
    <dxf>
      <font>
        <name val="Times New Roman"/>
      </font>
      <alignment wrapText="1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Times New Roman"/>
        <scheme val="none"/>
      </font>
      <fill>
        <patternFill patternType="solid">
          <fgColor indexed="64"/>
          <bgColor theme="3" tint="0.39997558519241921"/>
        </patternFill>
      </fill>
      <alignment horizontal="center" vertical="center" wrapText="1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auto="1"/>
        <name val="Times New Roman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Times New Roman"/>
      </font>
      <numFmt numFmtId="3" formatCode="#,##0"/>
      <alignment wrapText="1"/>
      <border>
        <right style="thin">
          <color indexed="64"/>
        </right>
      </border>
    </dxf>
    <dxf>
      <font>
        <color auto="1"/>
        <name val="Times New Roman"/>
      </font>
      <numFmt numFmtId="164" formatCode="_-[$R$-416]\ * #,##0.00_-;\-[$R$-416]\ * #,##0.00_-;_-[$R$-416]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30" formatCode="@"/>
      <alignment horizontal="left" vertical="center" textRotation="0" wrapText="1" indent="0" justifyLastLine="0" shrinkToFit="0" readingOrder="0"/>
    </dxf>
    <dxf>
      <font>
        <color auto="1"/>
        <name val="Times New Roman"/>
        <family val="1"/>
      </font>
      <numFmt numFmtId="3" formatCode="#,##0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170" formatCode="m/d/yyyy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color auto="1"/>
        <name val="Times New Roman"/>
      </font>
      <numFmt numFmtId="170" formatCode="m/d/yyyy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2" formatCode="0.0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border outline="0">
        <top style="thin">
          <color rgb="FF000000"/>
        </top>
      </border>
    </dxf>
    <dxf>
      <font>
        <name val="Times New Roman"/>
      </font>
      <alignment wrapText="1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Times New Roman"/>
        <scheme val="none"/>
      </font>
      <fill>
        <patternFill patternType="solid">
          <fgColor indexed="64"/>
          <bgColor theme="3" tint="0.39997558519241921"/>
        </patternFill>
      </fill>
      <alignment horizontal="center" vertical="center" wrapText="1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auto="1"/>
        <name val="Times New Roman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Times New Roman"/>
      </font>
      <alignment wrapText="1"/>
      <border outline="0">
        <right style="thin">
          <color indexed="64"/>
        </right>
      </border>
    </dxf>
    <dxf>
      <font>
        <color auto="1"/>
        <name val="Times New Roman"/>
      </font>
      <numFmt numFmtId="164" formatCode="_-[$R$-416]\ * #,##0.00_-;\-[$R$-416]\ * #,##0.00_-;_-[$R$-416]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30" formatCode="@"/>
      <alignment horizontal="left" vertical="center" textRotation="0" wrapText="1" indent="0" justifyLastLine="0" shrinkToFit="0" readingOrder="0"/>
    </dxf>
    <dxf>
      <font>
        <color auto="1"/>
        <name val="Times New Roman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color auto="1"/>
        <name val="Times New Roman"/>
      </font>
      <numFmt numFmtId="170" formatCode="m/d/yyyy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2" formatCode="0.0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minor"/>
      </font>
      <numFmt numFmtId="3" formatCode="#,##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border outline="0">
        <top style="thin">
          <color rgb="FF000000"/>
        </top>
      </border>
    </dxf>
    <dxf>
      <font>
        <name val="Times New Roman"/>
      </font>
      <alignment wrapText="1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auto="1"/>
        <name val="Times New Roman"/>
        <scheme val="none"/>
      </font>
      <fill>
        <patternFill patternType="solid">
          <fgColor indexed="64"/>
          <bgColor theme="3" tint="0.39997558519241921"/>
        </patternFill>
      </fill>
      <alignment horizontal="center" vertical="center" wrapText="1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lang="en-US" sz="2500" b="1" i="0" u="none" strike="noStrike" kern="1200" baseline="0">
                <a:solidFill>
                  <a:srgbClr val="1F4E79"/>
                </a:solidFill>
                <a:latin typeface="Times New Roman" panose="02020603050405020304" pitchFamily="18" charset="0"/>
                <a:ea typeface="Calibri"/>
                <a:cs typeface="Times New Roman" panose="02020603050405020304" pitchFamily="18" charset="0"/>
              </a:defRPr>
            </a:pPr>
            <a:r>
              <a:rPr lang="en-US" sz="2500" b="1" i="0" u="none" strike="noStrike" kern="1200" baseline="0">
                <a:solidFill>
                  <a:srgbClr val="1F4E79"/>
                </a:solidFill>
                <a:latin typeface="Times New Roman" panose="02020603050405020304" pitchFamily="18" charset="0"/>
                <a:ea typeface="Calibri"/>
                <a:cs typeface="Times New Roman" panose="02020603050405020304" pitchFamily="18" charset="0"/>
              </a:rPr>
              <a:t>VALOR PREVISTO x MEDIDO </a:t>
            </a:r>
          </a:p>
          <a:p>
            <a:pPr algn="ctr" rtl="0">
              <a:defRPr lang="en-US" sz="2500" b="1" i="0" u="none" strike="noStrike" kern="1200" baseline="0">
                <a:solidFill>
                  <a:srgbClr val="1F4E79"/>
                </a:solidFill>
                <a:latin typeface="Times New Roman" panose="02020603050405020304" pitchFamily="18" charset="0"/>
                <a:ea typeface="Calibri"/>
                <a:cs typeface="Times New Roman" panose="02020603050405020304" pitchFamily="18" charset="0"/>
              </a:defRPr>
            </a:pPr>
            <a:r>
              <a:rPr lang="en-US" sz="2500" b="1" i="0" u="none" strike="noStrike" kern="1200" baseline="0">
                <a:solidFill>
                  <a:srgbClr val="1F4E79"/>
                </a:solidFill>
                <a:latin typeface="Times New Roman" panose="02020603050405020304" pitchFamily="18" charset="0"/>
                <a:ea typeface="Calibri"/>
                <a:cs typeface="Times New Roman" panose="02020603050405020304" pitchFamily="18" charset="0"/>
              </a:rPr>
              <a:t>POR REGIÃO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DETALHAMENTO!$S$71</c:f>
              <c:strCache>
                <c:ptCount val="1"/>
                <c:pt idx="0">
                  <c:v>Valor Previsto</c:v>
                </c:pt>
              </c:strCache>
            </c:strRef>
          </c:tx>
          <c:invertIfNegative val="0"/>
          <c:cat>
            <c:strRef>
              <c:f>DETALHAMENTO!$R$72:$R$77</c:f>
              <c:strCache>
                <c:ptCount val="6"/>
                <c:pt idx="0">
                  <c:v>R01</c:v>
                </c:pt>
                <c:pt idx="1">
                  <c:v>R02</c:v>
                </c:pt>
                <c:pt idx="2">
                  <c:v>R03</c:v>
                </c:pt>
                <c:pt idx="3">
                  <c:v>R14</c:v>
                </c:pt>
                <c:pt idx="4">
                  <c:v>R15</c:v>
                </c:pt>
                <c:pt idx="5">
                  <c:v>R16</c:v>
                </c:pt>
              </c:strCache>
            </c:strRef>
          </c:cat>
          <c:val>
            <c:numRef>
              <c:f>DETALHAMENTO!$S$72:$S$77</c:f>
              <c:numCache>
                <c:formatCode>"R$"\ #,##0.00;\("R$"\ #,##0.00\);"-"</c:formatCode>
                <c:ptCount val="6"/>
                <c:pt idx="0">
                  <c:v>5168218.2699999986</c:v>
                </c:pt>
                <c:pt idx="1">
                  <c:v>12018363.759999996</c:v>
                </c:pt>
                <c:pt idx="2">
                  <c:v>13276294.289999999</c:v>
                </c:pt>
                <c:pt idx="3">
                  <c:v>20475389.840000004</c:v>
                </c:pt>
                <c:pt idx="4">
                  <c:v>4007975.34</c:v>
                </c:pt>
                <c:pt idx="5">
                  <c:v>33676239.579999998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3D-467E-ABFA-3D669207B4E1}"/>
            </c:ext>
          </c:extLst>
        </c:ser>
        <c:ser>
          <c:idx val="1"/>
          <c:order val="1"/>
          <c:tx>
            <c:strRef>
              <c:f>DETALHAMENTO!$T$71</c:f>
              <c:strCache>
                <c:ptCount val="1"/>
                <c:pt idx="0">
                  <c:v>Total Medido</c:v>
                </c:pt>
              </c:strCache>
            </c:strRef>
          </c:tx>
          <c:invertIfNegative val="0"/>
          <c:cat>
            <c:strRef>
              <c:f>DETALHAMENTO!$R$72:$R$77</c:f>
              <c:strCache>
                <c:ptCount val="6"/>
                <c:pt idx="0">
                  <c:v>R01</c:v>
                </c:pt>
                <c:pt idx="1">
                  <c:v>R02</c:v>
                </c:pt>
                <c:pt idx="2">
                  <c:v>R03</c:v>
                </c:pt>
                <c:pt idx="3">
                  <c:v>R14</c:v>
                </c:pt>
                <c:pt idx="4">
                  <c:v>R15</c:v>
                </c:pt>
                <c:pt idx="5">
                  <c:v>R16</c:v>
                </c:pt>
              </c:strCache>
            </c:strRef>
          </c:cat>
          <c:val>
            <c:numRef>
              <c:f>DETALHAMENTO!$T$72:$T$77</c:f>
              <c:numCache>
                <c:formatCode>"R$"\ #,##0.00;\("R$"\ #,##0.00\);"-"</c:formatCode>
                <c:ptCount val="6"/>
                <c:pt idx="0">
                  <c:v>4433694.2499999991</c:v>
                </c:pt>
                <c:pt idx="1">
                  <c:v>7159532.0000000019</c:v>
                </c:pt>
                <c:pt idx="2">
                  <c:v>7870365.6799999997</c:v>
                </c:pt>
                <c:pt idx="3">
                  <c:v>9017477.6600000001</c:v>
                </c:pt>
                <c:pt idx="4">
                  <c:v>2877414.09</c:v>
                </c:pt>
                <c:pt idx="5">
                  <c:v>31498579.789999999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3D-467E-ABFA-3D669207B4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24"/>
        <c:axId val="806045407"/>
        <c:axId val="509474447"/>
      </c:barChart>
      <c:catAx>
        <c:axId val="8060454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>
                <a:solidFill>
                  <a:srgbClr val="404040"/>
                </a:solidFill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pt-BR"/>
          </a:p>
        </c:txPr>
        <c:crossAx val="509474447"/>
        <c:crosses val="autoZero"/>
        <c:auto val="1"/>
        <c:lblAlgn val="ctr"/>
        <c:lblOffset val="100"/>
        <c:noMultiLvlLbl val="0"/>
      </c:catAx>
      <c:valAx>
        <c:axId val="509474447"/>
        <c:scaling>
          <c:orientation val="minMax"/>
        </c:scaling>
        <c:delete val="0"/>
        <c:axPos val="l"/>
        <c:majorGridlines/>
        <c:numFmt formatCode="&quot;R$ &quot;#,##0.0,,&quot; M&quot;" sourceLinked="0"/>
        <c:majorTickMark val="none"/>
        <c:minorTickMark val="none"/>
        <c:tickLblPos val="nextTo"/>
        <c:txPr>
          <a:bodyPr/>
          <a:lstStyle/>
          <a:p>
            <a:pPr>
              <a:defRPr sz="1200">
                <a:solidFill>
                  <a:srgbClr val="595959"/>
                </a:solidFill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pt-BR"/>
          </a:p>
        </c:txPr>
        <c:crossAx val="806045407"/>
        <c:crosses val="autoZero"/>
        <c:crossBetween val="between"/>
      </c:valAx>
      <c:spPr>
        <a:solidFill>
          <a:schemeClr val="bg1">
            <a:lumMod val="85000"/>
          </a:schemeClr>
        </a:solidFill>
      </c:spPr>
    </c:plotArea>
    <c:legend>
      <c:legendPos val="t"/>
      <c:overlay val="0"/>
      <c:txPr>
        <a:bodyPr/>
        <a:lstStyle/>
        <a:p>
          <a:pPr>
            <a:defRPr sz="1500">
              <a:solidFill>
                <a:srgbClr val="404040"/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tx2">
        <a:lumMod val="20000"/>
        <a:lumOff val="80000"/>
      </a:schemeClr>
    </a:solidFill>
    <a:ln w="12700">
      <a:solidFill>
        <a:srgbClr val="D9D9D9"/>
      </a:solidFill>
      <a:prstDash val="solid"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lang="en-US" sz="2500" b="1" i="0" u="none" strike="noStrike" kern="1200" baseline="0">
                <a:solidFill>
                  <a:srgbClr val="1F4E79"/>
                </a:solidFill>
                <a:latin typeface="Times New Roman" panose="02020603050405020304" pitchFamily="18" charset="0"/>
                <a:ea typeface="Calibri"/>
                <a:cs typeface="Times New Roman" panose="02020603050405020304" pitchFamily="18" charset="0"/>
              </a:defRPr>
            </a:pPr>
            <a:r>
              <a:rPr lang="en-US" sz="2500" b="1" i="0" u="none" strike="noStrike" kern="1200" baseline="0">
                <a:solidFill>
                  <a:srgbClr val="1F4E79"/>
                </a:solidFill>
                <a:latin typeface="Times New Roman" panose="02020603050405020304" pitchFamily="18" charset="0"/>
                <a:ea typeface="Calibri"/>
                <a:cs typeface="Times New Roman" panose="02020603050405020304" pitchFamily="18" charset="0"/>
              </a:rPr>
              <a:t>EVOLUÇÃO MENSAL</a:t>
            </a:r>
          </a:p>
          <a:p>
            <a:pPr algn="ctr" rtl="0">
              <a:defRPr lang="en-US" sz="2500" b="1" i="0" u="none" strike="noStrike" kern="1200" baseline="0">
                <a:solidFill>
                  <a:srgbClr val="1F4E79"/>
                </a:solidFill>
                <a:latin typeface="Times New Roman" panose="02020603050405020304" pitchFamily="18" charset="0"/>
                <a:ea typeface="Calibri"/>
                <a:cs typeface="Times New Roman" panose="02020603050405020304" pitchFamily="18" charset="0"/>
              </a:defRPr>
            </a:pPr>
            <a:r>
              <a:rPr lang="en-US" sz="2500" b="1" i="0" u="none" strike="noStrike" kern="1200" baseline="0">
                <a:solidFill>
                  <a:srgbClr val="1F4E79"/>
                </a:solidFill>
                <a:latin typeface="Times New Roman" panose="02020603050405020304" pitchFamily="18" charset="0"/>
                <a:ea typeface="Calibri"/>
                <a:cs typeface="Times New Roman" panose="02020603050405020304" pitchFamily="18" charset="0"/>
              </a:rPr>
              <a:t>MEDIDO NO MÊS x ACUMULADO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DETALHAMENTO!$S$80</c:f>
              <c:strCache>
                <c:ptCount val="1"/>
                <c:pt idx="0">
                  <c:v>Medido no mês</c:v>
                </c:pt>
              </c:strCache>
            </c:strRef>
          </c:tx>
          <c:invertIfNegative val="0"/>
          <c:cat>
            <c:strRef>
              <c:f>DETALHAMENTO!$R$81:$R$92</c:f>
              <c:strCache>
                <c:ptCount val="12"/>
                <c:pt idx="0">
                  <c:v>jan/26</c:v>
                </c:pt>
                <c:pt idx="1">
                  <c:v>fev/26</c:v>
                </c:pt>
                <c:pt idx="2">
                  <c:v>mar/26</c:v>
                </c:pt>
                <c:pt idx="3">
                  <c:v>abr/26</c:v>
                </c:pt>
                <c:pt idx="4">
                  <c:v>mai/26</c:v>
                </c:pt>
                <c:pt idx="5">
                  <c:v>jun/26</c:v>
                </c:pt>
                <c:pt idx="6">
                  <c:v>jul/26</c:v>
                </c:pt>
                <c:pt idx="7">
                  <c:v>ago/26</c:v>
                </c:pt>
                <c:pt idx="8">
                  <c:v>set/26</c:v>
                </c:pt>
                <c:pt idx="9">
                  <c:v>out/26</c:v>
                </c:pt>
                <c:pt idx="10">
                  <c:v>nov/26</c:v>
                </c:pt>
                <c:pt idx="11">
                  <c:v>dez/26</c:v>
                </c:pt>
              </c:strCache>
            </c:strRef>
          </c:cat>
          <c:val>
            <c:numRef>
              <c:f>DETALHAMENTO!$S$81:$S$92</c:f>
              <c:numCache>
                <c:formatCode>General</c:formatCode>
                <c:ptCount val="12"/>
                <c:pt idx="0">
                  <c:v>3534915.7199999997</c:v>
                </c:pt>
                <c:pt idx="1">
                  <c:v>2981245.91</c:v>
                </c:pt>
                <c:pt idx="2">
                  <c:v>3402627.2600000002</c:v>
                </c:pt>
                <c:pt idx="3">
                  <c:v>10882185.16</c:v>
                </c:pt>
                <c:pt idx="4">
                  <c:v>17981314.699999999</c:v>
                </c:pt>
                <c:pt idx="5">
                  <c:v>15396883.77</c:v>
                </c:pt>
                <c:pt idx="6">
                  <c:v>3801023.8</c:v>
                </c:pt>
                <c:pt idx="7">
                  <c:v>4876867.1500000004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D7-4B5B-96DC-8003F5BCD3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27"/>
        <c:axId val="805924303"/>
        <c:axId val="509449967"/>
      </c:barChart>
      <c:lineChart>
        <c:grouping val="standard"/>
        <c:varyColors val="0"/>
        <c:ser>
          <c:idx val="1"/>
          <c:order val="1"/>
          <c:tx>
            <c:strRef>
              <c:f>DETALHAMENTO!$T$80</c:f>
              <c:strCache>
                <c:ptCount val="1"/>
                <c:pt idx="0">
                  <c:v>Acumulado</c:v>
                </c:pt>
              </c:strCache>
            </c:strRef>
          </c:tx>
          <c:marker>
            <c:symbol val="circle"/>
            <c:size val="6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cat>
            <c:strRef>
              <c:f>DETALHAMENTO!$R$81:$R$92</c:f>
              <c:strCache>
                <c:ptCount val="12"/>
                <c:pt idx="0">
                  <c:v>jan/26</c:v>
                </c:pt>
                <c:pt idx="1">
                  <c:v>fev/26</c:v>
                </c:pt>
                <c:pt idx="2">
                  <c:v>mar/26</c:v>
                </c:pt>
                <c:pt idx="3">
                  <c:v>abr/26</c:v>
                </c:pt>
                <c:pt idx="4">
                  <c:v>mai/26</c:v>
                </c:pt>
                <c:pt idx="5">
                  <c:v>jun/26</c:v>
                </c:pt>
                <c:pt idx="6">
                  <c:v>jul/26</c:v>
                </c:pt>
                <c:pt idx="7">
                  <c:v>ago/26</c:v>
                </c:pt>
                <c:pt idx="8">
                  <c:v>set/26</c:v>
                </c:pt>
                <c:pt idx="9">
                  <c:v>out/26</c:v>
                </c:pt>
                <c:pt idx="10">
                  <c:v>nov/26</c:v>
                </c:pt>
                <c:pt idx="11">
                  <c:v>dez/26</c:v>
                </c:pt>
              </c:strCache>
            </c:strRef>
          </c:cat>
          <c:val>
            <c:numRef>
              <c:f>DETALHAMENTO!$T$81:$T$92</c:f>
              <c:numCache>
                <c:formatCode>General</c:formatCode>
                <c:ptCount val="12"/>
                <c:pt idx="0">
                  <c:v>3534915.7199999997</c:v>
                </c:pt>
                <c:pt idx="1">
                  <c:v>6516161.6299999999</c:v>
                </c:pt>
                <c:pt idx="2">
                  <c:v>9918788.8900000006</c:v>
                </c:pt>
                <c:pt idx="3">
                  <c:v>20800974.050000001</c:v>
                </c:pt>
                <c:pt idx="4">
                  <c:v>38782288.75</c:v>
                </c:pt>
                <c:pt idx="5">
                  <c:v>54179172.519999996</c:v>
                </c:pt>
                <c:pt idx="6">
                  <c:v>57980196.319999993</c:v>
                </c:pt>
                <c:pt idx="7">
                  <c:v>62857063.469999991</c:v>
                </c:pt>
                <c:pt idx="8">
                  <c:v>62857063.469999991</c:v>
                </c:pt>
                <c:pt idx="9">
                  <c:v>62857063.469999991</c:v>
                </c:pt>
                <c:pt idx="10">
                  <c:v>62857063.469999991</c:v>
                </c:pt>
                <c:pt idx="11">
                  <c:v>62857063.469999991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D7-4B5B-96DC-8003F5BCD3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6006895"/>
        <c:axId val="509438927"/>
      </c:lineChart>
      <c:catAx>
        <c:axId val="8059243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>
                <a:solidFill>
                  <a:srgbClr val="404040"/>
                </a:solidFill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pt-BR"/>
          </a:p>
        </c:txPr>
        <c:crossAx val="509449967"/>
        <c:crosses val="autoZero"/>
        <c:auto val="1"/>
        <c:lblAlgn val="ctr"/>
        <c:lblOffset val="100"/>
        <c:noMultiLvlLbl val="0"/>
      </c:catAx>
      <c:valAx>
        <c:axId val="509449967"/>
        <c:scaling>
          <c:orientation val="minMax"/>
        </c:scaling>
        <c:delete val="0"/>
        <c:axPos val="l"/>
        <c:majorGridlines/>
        <c:numFmt formatCode="&quot;R$ &quot;#,##0.0,,&quot; M&quot;" sourceLinked="0"/>
        <c:majorTickMark val="none"/>
        <c:minorTickMark val="none"/>
        <c:tickLblPos val="nextTo"/>
        <c:txPr>
          <a:bodyPr/>
          <a:lstStyle/>
          <a:p>
            <a:pPr>
              <a:defRPr sz="1200">
                <a:solidFill>
                  <a:srgbClr val="595959"/>
                </a:solidFill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pt-BR"/>
          </a:p>
        </c:txPr>
        <c:crossAx val="805924303"/>
        <c:crosses val="autoZero"/>
        <c:crossBetween val="between"/>
      </c:valAx>
      <c:valAx>
        <c:axId val="509438927"/>
        <c:scaling>
          <c:orientation val="minMax"/>
        </c:scaling>
        <c:delete val="0"/>
        <c:axPos val="r"/>
        <c:numFmt formatCode="&quot;R$ &quot;#,##0.0,,&quot; M&quot;" sourceLinked="0"/>
        <c:majorTickMark val="out"/>
        <c:minorTickMark val="none"/>
        <c:tickLblPos val="nextTo"/>
        <c:txPr>
          <a:bodyPr/>
          <a:lstStyle/>
          <a:p>
            <a:pPr>
              <a:defRPr sz="1200">
                <a:solidFill>
                  <a:srgbClr val="595959"/>
                </a:solidFill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pt-BR"/>
          </a:p>
        </c:txPr>
        <c:crossAx val="806006895"/>
        <c:crosses val="max"/>
        <c:crossBetween val="between"/>
      </c:valAx>
      <c:catAx>
        <c:axId val="8060068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9438927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85000"/>
          </a:schemeClr>
        </a:solidFill>
      </c:spPr>
    </c:plotArea>
    <c:legend>
      <c:legendPos val="t"/>
      <c:overlay val="0"/>
      <c:txPr>
        <a:bodyPr/>
        <a:lstStyle/>
        <a:p>
          <a:pPr>
            <a:defRPr sz="1500">
              <a:solidFill>
                <a:srgbClr val="404040"/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tx2">
        <a:lumMod val="20000"/>
        <a:lumOff val="80000"/>
      </a:schemeClr>
    </a:solidFill>
    <a:ln>
      <a:solidFill>
        <a:srgbClr val="D9D9D9"/>
      </a:solidFill>
      <a:prstDash val="solid"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lang="en-US" sz="2500" b="1" i="0" u="none" strike="noStrike" kern="1200" baseline="0">
                <a:solidFill>
                  <a:srgbClr val="1F4E79"/>
                </a:solidFill>
                <a:latin typeface="Times New Roman" panose="02020603050405020304" pitchFamily="18" charset="0"/>
                <a:ea typeface="Calibri"/>
                <a:cs typeface="Times New Roman" panose="02020603050405020304" pitchFamily="18" charset="0"/>
              </a:defRPr>
            </a:pPr>
            <a:r>
              <a:rPr lang="en-US" sz="2500" b="1" i="0" u="none" strike="noStrike" kern="1200" baseline="0">
                <a:solidFill>
                  <a:srgbClr val="1F4E79"/>
                </a:solidFill>
                <a:latin typeface="Times New Roman" panose="02020603050405020304" pitchFamily="18" charset="0"/>
                <a:ea typeface="Calibri"/>
                <a:cs typeface="Times New Roman" panose="02020603050405020304" pitchFamily="18" charset="0"/>
              </a:rPr>
              <a:t>DISTRIBUIÇÃO DAS OSPs POR REGIÃO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4680562344192404E-2"/>
          <c:y val="0.14975367943269391"/>
          <c:w val="0.49761979453117838"/>
          <c:h val="0.8367496345681138"/>
        </c:manualLayout>
      </c:layout>
      <c:doughnutChart>
        <c:varyColors val="1"/>
        <c:ser>
          <c:idx val="0"/>
          <c:order val="0"/>
          <c:tx>
            <c:strRef>
              <c:f>DETALHAMENTO!$W$71</c:f>
              <c:strCache>
                <c:ptCount val="1"/>
                <c:pt idx="0">
                  <c:v>N° OSPs</c:v>
                </c:pt>
              </c:strCache>
            </c:strRef>
          </c:tx>
          <c:dPt>
            <c:idx val="0"/>
            <c:bubble3D val="0"/>
            <c:spPr>
              <a:solidFill>
                <a:srgbClr val="1F4E79"/>
              </a:solidFill>
            </c:spPr>
            <c:extLst>
              <c:ext xmlns:c16="http://schemas.microsoft.com/office/drawing/2014/chart" uri="{C3380CC4-5D6E-409C-BE32-E72D297353CC}">
                <c16:uniqueId val="{00000001-1E65-48D1-BB09-F2296EF2C38A}"/>
              </c:ext>
            </c:extLst>
          </c:dPt>
          <c:dPt>
            <c:idx val="1"/>
            <c:bubble3D val="0"/>
            <c:spPr>
              <a:solidFill>
                <a:srgbClr val="2E75B6"/>
              </a:solidFill>
            </c:spPr>
            <c:extLst>
              <c:ext xmlns:c16="http://schemas.microsoft.com/office/drawing/2014/chart" uri="{C3380CC4-5D6E-409C-BE32-E72D297353CC}">
                <c16:uniqueId val="{00000002-1E65-48D1-BB09-F2296EF2C38A}"/>
              </c:ext>
            </c:extLst>
          </c:dPt>
          <c:dPt>
            <c:idx val="2"/>
            <c:bubble3D val="0"/>
            <c:spPr>
              <a:solidFill>
                <a:srgbClr val="5B9BD5"/>
              </a:solidFill>
            </c:spPr>
            <c:extLst>
              <c:ext xmlns:c16="http://schemas.microsoft.com/office/drawing/2014/chart" uri="{C3380CC4-5D6E-409C-BE32-E72D297353CC}">
                <c16:uniqueId val="{00000003-1E65-48D1-BB09-F2296EF2C38A}"/>
              </c:ext>
            </c:extLst>
          </c:dPt>
          <c:dPt>
            <c:idx val="3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04-1E65-48D1-BB09-F2296EF2C38A}"/>
              </c:ext>
            </c:extLst>
          </c:dPt>
          <c:dPt>
            <c:idx val="4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5-1E65-48D1-BB09-F2296EF2C38A}"/>
              </c:ext>
            </c:extLst>
          </c:dPt>
          <c:dPt>
            <c:idx val="5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6-1E65-48D1-BB09-F2296EF2C38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lIns="38100" tIns="19050" rIns="38100" bIns="19050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DETALHAMENTO!$V$72:$V$77</c:f>
              <c:strCache>
                <c:ptCount val="6"/>
                <c:pt idx="0">
                  <c:v>R01</c:v>
                </c:pt>
                <c:pt idx="1">
                  <c:v>R02</c:v>
                </c:pt>
                <c:pt idx="2">
                  <c:v>R03</c:v>
                </c:pt>
                <c:pt idx="3">
                  <c:v>R14</c:v>
                </c:pt>
                <c:pt idx="4">
                  <c:v>R15</c:v>
                </c:pt>
                <c:pt idx="5">
                  <c:v>R16</c:v>
                </c:pt>
              </c:strCache>
            </c:strRef>
          </c:cat>
          <c:val>
            <c:numRef>
              <c:f>DETALHAMENTO!$W$72:$W$77</c:f>
              <c:numCache>
                <c:formatCode>#,##0;\(#,##0\);"-"</c:formatCode>
                <c:ptCount val="6"/>
                <c:pt idx="0">
                  <c:v>46</c:v>
                </c:pt>
                <c:pt idx="1">
                  <c:v>58</c:v>
                </c:pt>
                <c:pt idx="2">
                  <c:v>50</c:v>
                </c:pt>
                <c:pt idx="3">
                  <c:v>4</c:v>
                </c:pt>
                <c:pt idx="4">
                  <c:v>1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65-48D1-BB09-F2296EF2C38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</c:plotArea>
    <c:legend>
      <c:legendPos val="r"/>
      <c:layout>
        <c:manualLayout>
          <c:xMode val="edge"/>
          <c:yMode val="edge"/>
          <c:x val="0.5972164555650048"/>
          <c:y val="0.30492781173331895"/>
          <c:w val="0.34188682455879998"/>
          <c:h val="0.51863475872891329"/>
        </c:manualLayout>
      </c:layout>
      <c:overlay val="0"/>
      <c:spPr>
        <a:solidFill>
          <a:srgbClr val="000000">
            <a:alpha val="0"/>
          </a:srgbClr>
        </a:solidFill>
      </c:spPr>
      <c:txPr>
        <a:bodyPr/>
        <a:lstStyle/>
        <a:p>
          <a:pPr>
            <a:defRPr sz="1500" b="0">
              <a:solidFill>
                <a:srgbClr val="404040"/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tx2">
        <a:lumMod val="20000"/>
        <a:lumOff val="80000"/>
      </a:schemeClr>
    </a:solidFill>
    <a:ln>
      <a:solidFill>
        <a:srgbClr val="D9D9D9"/>
      </a:solidFill>
      <a:prstDash val="solid"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500" b="1">
                <a:solidFill>
                  <a:srgbClr val="1F4E79"/>
                </a:solidFill>
                <a:latin typeface="Times New Roman" panose="02020603050405020304" pitchFamily="18" charset="0"/>
                <a:ea typeface="Calibri"/>
                <a:cs typeface="Times New Roman" panose="02020603050405020304" pitchFamily="18" charset="0"/>
              </a:defRPr>
            </a:pPr>
            <a:r>
              <a:rPr lang="en-US" sz="2500">
                <a:latin typeface="Times New Roman" panose="02020603050405020304" pitchFamily="18" charset="0"/>
                <a:cs typeface="Times New Roman" panose="02020603050405020304" pitchFamily="18" charset="0"/>
              </a:rPr>
              <a:t>DISTRIBUIÇÃO DAS OSPs POR SITUAÇÃO</a:t>
            </a:r>
          </a:p>
        </c:rich>
      </c:tx>
      <c:layout>
        <c:manualLayout>
          <c:xMode val="edge"/>
          <c:yMode val="edge"/>
          <c:x val="0.10348889148175011"/>
          <c:y val="3.634822860878306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6258725855704645E-2"/>
          <c:y val="0.17888041511515226"/>
          <c:w val="0.42997067785438464"/>
          <c:h val="0.7733744426600524"/>
        </c:manualLayout>
      </c:layout>
      <c:doughnutChart>
        <c:varyColors val="1"/>
        <c:ser>
          <c:idx val="0"/>
          <c:order val="0"/>
          <c:tx>
            <c:strRef>
              <c:f>DETALHAMENTO!$D$40</c:f>
              <c:strCache>
                <c:ptCount val="1"/>
                <c:pt idx="0">
                  <c:v>N° OSPs</c:v>
                </c:pt>
              </c:strCache>
            </c:strRef>
          </c:tx>
          <c:dPt>
            <c:idx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01-729D-4DBA-AC05-FD46E57E0B3A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3-729D-4DBA-AC05-FD46E57E0B3A}"/>
              </c:ext>
            </c:extLst>
          </c:dPt>
          <c:dPt>
            <c:idx val="2"/>
            <c:bubble3D val="0"/>
            <c:spPr>
              <a:solidFill>
                <a:srgbClr val="2E9B57"/>
              </a:solidFill>
            </c:spPr>
            <c:extLst>
              <c:ext xmlns:c16="http://schemas.microsoft.com/office/drawing/2014/chart" uri="{C3380CC4-5D6E-409C-BE32-E72D297353CC}">
                <c16:uniqueId val="{00000005-729D-4DBA-AC05-FD46E57E0B3A}"/>
              </c:ext>
            </c:extLst>
          </c:dPt>
          <c:dPt>
            <c:idx val="3"/>
            <c:bubble3D val="0"/>
            <c:spPr>
              <a:solidFill>
                <a:srgbClr val="7F7F7F"/>
              </a:solidFill>
            </c:spPr>
            <c:extLst>
              <c:ext xmlns:c16="http://schemas.microsoft.com/office/drawing/2014/chart" uri="{C3380CC4-5D6E-409C-BE32-E72D297353CC}">
                <c16:uniqueId val="{00000007-729D-4DBA-AC05-FD46E57E0B3A}"/>
              </c:ext>
            </c:extLst>
          </c:dPt>
          <c:dPt>
            <c:idx val="4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9-729D-4DBA-AC05-FD46E57E0B3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lIns="38100" tIns="19050" rIns="38100" bIns="19050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DETALHAMENTO!$C$41:$C$45</c:f>
              <c:strCache>
                <c:ptCount val="5"/>
                <c:pt idx="0">
                  <c:v>Em elaboração</c:v>
                </c:pt>
                <c:pt idx="1">
                  <c:v>Em andamento</c:v>
                </c:pt>
                <c:pt idx="2">
                  <c:v>Concluída</c:v>
                </c:pt>
                <c:pt idx="3">
                  <c:v>Justificada</c:v>
                </c:pt>
                <c:pt idx="4">
                  <c:v>Cancelada</c:v>
                </c:pt>
              </c:strCache>
            </c:strRef>
          </c:cat>
          <c:val>
            <c:numRef>
              <c:f>DETALHAMENTO!$D$41:$D$45</c:f>
              <c:numCache>
                <c:formatCode>#,##0;\(#,##0\);"-"</c:formatCode>
                <c:ptCount val="5"/>
                <c:pt idx="0">
                  <c:v>8</c:v>
                </c:pt>
                <c:pt idx="1">
                  <c:v>8</c:v>
                </c:pt>
                <c:pt idx="2">
                  <c:v>98</c:v>
                </c:pt>
                <c:pt idx="3">
                  <c:v>5</c:v>
                </c:pt>
                <c:pt idx="4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29D-4DBA-AC05-FD46E57E0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legend>
      <c:legendPos val="r"/>
      <c:layout>
        <c:manualLayout>
          <c:xMode val="edge"/>
          <c:yMode val="edge"/>
          <c:x val="0.55802296764113302"/>
          <c:y val="0.24615794243426364"/>
          <c:w val="0.38108031248267188"/>
          <c:h val="0.64431947802772538"/>
        </c:manualLayout>
      </c:layout>
      <c:overlay val="0"/>
      <c:txPr>
        <a:bodyPr/>
        <a:lstStyle/>
        <a:p>
          <a:pPr>
            <a:defRPr sz="1500" b="0">
              <a:solidFill>
                <a:sysClr val="windowText" lastClr="000000"/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tx2">
        <a:lumMod val="20000"/>
        <a:lumOff val="80000"/>
      </a:schemeClr>
    </a:solidFill>
    <a:ln w="9525">
      <a:solidFill>
        <a:srgbClr val="D9D9D9"/>
      </a:solidFill>
      <a:prstDash val="solid"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3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273524</xdr:colOff>
      <xdr:row>11</xdr:row>
      <xdr:rowOff>24587</xdr:rowOff>
    </xdr:from>
    <xdr:to>
      <xdr:col>2</xdr:col>
      <xdr:colOff>1893136</xdr:colOff>
      <xdr:row>23</xdr:row>
      <xdr:rowOff>148047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1D43077A-B4FB-570B-FC56-6C9E434D2E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8364" b="92364" l="9582" r="89681">
                      <a14:foregroundMark x1="45700" y1="61273" x2="42752" y2="55455"/>
                      <a14:foregroundMark x1="47912" y1="55818" x2="40786" y2="39273"/>
                      <a14:foregroundMark x1="40786" y1="39273" x2="31450" y2="48545"/>
                      <a14:foregroundMark x1="31450" y1="48545" x2="22113" y2="78545"/>
                      <a14:foregroundMark x1="22113" y1="78545" x2="34152" y2="87455"/>
                      <a14:foregroundMark x1="34152" y1="87455" x2="58231" y2="90000"/>
                      <a14:foregroundMark x1="58231" y1="90000" x2="72727" y2="85455"/>
                      <a14:foregroundMark x1="72727" y1="85455" x2="71990" y2="57636"/>
                      <a14:foregroundMark x1="71990" y1="57636" x2="65111" y2="47455"/>
                      <a14:foregroundMark x1="65111" y1="47455" x2="51843" y2="39273"/>
                      <a14:foregroundMark x1="51843" y1="39273" x2="40786" y2="38182"/>
                      <a14:foregroundMark x1="29484" y1="48545" x2="29484" y2="48545"/>
                      <a14:foregroundMark x1="22604" y1="58727" x2="22604" y2="58727"/>
                      <a14:foregroundMark x1="37346" y1="69455" x2="37346" y2="69455"/>
                      <a14:foregroundMark x1="40541" y1="74000" x2="40541" y2="74000"/>
                      <a14:foregroundMark x1="39312" y1="82545" x2="39312" y2="82545"/>
                      <a14:foregroundMark x1="47420" y1="92364" x2="47420" y2="92364"/>
                      <a14:foregroundMark x1="67322" y1="92000" x2="67322" y2="92000"/>
                      <a14:foregroundMark x1="73464" y1="89636" x2="73464" y2="89636"/>
                      <a14:foregroundMark x1="70270" y1="91091" x2="70270" y2="91091"/>
                      <a14:foregroundMark x1="76904" y1="88909" x2="76904" y2="88909"/>
                      <a14:foregroundMark x1="79115" y1="85818" x2="79115" y2="85818"/>
                      <a14:foregroundMark x1="77887" y1="74364" x2="77887" y2="74364"/>
                      <a14:foregroundMark x1="81327" y1="75818" x2="81327" y2="75818"/>
                      <a14:foregroundMark x1="74939" y1="72909" x2="74939" y2="72909"/>
                      <a14:foregroundMark x1="75921" y1="70727" x2="75921" y2="70727"/>
                      <a14:foregroundMark x1="78133" y1="68545" x2="78133" y2="68545"/>
                      <a14:foregroundMark x1="80344" y1="66000" x2="80344" y2="66000"/>
                      <a14:foregroundMark x1="82801" y1="64545" x2="82801" y2="64545"/>
                      <a14:foregroundMark x1="85504" y1="62545" x2="85504" y2="62545"/>
                      <a14:foregroundMark x1="87224" y1="61091" x2="87224" y2="61091"/>
                      <a14:foregroundMark x1="75676" y1="56727" x2="75676" y2="56727"/>
                      <a14:foregroundMark x1="77150" y1="59818" x2="77150" y2="59818"/>
                      <a14:foregroundMark x1="80835" y1="60727" x2="80835" y2="60727"/>
                      <a14:foregroundMark x1="20147" y1="63455" x2="20147" y2="63455"/>
                      <a14:foregroundMark x1="18428" y1="65818" x2="18428" y2="65818"/>
                      <a14:foregroundMark x1="18428" y1="69273" x2="18428" y2="69273"/>
                      <a14:foregroundMark x1="17199" y1="72182" x2="17199" y2="72182"/>
                      <a14:foregroundMark x1="16708" y1="74545" x2="16708" y2="74545"/>
                      <a14:foregroundMark x1="17445" y1="81818" x2="17445" y2="81818"/>
                      <a14:foregroundMark x1="17936" y1="84364" x2="17936" y2="84364"/>
                      <a14:foregroundMark x1="17445" y1="86182" x2="17445" y2="86182"/>
                      <a14:foregroundMark x1="21376" y1="86182" x2="21376" y2="86182"/>
                      <a14:foregroundMark x1="24816" y1="84182" x2="24816" y2="84182"/>
                      <a14:foregroundMark x1="31695" y1="91273" x2="31695" y2="91273"/>
                      <a14:foregroundMark x1="33661" y1="92364" x2="33661" y2="92364"/>
                      <a14:foregroundMark x1="36118" y1="92182" x2="36118" y2="92182"/>
                      <a14:foregroundMark x1="27518" y1="89818" x2="27518" y2="89818"/>
                      <a14:foregroundMark x1="23833" y1="88909" x2="23833" y2="88909"/>
                      <a14:foregroundMark x1="23587" y1="86000" x2="23587" y2="86000"/>
                      <a14:foregroundMark x1="51351" y1="11818" x2="51351" y2="11818"/>
                      <a14:foregroundMark x1="52088" y1="37455" x2="52088" y2="37455"/>
                      <a14:foregroundMark x1="50860" y1="38364" x2="50860" y2="38364"/>
                      <a14:foregroundMark x1="50369" y1="38000" x2="47174" y2="50000"/>
                      <a14:foregroundMark x1="49631" y1="40727" x2="57248" y2="52364"/>
                      <a14:foregroundMark x1="57248" y1="52364" x2="57494" y2="53455"/>
                      <a14:foregroundMark x1="59214" y1="43818" x2="59705" y2="57818"/>
                      <a14:foregroundMark x1="38575" y1="53273" x2="52580" y2="46727"/>
                      <a14:foregroundMark x1="52580" y1="46727" x2="52826" y2="46182"/>
                      <a14:foregroundMark x1="49631" y1="46545" x2="32924" y2="54727"/>
                      <a14:foregroundMark x1="32924" y1="54727" x2="31450" y2="57636"/>
                      <a14:foregroundMark x1="31695" y1="60727" x2="51351" y2="69818"/>
                      <a14:foregroundMark x1="51351" y1="69818" x2="64373" y2="53818"/>
                      <a14:foregroundMark x1="64373" y1="53818" x2="63636" y2="50000"/>
                      <a14:foregroundMark x1="59951" y1="59455" x2="40295" y2="58909"/>
                      <a14:foregroundMark x1="40295" y1="58909" x2="31941" y2="51636"/>
                      <a14:foregroundMark x1="31450" y1="83636" x2="42506" y2="67091"/>
                      <a14:foregroundMark x1="55283" y1="66182" x2="71007" y2="87091"/>
                      <a14:foregroundMark x1="68059" y1="90364" x2="63636" y2="89636"/>
                      <a14:foregroundMark x1="74201" y1="87636" x2="74201" y2="87636"/>
                      <a14:foregroundMark x1="75921" y1="85818" x2="75921" y2="85818"/>
                      <a14:foregroundMark x1="74447" y1="69273" x2="74447" y2="69273"/>
                      <a14:foregroundMark x1="77887" y1="63091" x2="77887" y2="63091"/>
                      <a14:foregroundMark x1="74939" y1="64182" x2="74939" y2="64182"/>
                      <a14:foregroundMark x1="73219" y1="61636" x2="73219" y2="61636"/>
                      <a14:foregroundMark x1="75184" y1="59455" x2="75184" y2="59455"/>
                      <a14:foregroundMark x1="77150" y1="66182" x2="77150" y2="66182"/>
                      <a14:foregroundMark x1="66339" y1="65273" x2="66339" y2="65273"/>
                      <a14:foregroundMark x1="75676" y1="66727" x2="51597" y2="64182"/>
                      <a14:foregroundMark x1="64865" y1="75273" x2="36855" y2="70909"/>
                      <a14:foregroundMark x1="36855" y1="70909" x2="29484" y2="59818"/>
                      <a14:foregroundMark x1="29484" y1="59818" x2="29975" y2="59636"/>
                      <a14:foregroundMark x1="68059" y1="88000" x2="41769" y2="72545"/>
                      <a14:foregroundMark x1="50369" y1="90727" x2="45209" y2="70727"/>
                      <a14:foregroundMark x1="53317" y1="84000" x2="31204" y2="73818"/>
                      <a14:foregroundMark x1="31204" y1="73818" x2="29238" y2="71455"/>
                      <a14:foregroundMark x1="29484" y1="87091" x2="29484" y2="87091"/>
                      <a14:foregroundMark x1="24324" y1="81636" x2="24324" y2="81636"/>
                      <a14:foregroundMark x1="21622" y1="71273" x2="21622" y2="71273"/>
                      <a14:foregroundMark x1="24324" y1="63091" x2="24324" y2="63091"/>
                      <a14:foregroundMark x1="21130" y1="68909" x2="21130" y2="68909"/>
                      <a14:foregroundMark x1="20393" y1="76000" x2="20393" y2="76000"/>
                      <a14:foregroundMark x1="22359" y1="82727" x2="22359" y2="82727"/>
                      <a14:foregroundMark x1="30467" y1="87636" x2="30467" y2="87636"/>
                      <a14:foregroundMark x1="17199" y1="76727" x2="17199" y2="76727"/>
                      <a14:foregroundMark x1="74447" y1="52909" x2="74447" y2="52909"/>
                      <a14:foregroundMark x1="45700" y1="10182" x2="45700" y2="10182"/>
                      <a14:foregroundMark x1="50614" y1="8364" x2="50614" y2="8364"/>
                      <a14:foregroundMark x1="32678" y1="88909" x2="32678" y2="88909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1257" t="5582" r="8950" b="2132"/>
        <a:stretch>
          <a:fillRect/>
        </a:stretch>
      </xdr:blipFill>
      <xdr:spPr>
        <a:xfrm>
          <a:off x="502124" y="5652501"/>
          <a:ext cx="2218326" cy="3339100"/>
        </a:xfrm>
        <a:prstGeom prst="rect">
          <a:avLst/>
        </a:prstGeom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</xdr:pic>
    <xdr:clientData/>
  </xdr:twoCellAnchor>
  <xdr:twoCellAnchor editAs="oneCell">
    <xdr:from>
      <xdr:col>1</xdr:col>
      <xdr:colOff>57152</xdr:colOff>
      <xdr:row>1</xdr:row>
      <xdr:rowOff>73243</xdr:rowOff>
    </xdr:from>
    <xdr:to>
      <xdr:col>2</xdr:col>
      <xdr:colOff>1426845</xdr:colOff>
      <xdr:row>1</xdr:row>
      <xdr:rowOff>1524186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4756C44E-13A6-40F3-9E9F-FBE143AEC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2" y="292318"/>
          <a:ext cx="1969768" cy="1450943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57152</xdr:colOff>
      <xdr:row>1</xdr:row>
      <xdr:rowOff>73243</xdr:rowOff>
    </xdr:from>
    <xdr:ext cx="1972218" cy="1450943"/>
    <xdr:pic>
      <xdr:nvPicPr>
        <xdr:cNvPr id="2" name="Imagem 1">
          <a:extLst>
            <a:ext uri="{FF2B5EF4-FFF2-40B4-BE49-F238E27FC236}">
              <a16:creationId xmlns:a16="http://schemas.microsoft.com/office/drawing/2014/main" id="{6E21ABBD-19D8-4C1B-85A2-9BDFB7F730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6812" y="294223"/>
          <a:ext cx="1972218" cy="1450943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/>
      </xdr:spPr>
    </xdr:pic>
    <xdr:clientData/>
  </xdr:oneCellAnchor>
  <xdr:twoCellAnchor>
    <xdr:from>
      <xdr:col>2</xdr:col>
      <xdr:colOff>288290</xdr:colOff>
      <xdr:row>65</xdr:row>
      <xdr:rowOff>15240</xdr:rowOff>
    </xdr:from>
    <xdr:to>
      <xdr:col>7</xdr:col>
      <xdr:colOff>529590</xdr:colOff>
      <xdr:row>88</xdr:row>
      <xdr:rowOff>30480</xdr:rowOff>
    </xdr:to>
    <xdr:graphicFrame macro="">
      <xdr:nvGraphicFramePr>
        <xdr:cNvPr id="9" name="gPrevMedRegiao">
          <a:extLst>
            <a:ext uri="{FF2B5EF4-FFF2-40B4-BE49-F238E27FC236}">
              <a16:creationId xmlns:a16="http://schemas.microsoft.com/office/drawing/2014/main" id="{2B18E6C8-6F61-8648-B7BD-59594DE14C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863600</xdr:colOff>
      <xdr:row>64</xdr:row>
      <xdr:rowOff>186690</xdr:rowOff>
    </xdr:from>
    <xdr:to>
      <xdr:col>15</xdr:col>
      <xdr:colOff>1104900</xdr:colOff>
      <xdr:row>88</xdr:row>
      <xdr:rowOff>11430</xdr:rowOff>
    </xdr:to>
    <xdr:graphicFrame macro="">
      <xdr:nvGraphicFramePr>
        <xdr:cNvPr id="10" name="gEvolucaoMensal">
          <a:extLst>
            <a:ext uri="{FF2B5EF4-FFF2-40B4-BE49-F238E27FC236}">
              <a16:creationId xmlns:a16="http://schemas.microsoft.com/office/drawing/2014/main" id="{03E684C8-E6A2-AC0D-C065-922312E02D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844550</xdr:colOff>
      <xdr:row>89</xdr:row>
      <xdr:rowOff>162560</xdr:rowOff>
    </xdr:from>
    <xdr:to>
      <xdr:col>15</xdr:col>
      <xdr:colOff>1085850</xdr:colOff>
      <xdr:row>112</xdr:row>
      <xdr:rowOff>177800</xdr:rowOff>
    </xdr:to>
    <xdr:graphicFrame macro="">
      <xdr:nvGraphicFramePr>
        <xdr:cNvPr id="12" name="gOSPRegiao">
          <a:extLst>
            <a:ext uri="{FF2B5EF4-FFF2-40B4-BE49-F238E27FC236}">
              <a16:creationId xmlns:a16="http://schemas.microsoft.com/office/drawing/2014/main" id="{C4B0028C-EC82-29C1-D61D-FFD858E247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269240</xdr:colOff>
      <xdr:row>89</xdr:row>
      <xdr:rowOff>105410</xdr:rowOff>
    </xdr:from>
    <xdr:to>
      <xdr:col>7</xdr:col>
      <xdr:colOff>510540</xdr:colOff>
      <xdr:row>112</xdr:row>
      <xdr:rowOff>120650</xdr:rowOff>
    </xdr:to>
    <xdr:graphicFrame macro="">
      <xdr:nvGraphicFramePr>
        <xdr:cNvPr id="13" name="gSituacao">
          <a:extLst>
            <a:ext uri="{FF2B5EF4-FFF2-40B4-BE49-F238E27FC236}">
              <a16:creationId xmlns:a16="http://schemas.microsoft.com/office/drawing/2014/main" id="{09C23C8E-DEF4-4140-84E2-44FC0D1AE0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A58B1F7-28E1-4666-9105-6D7761522878}" name="tbResumoR01" displayName="tbResumoR01" comment="Tabela ''Cadastro de OSPs" ref="B3:M52" totalsRowShown="0" headerRowDxfId="198" dataDxfId="196" headerRowBorderDxfId="197" tableBorderDxfId="195">
  <autoFilter ref="B3:M52" xr:uid="{8A58B1F7-28E1-4666-9105-6D7761522878}"/>
  <tableColumns count="12">
    <tableColumn id="15" xr3:uid="{2F62DC7E-7CA1-448A-A219-F65BEDE84C91}" name="ID" dataDxfId="194">
      <calculatedColumnFormula>'REGIÃO 01 - HISTÓRICO'!B4</calculatedColumnFormula>
    </tableColumn>
    <tableColumn id="16" xr3:uid="{703D7D7F-ACCE-46F2-9F4F-3F3E1E00795A}" name="REGIÃO" dataDxfId="193"/>
    <tableColumn id="17" xr3:uid="{06FF994B-EC84-456A-BF65-A7007249773A}" name="CONTRATO" dataDxfId="192">
      <calculatedColumnFormula>_xlfn.XLOOKUP(tbResumoR01[[#This Row],[REGIÃO]],tbRegioes[Código Região],tbRegioes[Contrato],"")</calculatedColumnFormula>
    </tableColumn>
    <tableColumn id="1" xr3:uid="{78D97154-107B-48A5-B654-DEE00B48C717}" name="OSP" dataDxfId="191">
      <calculatedColumnFormula>'REGIÃO 01 - HISTÓRICO'!C4</calculatedColumnFormula>
    </tableColumn>
    <tableColumn id="2" xr3:uid="{0211E96E-BE2C-4337-97D8-99F0E93B55BB}" name="DATA EMISSÃO" dataDxfId="190"/>
    <tableColumn id="9" xr3:uid="{526533D9-9532-4BD9-9BF2-D82819C703FC}" name="CRONOGRAMA" dataDxfId="189">
      <calculatedColumnFormula>'REGIÃO 01 - HISTÓRICO'!D4</calculatedColumnFormula>
    </tableColumn>
    <tableColumn id="3" xr3:uid="{CDB990BE-79D7-4FE7-8F95-A9F84C3B07C6}" name="N° TRECHO" dataDxfId="188"/>
    <tableColumn id="4" xr3:uid="{E1CB427E-7285-46AF-9E08-8B3F803030EB}" name="TRECHO" dataDxfId="187"/>
    <tableColumn id="5" xr3:uid="{621AAEBE-42BD-4F91-A837-094BD898B96A}" name="SERVIÇO" dataDxfId="186"/>
    <tableColumn id="6" xr3:uid="{6B2C97AC-2470-4B8A-99A1-B43111A850BC}" name="VALOR PREVISTO" dataDxfId="185" dataCellStyle="Moeda">
      <calculatedColumnFormula>'REGIÃO 01 - HISTÓRICO'!E4</calculatedColumnFormula>
    </tableColumn>
    <tableColumn id="14" xr3:uid="{8823984B-9965-41B8-AC3A-A7F45683BD77}" name="SITUAÇÃO" dataDxfId="184">
      <calculatedColumnFormula>'REGIÃO 01 - HISTÓRICO'!I4</calculatedColumnFormula>
    </tableColumn>
    <tableColumn id="8" xr3:uid="{157BA7B6-B966-4F1A-A253-6D665F4ED9C1}" name="OBSERVAÇÃO" dataDxfId="1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9E92983-7A5F-46DA-9F87-27603176CF66}" name="tbResumoR02" displayName="tbResumoR02" comment="Tabela ''Cadastro de OSPs" ref="B3:M68" totalsRowShown="0" headerRowDxfId="182" dataDxfId="180" headerRowBorderDxfId="181" tableBorderDxfId="179">
  <autoFilter ref="B3:M68" xr:uid="{B9E92983-7A5F-46DA-9F87-27603176CF66}"/>
  <tableColumns count="12">
    <tableColumn id="15" xr3:uid="{B469ED80-822E-41D6-B2F8-7619DD309DAA}" name="ID" dataDxfId="178">
      <calculatedColumnFormula>'REGIÃO 02 - HISTÓRICO'!B4</calculatedColumnFormula>
    </tableColumn>
    <tableColumn id="16" xr3:uid="{84920B2E-DFEC-4B6A-8227-219960523354}" name="REGIÃO" dataDxfId="177"/>
    <tableColumn id="17" xr3:uid="{CD1D6F76-8435-4BBD-91F8-8E1B51C0B57B}" name="CONTRATO" dataDxfId="176">
      <calculatedColumnFormula>_xlfn.XLOOKUP(tbResumoR02[[#This Row],[REGIÃO]],tbRegioes[Código Região],tbRegioes[Contrato],"")</calculatedColumnFormula>
    </tableColumn>
    <tableColumn id="1" xr3:uid="{6F9C3382-87F8-431D-97E2-EE79C7AC5AA2}" name="OSP" dataDxfId="175">
      <calculatedColumnFormula>'REGIÃO 02 - HISTÓRICO'!C4</calculatedColumnFormula>
    </tableColumn>
    <tableColumn id="2" xr3:uid="{41CF5FE1-F5EC-4D4E-93C4-E698C4EF1F29}" name="DATA EMISSÃO" dataDxfId="174"/>
    <tableColumn id="7" xr3:uid="{2B38A92C-343B-4638-BA80-A9605BC2D878}" name="CRONOGRAMA" dataDxfId="173">
      <calculatedColumnFormula>'REGIÃO 02 - HISTÓRICO'!D4</calculatedColumnFormula>
    </tableColumn>
    <tableColumn id="3" xr3:uid="{CC7D8001-2F52-4C7D-ACF5-39C418C595FB}" name="N° TRECHO" dataDxfId="172"/>
    <tableColumn id="4" xr3:uid="{4D8A9FD2-83D6-4C7E-95AD-CE3335C23B6E}" name="TRECHO" dataDxfId="171"/>
    <tableColumn id="5" xr3:uid="{E5CB1646-13DA-4B96-9780-33D7AEE3DA40}" name="SERVIÇO" dataDxfId="170"/>
    <tableColumn id="6" xr3:uid="{EDCB8132-512D-467A-9325-78D7A0B56EAB}" name="VALOR PREVISTO" dataDxfId="169" dataCellStyle="Moeda">
      <calculatedColumnFormula>'REGIÃO 02 - HISTÓRICO'!E4</calculatedColumnFormula>
    </tableColumn>
    <tableColumn id="14" xr3:uid="{AAE313E9-060B-492C-BCDA-CCDA22F343FE}" name="SITUAÇÃO" dataDxfId="168">
      <calculatedColumnFormula>'REGIÃO 02 - HISTÓRICO'!I4</calculatedColumnFormula>
    </tableColumn>
    <tableColumn id="8" xr3:uid="{A38B1BC9-BA46-4D87-BB9B-3368506B87BB}" name="OBSERVAÇÃO" dataDxfId="1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37F6D1-C48E-4D0B-BD28-CF82B7343C3A}" name="tbResumoR03" displayName="tbResumoR03" comment="Tabela ''Cadastro de OSPs" ref="B3:M59" totalsRowShown="0" headerRowDxfId="166" dataDxfId="164" headerRowBorderDxfId="165" tableBorderDxfId="163">
  <autoFilter ref="B3:M59" xr:uid="{1F37F6D1-C48E-4D0B-BD28-CF82B7343C3A}"/>
  <tableColumns count="12">
    <tableColumn id="15" xr3:uid="{2027F5C8-E673-41FB-ABFF-937089E00BD7}" name="ID" dataDxfId="162">
      <calculatedColumnFormula>'REGIÃO 03 - HISTÓRICO'!B4</calculatedColumnFormula>
    </tableColumn>
    <tableColumn id="16" xr3:uid="{51A7F692-B6F8-469D-9665-F79D8A61E177}" name="REGIÃO" dataDxfId="161"/>
    <tableColumn id="17" xr3:uid="{A23B5921-1D4A-4C0E-8EA8-A39FC8980C49}" name="CONTRATO" dataDxfId="160">
      <calculatedColumnFormula>_xlfn.XLOOKUP(tbResumoR03[[#This Row],[REGIÃO]],tbRegioes[Código Região],tbRegioes[Contrato],"")</calculatedColumnFormula>
    </tableColumn>
    <tableColumn id="1" xr3:uid="{AF239441-E8D7-41F2-A371-0833FEE62050}" name="OSP" dataDxfId="159">
      <calculatedColumnFormula>'REGIÃO 03 - HISTÓRICO'!C4</calculatedColumnFormula>
    </tableColumn>
    <tableColumn id="2" xr3:uid="{9F46F67B-7F5B-4163-B7EA-C0210FF4E09F}" name="DATA EMISSÃO" dataDxfId="158"/>
    <tableColumn id="7" xr3:uid="{6F3B52C0-D8CC-42BB-8DD6-19AC2843C800}" name="CRONOGRAMA" dataDxfId="157">
      <calculatedColumnFormula>'REGIÃO 03 - HISTÓRICO'!D4</calculatedColumnFormula>
    </tableColumn>
    <tableColumn id="3" xr3:uid="{890ADC8A-0DCC-4F58-936F-28C67E4CB89E}" name="N° TRECHO" dataDxfId="156"/>
    <tableColumn id="4" xr3:uid="{1F2B0ED7-3D85-46B5-AD33-A72D2DB74CD6}" name="TRECHO" dataDxfId="155">
      <calculatedColumnFormula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calculatedColumnFormula>
    </tableColumn>
    <tableColumn id="5" xr3:uid="{73D84756-4F72-453C-87D1-FDE1E9808156}" name="SERVIÇO" dataDxfId="154"/>
    <tableColumn id="6" xr3:uid="{BDF8C0A0-45BE-43BD-BBCA-00F908384870}" name="VALOR PREVISTO" dataDxfId="153" dataCellStyle="Moeda">
      <calculatedColumnFormula>'REGIÃO 03 - HISTÓRICO'!E4</calculatedColumnFormula>
    </tableColumn>
    <tableColumn id="14" xr3:uid="{CA61D797-0D5B-4BE7-B0A1-503E3C1674C7}" name="SITUAÇÃO" dataDxfId="152">
      <calculatedColumnFormula>'REGIÃO 03 - HISTÓRICO'!I4</calculatedColumnFormula>
    </tableColumn>
    <tableColumn id="8" xr3:uid="{2DFEE4D2-EE63-436A-882A-4C9952A3F87A}" name="OBSERVAÇÃO" dataDxfId="15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892DD6F-3DDB-435F-BFED-6C814E938E87}" name="tbResumoR14" displayName="tbResumoR14" comment="Tabela ''Cadastro de OSPs" ref="B3:M11" totalsRowShown="0" headerRowDxfId="150" dataDxfId="148" headerRowBorderDxfId="149" tableBorderDxfId="147">
  <autoFilter ref="B3:M11" xr:uid="{1F37F6D1-C48E-4D0B-BD28-CF82B7343C3A}"/>
  <tableColumns count="12">
    <tableColumn id="15" xr3:uid="{77451C30-7E51-4364-9609-FBCB152FF3B2}" name="ID" dataDxfId="146">
      <calculatedColumnFormula>'REGIÃO 14 - HISTÓRICO'!B4</calculatedColumnFormula>
    </tableColumn>
    <tableColumn id="16" xr3:uid="{DBC76E06-B8A4-4D73-BF9C-82FA066FD17E}" name="REGIÃO" dataDxfId="145"/>
    <tableColumn id="17" xr3:uid="{99072041-E149-4E9E-8F26-57BCD0FA4075}" name="CONTRATO" dataDxfId="144">
      <calculatedColumnFormula>_xlfn.XLOOKUP(tbResumoR14[[#This Row],[REGIÃO]],tbRegioes[Código Região],tbRegioes[Contrato],"")</calculatedColumnFormula>
    </tableColumn>
    <tableColumn id="1" xr3:uid="{6FD7E7F0-C4C8-4CA2-AF61-29E83D91B5FC}" name="OSP" dataDxfId="143">
      <calculatedColumnFormula>'REGIÃO 14 - HISTÓRICO'!C4</calculatedColumnFormula>
    </tableColumn>
    <tableColumn id="2" xr3:uid="{725261B7-FECB-43CB-83CC-CDE59669D55C}" name="DATA EMISSÃO" dataDxfId="142"/>
    <tableColumn id="7" xr3:uid="{E8AB89C9-3229-4B02-8B0E-9E082C3E2EC0}" name="CRONOGRAMA" dataDxfId="141">
      <calculatedColumnFormula>'REGIÃO 14 - HISTÓRICO'!D4</calculatedColumnFormula>
    </tableColumn>
    <tableColumn id="3" xr3:uid="{F9BFDB4D-152E-4293-A28F-59F1288CD4C2}" name="N° TRECHO" dataDxfId="140"/>
    <tableColumn id="4" xr3:uid="{1253A852-FA7E-49C8-AB5A-72EB5F17F3AF}" name="TRECHO" dataDxfId="139">
      <calculatedColumnFormula>IF(tbResumoR14[[#This Row],[N° TRECHO]]="","",IFERROR(INDEX('REGIÃO 01 - TRECHOS'!$F$4:$F$119,MATCH(tbResumoR14[[#This Row],[N° TRECHO]],'REGIÃO 01 - TRECHOS'!$E$4:$E$119,0)),IFERROR(INDEX('REGIÃO 02 - TRECHOS'!$F$4:$F$76,MATCH(tbResumoR14[[#This Row],[N° TRECHO]],'REGIÃO 02 - TRECHOS'!$E$4:$E$76,0)),IFERROR(INDEX('REGIÃO 03 - TRECHOS'!$F$4:$F$53,MATCH(tbResumoR14[[#This Row],[N° TRECHO]],'REGIÃO 03 - TRECHOS'!$E$4:$E$53,0)),"Trecho não cadastrado"))))</calculatedColumnFormula>
    </tableColumn>
    <tableColumn id="5" xr3:uid="{8A3AD843-6D02-4C40-82EF-96154C7E5046}" name="SERVIÇO" dataDxfId="138"/>
    <tableColumn id="6" xr3:uid="{C922713D-A9DC-413A-8CE9-7107A397B291}" name="VALOR PREVISTO" dataDxfId="137" dataCellStyle="Moeda">
      <calculatedColumnFormula>'REGIÃO 14 - HISTÓRICO'!E4</calculatedColumnFormula>
    </tableColumn>
    <tableColumn id="14" xr3:uid="{DD53FA5E-BD80-403D-AFD9-58610E1DA616}" name="SITUAÇÃO" dataDxfId="136">
      <calculatedColumnFormula>'REGIÃO 14 - HISTÓRICO'!I4</calculatedColumnFormula>
    </tableColumn>
    <tableColumn id="8" xr3:uid="{5B82334F-0161-49E5-949C-056DD87B0A18}" name="OBSERVAÇÃO" dataDxfId="13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DA9025F-967A-4C9D-8389-DEC06447D13F}" name="tbResumoR15" displayName="tbResumoR15" comment="Tabela ''Cadastro de OSPs" ref="B3:M9" totalsRowShown="0" headerRowDxfId="134" dataDxfId="132" headerRowBorderDxfId="133" tableBorderDxfId="131">
  <autoFilter ref="B3:M9" xr:uid="{1F37F6D1-C48E-4D0B-BD28-CF82B7343C3A}"/>
  <tableColumns count="12">
    <tableColumn id="15" xr3:uid="{E41163A8-CC8F-4BF2-BCE5-92124BA5C0B4}" name="ID" dataDxfId="130">
      <calculatedColumnFormula>'REGIÃO 15 - HISTÓRICO'!B4</calculatedColumnFormula>
    </tableColumn>
    <tableColumn id="16" xr3:uid="{5CCB72A0-95E2-42C1-8D90-96EC068B298A}" name="REGIÃO" dataDxfId="129"/>
    <tableColumn id="17" xr3:uid="{ADC1F0C1-2244-4535-99D4-484EEADB3165}" name="CONTRATO" dataDxfId="128">
      <calculatedColumnFormula>_xlfn.XLOOKUP(tbResumoR15[[#This Row],[REGIÃO]],tbRegioes[Código Região],tbRegioes[Contrato],"")</calculatedColumnFormula>
    </tableColumn>
    <tableColumn id="1" xr3:uid="{166AC95E-514F-4010-9BDC-F935A938187A}" name="OSP" dataDxfId="127">
      <calculatedColumnFormula>'REGIÃO 15 - HISTÓRICO'!C4</calculatedColumnFormula>
    </tableColumn>
    <tableColumn id="2" xr3:uid="{0D41B3FF-668D-47A4-856B-39538A62C1AA}" name="DATA EMISSÃO" dataDxfId="126"/>
    <tableColumn id="7" xr3:uid="{0C23BF68-2737-4E40-AF4A-83CA853BA100}" name="CRONOGRAMA" dataDxfId="125">
      <calculatedColumnFormula>'REGIÃO 15 - HISTÓRICO'!D4</calculatedColumnFormula>
    </tableColumn>
    <tableColumn id="3" xr3:uid="{41FAACC9-E666-4A18-BF29-1B95B1955EF6}" name="N° TRECHO" dataDxfId="124"/>
    <tableColumn id="4" xr3:uid="{2EB93E9F-88A7-4774-A432-264C9755D91C}" name="TRECHO" dataDxfId="123">
      <calculatedColumnFormula>IF(tbResumoR15[[#This Row],[N° TRECHO]]="","",IFERROR(INDEX('REGIÃO 01 - TRECHOS'!$F$4:$F$119,MATCH(tbResumoR15[[#This Row],[N° TRECHO]],'REGIÃO 01 - TRECHOS'!$E$4:$E$119,0)),IFERROR(INDEX('REGIÃO 02 - TRECHOS'!$F$4:$F$76,MATCH(tbResumoR15[[#This Row],[N° TRECHO]],'REGIÃO 02 - TRECHOS'!$E$4:$E$76,0)),IFERROR(INDEX('REGIÃO 03 - TRECHOS'!$F$4:$F$53,MATCH(tbResumoR15[[#This Row],[N° TRECHO]],'REGIÃO 03 - TRECHOS'!$E$4:$E$53,0)),"Trecho não cadastrado"))))</calculatedColumnFormula>
    </tableColumn>
    <tableColumn id="5" xr3:uid="{2DB588F3-347D-4AE5-B835-B40A9D8EDE86}" name="SERVIÇO" dataDxfId="122"/>
    <tableColumn id="6" xr3:uid="{A22C4532-5E1C-4EC7-B9DE-6099BA29406D}" name="VALOR PREVISTO" dataDxfId="121" dataCellStyle="Moeda">
      <calculatedColumnFormula>'REGIÃO 15 - HISTÓRICO'!E4</calculatedColumnFormula>
    </tableColumn>
    <tableColumn id="14" xr3:uid="{CC1E5FF6-D5D2-4C31-85CD-7AB1EDC05D00}" name="SITUAÇÃO" dataDxfId="120">
      <calculatedColumnFormula>'REGIÃO 15 - HISTÓRICO'!I4</calculatedColumnFormula>
    </tableColumn>
    <tableColumn id="8" xr3:uid="{FFC31020-158F-4BC4-893E-BEE34D6CE309}" name="OBSERVAÇÃO" dataDxfId="11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93319C8-3CE0-4B8C-BABF-944EA681D187}" name="tbResumoR16" displayName="tbResumoR16" comment="Tabela ''Cadastro de OSPs" ref="B3:M9" totalsRowShown="0" headerRowDxfId="118" dataDxfId="116" headerRowBorderDxfId="117" tableBorderDxfId="115">
  <autoFilter ref="B3:M9" xr:uid="{1F37F6D1-C48E-4D0B-BD28-CF82B7343C3A}"/>
  <tableColumns count="12">
    <tableColumn id="15" xr3:uid="{5E55FB30-6636-43AC-8978-7A0B89507BEC}" name="ID" dataDxfId="114">
      <calculatedColumnFormula>'REGIÃO 16 - HISTÓRICO'!B4</calculatedColumnFormula>
    </tableColumn>
    <tableColumn id="16" xr3:uid="{A90528D3-307B-4165-9EF7-FF8A37E6948E}" name="REGIÃO" dataDxfId="113"/>
    <tableColumn id="17" xr3:uid="{AB39558C-C7FE-464A-8034-E65BDD0BD124}" name="CONTRATO" dataDxfId="112">
      <calculatedColumnFormula>_xlfn.XLOOKUP(tbResumoR16[[#This Row],[REGIÃO]],tbRegioes[Código Região],tbRegioes[Contrato],"")</calculatedColumnFormula>
    </tableColumn>
    <tableColumn id="1" xr3:uid="{E0039517-7C59-43FF-A17F-769D007D6E8B}" name="OSP" dataDxfId="111">
      <calculatedColumnFormula>'REGIÃO 16 - HISTÓRICO'!C4</calculatedColumnFormula>
    </tableColumn>
    <tableColumn id="2" xr3:uid="{54BE83E9-F991-4240-B7E8-2FA6E7AD21C1}" name="DATA EMISSÃO" dataDxfId="110"/>
    <tableColumn id="7" xr3:uid="{CABBEF1D-74B0-431E-A051-7C76AC7349EB}" name="CRONOGRAMA" dataDxfId="109">
      <calculatedColumnFormula>'REGIÃO 16 - HISTÓRICO'!D4</calculatedColumnFormula>
    </tableColumn>
    <tableColumn id="3" xr3:uid="{69C724B0-BBB4-4984-885B-B17AF6F9D25B}" name="N° TRECHO" dataDxfId="108"/>
    <tableColumn id="4" xr3:uid="{0B028AC3-04C6-402A-9C84-9DC64ED47300}" name="TRECHO" dataDxfId="107">
      <calculatedColumnFormula>IF(tbResumoR16[[#This Row],[N° TRECHO]]="","",IFERROR(INDEX('REGIÃO 01 - TRECHOS'!$F$4:$F$119,MATCH(tbResumoR16[[#This Row],[N° TRECHO]],'REGIÃO 01 - TRECHOS'!$E$4:$E$119,0)),IFERROR(INDEX('REGIÃO 02 - TRECHOS'!$F$4:$F$76,MATCH(tbResumoR16[[#This Row],[N° TRECHO]],'REGIÃO 02 - TRECHOS'!$E$4:$E$76,0)),IFERROR(INDEX('REGIÃO 03 - TRECHOS'!$F$4:$F$53,MATCH(tbResumoR16[[#This Row],[N° TRECHO]],'REGIÃO 03 - TRECHOS'!$E$4:$E$53,0)),"Trecho não cadastrado"))))</calculatedColumnFormula>
    </tableColumn>
    <tableColumn id="5" xr3:uid="{5DE6DB10-F730-4DAC-A5E2-8540868D3958}" name="SERVIÇO" dataDxfId="106"/>
    <tableColumn id="6" xr3:uid="{0417AB5A-93B0-48C8-8882-941ACDA5C6C2}" name="VALOR PREVISTO" dataDxfId="105" dataCellStyle="Moeda">
      <calculatedColumnFormula>'REGIÃO 16 - HISTÓRICO'!E4</calculatedColumnFormula>
    </tableColumn>
    <tableColumn id="14" xr3:uid="{F8B3A108-ADBC-4DE8-B118-2680618AC25B}" name="SITUAÇÃO" dataDxfId="104">
      <calculatedColumnFormula>'REGIÃO 16 - HISTÓRICO'!I4</calculatedColumnFormula>
    </tableColumn>
    <tableColumn id="8" xr3:uid="{2F67642E-6711-44D4-8814-2FF39EA35E19}" name="OBSERVAÇÃO" dataDxfId="10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52A0877-091D-41A1-8049-90F15BBED1F6}" name="tbTrechosR01" displayName="tbTrechosR01" ref="B3:L117" totalsRowShown="0" headerRowDxfId="102" headerRowCellStyle="Normal 9">
  <autoFilter ref="B3:L117" xr:uid="{A52A0877-091D-41A1-8049-90F15BBED1F6}"/>
  <tableColumns count="11">
    <tableColumn id="4" xr3:uid="{A2F7B969-D219-45D7-8A91-43A4F58051F9}" name="LOTE" dataDxfId="101" dataCellStyle="Normal 9"/>
    <tableColumn id="5" xr3:uid="{E3B3DEB1-DECB-449B-A91A-AE02B6750070}" name="REGIÃO DE CONSERVAÇÃO" dataDxfId="100" dataCellStyle="Normal 9"/>
    <tableColumn id="6" xr3:uid="{6CF18004-DE33-4F21-A5D4-106EB692B7DE}" name="CIDADE SEDE" dataDxfId="99" dataCellStyle="Normal 9"/>
    <tableColumn id="7" xr3:uid="{59AB8D50-67B9-4DBF-A57E-B0BB42B9DA5C}" name="N° TRECHO" dataDxfId="98" dataCellStyle="Normal 9"/>
    <tableColumn id="8" xr3:uid="{BCDD404C-DA95-4FA1-BCA1-50CC30FB120A}" name="TRECHO" dataDxfId="97" dataCellStyle="Normal 9"/>
    <tableColumn id="9" xr3:uid="{11E9D1AE-4B0A-4BBA-946E-726E8C0474B1}" name="S.R.E" dataDxfId="96" dataCellStyle="Normal 9"/>
    <tableColumn id="10" xr3:uid="{5D358E45-BC83-4AD3-8B6D-7E25C65861A3}" name="SEGMENTOS" dataDxfId="95" dataCellStyle="Normal 9"/>
    <tableColumn id="11" xr3:uid="{331FED41-5D5B-4457-984C-27CBFA27C4FE}" name="EXTENSÃO_x000a_(KM)" dataDxfId="94" dataCellStyle="Normal 9"/>
    <tableColumn id="12" xr3:uid="{49A0FBE0-42AC-49C1-A8C3-926FFC7EB96B}" name="TIPO" dataDxfId="93" dataCellStyle="Normal 9"/>
    <tableColumn id="13" xr3:uid="{82C4CA07-BC63-48CC-8553-5CF27834117A}" name="JURISDIÇÃO" dataDxfId="92" dataCellStyle="Normal 9"/>
    <tableColumn id="14" xr3:uid="{44A88CAF-1210-4DF8-ADDB-7E17ABFEDE72}" name="VALOR " dataDxfId="91" dataCellStyle="Normal 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4F11C78-B562-4D93-B0E2-11384E7A5F6B}" name="tbTrechosR02" displayName="tbTrechosR02" ref="B3:K74" totalsRowShown="0" headerRowDxfId="90">
  <autoFilter ref="B3:K74" xr:uid="{04F11C78-B562-4D93-B0E2-11384E7A5F6B}"/>
  <tableColumns count="10">
    <tableColumn id="1" xr3:uid="{29B1DED9-AF3B-43B4-8E05-4CC0F5BFB86C}" name="LOTE" dataDxfId="89" dataCellStyle="Normal 9"/>
    <tableColumn id="2" xr3:uid="{6B169ED1-1F32-4722-B4D3-E3E84D187E80}" name="REGIÃO DE CONSERVAÇÃO" dataDxfId="88" dataCellStyle="Normal 9"/>
    <tableColumn id="3" xr3:uid="{B47D6D2C-E875-40C8-AF3D-2138856F2A56}" name="CIDADE SEDE" dataDxfId="87" dataCellStyle="Normal 9"/>
    <tableColumn id="4" xr3:uid="{653C19C6-080A-45AC-B867-5ADFAB69242E}" name="NÚMERO TRECHO" dataDxfId="86" dataCellStyle="Normal 9"/>
    <tableColumn id="5" xr3:uid="{A8B00BEC-B54D-437D-9FA3-F34228FB2A19}" name="TRECHO" dataDxfId="85" dataCellStyle="Normal 9"/>
    <tableColumn id="6" xr3:uid="{4CBB9F69-3C71-4398-95A6-FD668D255579}" name="S.R.E" dataDxfId="84" dataCellStyle="Normal 9"/>
    <tableColumn id="7" xr3:uid="{18D5D3F7-F608-42E1-8F9A-3E6AB6A0EB67}" name="SEGMENTOS" dataDxfId="83" dataCellStyle="Normal 9"/>
    <tableColumn id="8" xr3:uid="{FC6330E3-2BDC-4A3E-A223-783288E73606}" name="EXTENSÃO_x000a_(KM)" dataDxfId="82" dataCellStyle="Normal 9"/>
    <tableColumn id="9" xr3:uid="{49EFEF2B-3ED0-430B-B42A-A86E7DD2EDA5}" name="TIPO" dataDxfId="81" dataCellStyle="Normal 9"/>
    <tableColumn id="10" xr3:uid="{4D084EC1-1D99-4A97-83BF-C262AA443D0D}" name="JURISDIÇÃO" dataDxfId="80" dataCellStyle="Normal 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EAED297-D1E0-4EFA-A5EF-9CDDDC3CDEE0}" name="tbTrechosR03" displayName="tbTrechosR03" ref="B3:K51" totalsRowShown="0" headerRowDxfId="79" headerRowBorderDxfId="78" headerRowCellStyle="Normal 9">
  <autoFilter ref="B3:K51" xr:uid="{BEAED297-D1E0-4EFA-A5EF-9CDDDC3CDEE0}"/>
  <tableColumns count="10">
    <tableColumn id="1" xr3:uid="{0F61CB00-4D44-4F07-8F27-374AA08811AD}" name="LOTE" dataDxfId="77" dataCellStyle="Normal 9"/>
    <tableColumn id="2" xr3:uid="{95D16CC2-3973-4876-BCE1-5EB6E5B30B4F}" name="REGIÃO DE CONSERVAÇÃO" dataDxfId="76" dataCellStyle="Normal 9"/>
    <tableColumn id="3" xr3:uid="{D9F518B6-442B-4C12-A2E8-1546FFF2C049}" name="CIDADE SEDE" dataDxfId="75" dataCellStyle="Normal 9"/>
    <tableColumn id="4" xr3:uid="{EA82E96D-8AF4-488D-94B4-868700F01678}" name="NÚMERO TRECHO" dataDxfId="74" dataCellStyle="Normal 9"/>
    <tableColumn id="5" xr3:uid="{D3E64214-3A0E-431A-863F-005FA0DAD63E}" name="TRECHO" dataDxfId="73" dataCellStyle="Normal 9"/>
    <tableColumn id="6" xr3:uid="{4B4BF83B-DC1D-4594-8D74-89E746461C85}" name="S.R.E" dataDxfId="72" dataCellStyle="Normal 9"/>
    <tableColumn id="7" xr3:uid="{5401E3E6-14F1-42E5-8A35-F8FE734C33AF}" name="SEGMENTOS" dataDxfId="71" dataCellStyle="Normal 9"/>
    <tableColumn id="8" xr3:uid="{A4FBA4AE-A2B1-4006-B81B-5BE1860C9E97}" name="EXTENSÃO_x000a_(KM)" dataDxfId="70" dataCellStyle="Normal 9"/>
    <tableColumn id="9" xr3:uid="{2A8E3CAF-7BF5-49D3-B3FC-5ED611E0958B}" name="TIPO" dataDxfId="69" dataCellStyle="Normal 9"/>
    <tableColumn id="10" xr3:uid="{41FBB0F1-C598-4DDF-9508-510961AA89E0}" name="JURISDIÇÃO" dataDxfId="68" dataCellStyle="Normal 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4C89D3-06C2-4BA5-9BEE-AB2F069F78A1}" name="tbRegioes" displayName="tbRegioes" ref="B3:E10" totalsRowShown="0" headerRowDxfId="67" dataDxfId="66" tableBorderDxfId="65">
  <autoFilter ref="B3:E10" xr:uid="{254C89D3-06C2-4BA5-9BEE-AB2F069F78A1}"/>
  <tableColumns count="4">
    <tableColumn id="1" xr3:uid="{A473ED48-5A14-4CFC-8D18-3519C7DA3806}" name="Código Região" dataDxfId="64"/>
    <tableColumn id="2" xr3:uid="{0CB0B5E0-BEAB-496D-907D-4106A3299203}" name="Região" dataDxfId="63"/>
    <tableColumn id="3" xr3:uid="{CC4E30BB-307A-4B73-8261-5F957EBE9FC2}" name="Código Contrato" dataDxfId="62"/>
    <tableColumn id="4" xr3:uid="{CD88B1D6-311E-42A8-BCCD-D323AFA269B7}" name="Contrato" dataDxfId="6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24D0525-5F87-4566-B054-8E915DB94D45}">
  <we:reference id="wa200009404" version="1.0.0.8" store="en-US" storeType="OMEX"/>
  <we:alternateReferences>
    <we:reference id="wa200009404" version="1.0.0.8" store="en-US" storeType="OMEX"/>
  </we:alternateReferences>
  <we:properties>
    <we:property name="claude.fileId" value="&quot;09b0317b-eab1-433c-8221-c74f1d8ad074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68089-EEB0-4067-90A3-87697C5B4AD0}">
  <sheetPr codeName="DASHBOARD"/>
  <dimension ref="A1:T232"/>
  <sheetViews>
    <sheetView showGridLines="0" tabSelected="1" zoomScale="85" zoomScaleNormal="85" workbookViewId="0">
      <selection activeCell="H6" sqref="H6:I6"/>
    </sheetView>
  </sheetViews>
  <sheetFormatPr defaultRowHeight="15.6" x14ac:dyDescent="0.3"/>
  <cols>
    <col min="1" max="1" width="3" customWidth="1"/>
    <col min="2" max="2" width="7.8984375" customWidth="1"/>
    <col min="3" max="3" width="27" customWidth="1"/>
    <col min="4" max="4" width="8.69921875" customWidth="1"/>
    <col min="5" max="5" width="16.296875" customWidth="1"/>
    <col min="6" max="6" width="8.69921875" customWidth="1"/>
    <col min="7" max="8" width="16.296875" customWidth="1"/>
    <col min="9" max="9" width="8.69921875" customWidth="1"/>
    <col min="10" max="10" width="16.296875" customWidth="1"/>
    <col min="11" max="12" width="8.69921875" customWidth="1"/>
    <col min="13" max="14" width="16.296875" customWidth="1"/>
    <col min="15" max="15" width="8.69921875" customWidth="1"/>
    <col min="16" max="16" width="3" customWidth="1"/>
    <col min="17" max="17" width="11.3984375" customWidth="1"/>
    <col min="18" max="18" width="12" customWidth="1"/>
  </cols>
  <sheetData>
    <row r="1" spans="1:20" ht="17.399999999999999" customHeight="1" thickBot="1" x14ac:dyDescent="0.35">
      <c r="A1" s="94"/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</row>
    <row r="2" spans="1:20" ht="126" customHeight="1" thickBot="1" x14ac:dyDescent="0.35">
      <c r="A2" s="94"/>
      <c r="B2" s="226" t="s">
        <v>712</v>
      </c>
      <c r="C2" s="227"/>
      <c r="D2" s="227"/>
      <c r="E2" s="227"/>
      <c r="F2" s="227"/>
      <c r="G2" s="227"/>
      <c r="H2" s="227"/>
      <c r="I2" s="227"/>
      <c r="J2" s="227"/>
      <c r="K2" s="227"/>
      <c r="L2" s="227"/>
      <c r="M2" s="227"/>
      <c r="N2" s="227"/>
      <c r="O2" s="228"/>
      <c r="P2" s="94"/>
      <c r="Q2" s="94"/>
      <c r="R2" s="94"/>
    </row>
    <row r="3" spans="1:20" ht="36" customHeight="1" thickBot="1" x14ac:dyDescent="0.35">
      <c r="A3" s="94"/>
      <c r="B3" s="229" t="str">
        <f ca="1">"Regiões 01, 02, 03, 14, 15 e 16   |   "&amp;COUNTA('BASE DASHBOARD'!$B$4:$B$166)&amp;" OSPs cadastradas   |   Atualizado em "&amp;TEXT(TODAY(),"dd/mm/aaaa")</f>
        <v>Regiões 01, 02, 03, 14, 15 e 16   |   163 OSPs cadastradas   |   Atualizado em 18/09/2026</v>
      </c>
      <c r="C3" s="230"/>
      <c r="D3" s="230"/>
      <c r="E3" s="230"/>
      <c r="F3" s="230"/>
      <c r="G3" s="230"/>
      <c r="H3" s="230"/>
      <c r="I3" s="230"/>
      <c r="J3" s="230"/>
      <c r="K3" s="230"/>
      <c r="L3" s="230"/>
      <c r="M3" s="230"/>
      <c r="N3" s="230"/>
      <c r="O3" s="231"/>
      <c r="P3" s="94"/>
      <c r="Q3" s="94"/>
      <c r="R3" s="94"/>
    </row>
    <row r="4" spans="1:20" ht="26.4" customHeight="1" x14ac:dyDescent="0.3">
      <c r="A4" s="94"/>
      <c r="B4" s="232"/>
      <c r="C4" s="233"/>
      <c r="D4" s="233"/>
      <c r="E4" s="233"/>
      <c r="F4" s="233"/>
      <c r="G4" s="233"/>
      <c r="H4" s="233"/>
      <c r="I4" s="233"/>
      <c r="J4" s="233"/>
      <c r="K4" s="233"/>
      <c r="L4" s="233"/>
      <c r="M4" s="233"/>
      <c r="N4" s="233"/>
      <c r="O4" s="234"/>
      <c r="P4" s="94"/>
      <c r="Q4" s="94"/>
      <c r="R4" s="94"/>
    </row>
    <row r="5" spans="1:20" ht="48" customHeight="1" x14ac:dyDescent="0.3">
      <c r="A5" s="94"/>
      <c r="B5" s="263" t="s">
        <v>743</v>
      </c>
      <c r="C5" s="264"/>
      <c r="D5" s="235" t="s">
        <v>744</v>
      </c>
      <c r="E5" s="235"/>
      <c r="F5" s="235" t="s">
        <v>745</v>
      </c>
      <c r="G5" s="235"/>
      <c r="H5" s="235" t="s">
        <v>746</v>
      </c>
      <c r="I5" s="235"/>
      <c r="J5" s="239" t="s">
        <v>747</v>
      </c>
      <c r="K5" s="240"/>
      <c r="L5" s="235" t="s">
        <v>748</v>
      </c>
      <c r="M5" s="235"/>
      <c r="N5" s="235" t="s">
        <v>749</v>
      </c>
      <c r="O5" s="236"/>
      <c r="P5" s="94"/>
      <c r="Q5" s="94"/>
      <c r="R5" s="94"/>
      <c r="T5" s="173"/>
    </row>
    <row r="6" spans="1:20" ht="48" customHeight="1" x14ac:dyDescent="0.3">
      <c r="A6" s="94"/>
      <c r="B6" s="263" t="s">
        <v>750</v>
      </c>
      <c r="C6" s="264"/>
      <c r="D6" s="237" t="s">
        <v>744</v>
      </c>
      <c r="E6" s="237"/>
      <c r="F6" s="237" t="s">
        <v>745</v>
      </c>
      <c r="G6" s="237"/>
      <c r="H6" s="237" t="s">
        <v>746</v>
      </c>
      <c r="I6" s="237"/>
      <c r="J6" s="241" t="s">
        <v>747</v>
      </c>
      <c r="K6" s="242"/>
      <c r="L6" s="237" t="s">
        <v>748</v>
      </c>
      <c r="M6" s="237"/>
      <c r="N6" s="237" t="s">
        <v>749</v>
      </c>
      <c r="O6" s="238"/>
      <c r="P6" s="94"/>
      <c r="Q6" s="94"/>
      <c r="R6" s="94"/>
    </row>
    <row r="7" spans="1:20" ht="24" customHeight="1" x14ac:dyDescent="0.3">
      <c r="A7" s="94"/>
      <c r="B7" s="265" t="s">
        <v>751</v>
      </c>
      <c r="C7" s="266"/>
      <c r="D7" s="267" t="str">
        <f>"linha "&amp;(4+COUNTA('REGIÃO 01 - HISTÓRICO'!$C$4:$C$500))</f>
        <v>linha 50</v>
      </c>
      <c r="E7" s="267"/>
      <c r="F7" s="267" t="str">
        <f>"linha "&amp;(4+COUNTA('REGIÃO 02 - HISTÓRICO'!$C$4:$C$508))</f>
        <v>linha 69</v>
      </c>
      <c r="G7" s="267"/>
      <c r="H7" s="267" t="str">
        <f>"linha "&amp;(4+COUNTA('REGIÃO 03 - HISTÓRICO'!$C$4:$C$534))</f>
        <v>linha 60</v>
      </c>
      <c r="I7" s="267"/>
      <c r="J7" s="267" t="str">
        <f>"linha "&amp;(4+COUNTA('REGIÃO 14 - HISTÓRICO'!$C$4:$C$508))</f>
        <v>linha 12</v>
      </c>
      <c r="K7" s="267"/>
      <c r="L7" s="267" t="str">
        <f>"linha "&amp;(4+COUNTA('REGIÃO 15 - HISTÓRICO'!$C$4:$C$507))</f>
        <v>linha 9</v>
      </c>
      <c r="M7" s="267"/>
      <c r="N7" s="267" t="str">
        <f>"linha "&amp;(4+COUNTA('REGIÃO 16 - HISTÓRICO'!$C$4:$C$504))</f>
        <v>linha 10</v>
      </c>
      <c r="O7" s="268"/>
      <c r="P7" s="94"/>
      <c r="Q7" s="94"/>
      <c r="R7" s="94"/>
    </row>
    <row r="8" spans="1:20" ht="24" customHeight="1" x14ac:dyDescent="0.3">
      <c r="A8" s="94"/>
      <c r="B8" s="232"/>
      <c r="C8" s="233"/>
      <c r="D8" s="233"/>
      <c r="E8" s="233"/>
      <c r="F8" s="233"/>
      <c r="G8" s="233"/>
      <c r="H8" s="233"/>
      <c r="I8" s="233"/>
      <c r="J8" s="233"/>
      <c r="K8" s="233"/>
      <c r="L8" s="233"/>
      <c r="M8" s="233"/>
      <c r="N8" s="233"/>
      <c r="O8" s="234"/>
      <c r="P8" s="94"/>
      <c r="Q8" s="94"/>
      <c r="R8" s="94"/>
    </row>
    <row r="9" spans="1:20" ht="24" customHeight="1" thickBot="1" x14ac:dyDescent="0.35">
      <c r="A9" s="94"/>
      <c r="B9" s="232"/>
      <c r="C9" s="233"/>
      <c r="D9" s="233"/>
      <c r="E9" s="233"/>
      <c r="F9" s="233"/>
      <c r="G9" s="233"/>
      <c r="H9" s="233"/>
      <c r="I9" s="233"/>
      <c r="J9" s="233"/>
      <c r="K9" s="233"/>
      <c r="L9" s="233"/>
      <c r="M9" s="233"/>
      <c r="N9" s="233"/>
      <c r="O9" s="234"/>
      <c r="P9" s="94"/>
      <c r="Q9" s="94"/>
      <c r="R9" s="94"/>
    </row>
    <row r="10" spans="1:20" ht="45.6" customHeight="1" thickBot="1" x14ac:dyDescent="0.35">
      <c r="A10" s="94"/>
      <c r="B10" s="105"/>
      <c r="C10" s="118" t="s">
        <v>713</v>
      </c>
      <c r="D10" s="261" t="s">
        <v>714</v>
      </c>
      <c r="E10" s="261"/>
      <c r="F10" s="261"/>
      <c r="G10" s="261"/>
      <c r="H10" s="261"/>
      <c r="I10" s="261"/>
      <c r="J10" s="261"/>
      <c r="K10" s="261"/>
      <c r="L10" s="261"/>
      <c r="M10" s="261"/>
      <c r="N10" s="262"/>
      <c r="O10" s="106"/>
      <c r="P10" s="94"/>
      <c r="Q10" s="102"/>
      <c r="R10" s="98"/>
    </row>
    <row r="11" spans="1:20" ht="24" customHeight="1" thickBot="1" x14ac:dyDescent="0.35">
      <c r="A11" s="94"/>
      <c r="B11" s="232"/>
      <c r="C11" s="233"/>
      <c r="D11" s="233"/>
      <c r="E11" s="233"/>
      <c r="F11" s="233"/>
      <c r="G11" s="233"/>
      <c r="H11" s="233"/>
      <c r="I11" s="233"/>
      <c r="J11" s="233"/>
      <c r="K11" s="233"/>
      <c r="L11" s="233"/>
      <c r="M11" s="233"/>
      <c r="N11" s="233"/>
      <c r="O11" s="234"/>
      <c r="P11" s="94"/>
      <c r="Q11" s="94"/>
      <c r="R11" s="94"/>
    </row>
    <row r="12" spans="1:20" ht="24" customHeight="1" x14ac:dyDescent="0.3">
      <c r="A12" s="94"/>
      <c r="B12" s="232"/>
      <c r="C12" s="103"/>
      <c r="D12" s="253" t="s">
        <v>715</v>
      </c>
      <c r="E12" s="254"/>
      <c r="F12" s="107"/>
      <c r="G12" s="255" t="s">
        <v>716</v>
      </c>
      <c r="H12" s="256"/>
      <c r="I12" s="107"/>
      <c r="J12" s="255" t="s">
        <v>717</v>
      </c>
      <c r="K12" s="256"/>
      <c r="L12" s="107"/>
      <c r="M12" s="255" t="s">
        <v>718</v>
      </c>
      <c r="N12" s="256"/>
      <c r="O12" s="108"/>
      <c r="P12" s="94"/>
      <c r="Q12" s="94"/>
      <c r="R12" s="94"/>
    </row>
    <row r="13" spans="1:20" ht="36" customHeight="1" thickBot="1" x14ac:dyDescent="0.35">
      <c r="A13" s="94"/>
      <c r="B13" s="232"/>
      <c r="C13" s="103"/>
      <c r="D13" s="243">
        <f>COUNTIFS('BASE DASHBOARD'!$B$4:$B$166,'BASE DASHBOARD'!$Z$1)</f>
        <v>163</v>
      </c>
      <c r="E13" s="244"/>
      <c r="F13" s="109"/>
      <c r="G13" s="245">
        <f>SUMIFS('BASE DASHBOARD'!$I$4:$I$166,'BASE DASHBOARD'!$B$4:$B$166,'BASE DASHBOARD'!$Z$1)</f>
        <v>88622481.079999998</v>
      </c>
      <c r="H13" s="246"/>
      <c r="I13" s="109"/>
      <c r="J13" s="245">
        <f>SUMIFS('BASE DASHBOARD'!$J$4:$J$166,'BASE DASHBOARD'!$B$4:$B$166,'BASE DASHBOARD'!$Z$1)</f>
        <v>62857063.469999999</v>
      </c>
      <c r="K13" s="246"/>
      <c r="L13" s="109"/>
      <c r="M13" s="245">
        <f>$G$13-$J$13</f>
        <v>25765417.609999999</v>
      </c>
      <c r="N13" s="246"/>
      <c r="O13" s="110"/>
      <c r="P13" s="94"/>
      <c r="Q13" s="94"/>
      <c r="R13" s="94"/>
    </row>
    <row r="14" spans="1:20" ht="24" customHeight="1" thickTop="1" thickBot="1" x14ac:dyDescent="0.35">
      <c r="A14" s="94"/>
      <c r="B14" s="232"/>
      <c r="C14" s="233"/>
      <c r="D14" s="233"/>
      <c r="E14" s="233"/>
      <c r="F14" s="233"/>
      <c r="G14" s="233"/>
      <c r="H14" s="233"/>
      <c r="I14" s="233"/>
      <c r="J14" s="233"/>
      <c r="K14" s="233"/>
      <c r="L14" s="233"/>
      <c r="M14" s="233"/>
      <c r="N14" s="233"/>
      <c r="O14" s="234"/>
      <c r="P14" s="94"/>
      <c r="Q14" s="94"/>
      <c r="R14" s="94"/>
    </row>
    <row r="15" spans="1:20" ht="24" customHeight="1" x14ac:dyDescent="0.3">
      <c r="A15" s="94"/>
      <c r="B15" s="232"/>
      <c r="C15" s="103"/>
      <c r="D15" s="255" t="s">
        <v>719</v>
      </c>
      <c r="E15" s="256"/>
      <c r="F15" s="107"/>
      <c r="G15" s="255" t="s">
        <v>720</v>
      </c>
      <c r="H15" s="256"/>
      <c r="I15" s="107"/>
      <c r="J15" s="255" t="s">
        <v>721</v>
      </c>
      <c r="K15" s="256"/>
      <c r="L15" s="107"/>
      <c r="M15" s="255" t="s">
        <v>722</v>
      </c>
      <c r="N15" s="256"/>
      <c r="O15" s="108"/>
      <c r="P15" s="94"/>
      <c r="Q15" s="94"/>
      <c r="R15" s="94"/>
    </row>
    <row r="16" spans="1:20" ht="36" customHeight="1" thickBot="1" x14ac:dyDescent="0.35">
      <c r="A16" s="94"/>
      <c r="B16" s="232"/>
      <c r="C16" s="103"/>
      <c r="D16" s="257">
        <f>IFERROR($J$13/$G$13,0)</f>
        <v>0.70926770164850816</v>
      </c>
      <c r="E16" s="258"/>
      <c r="F16" s="109"/>
      <c r="G16" s="259">
        <f>COUNTIFS('BASE DASHBOARD'!$B$4:$B$166,'BASE DASHBOARD'!$Z$1,'BASE DASHBOARD'!$L$4:$L$166,"Concluída")</f>
        <v>98</v>
      </c>
      <c r="H16" s="260"/>
      <c r="I16" s="109"/>
      <c r="J16" s="259">
        <f>COUNTIFS('BASE DASHBOARD'!$B$4:$B$166,'BASE DASHBOARD'!$Z$1,'BASE DASHBOARD'!$L$4:$L$166,"Cancelada")</f>
        <v>43</v>
      </c>
      <c r="K16" s="260"/>
      <c r="L16" s="109"/>
      <c r="M16" s="245">
        <f>IFERROR($G$13/$D$13,0)</f>
        <v>543696.20294478524</v>
      </c>
      <c r="N16" s="246"/>
      <c r="O16" s="110"/>
      <c r="P16" s="94"/>
      <c r="Q16" s="94"/>
      <c r="R16" s="94"/>
    </row>
    <row r="17" spans="1:18" x14ac:dyDescent="0.3">
      <c r="A17" s="94"/>
      <c r="B17" s="232"/>
      <c r="C17" s="233"/>
      <c r="D17" s="233"/>
      <c r="E17" s="233"/>
      <c r="F17" s="233"/>
      <c r="G17" s="233"/>
      <c r="H17" s="233"/>
      <c r="I17" s="233"/>
      <c r="J17" s="233"/>
      <c r="K17" s="233"/>
      <c r="L17" s="233"/>
      <c r="M17" s="233"/>
      <c r="N17" s="233"/>
      <c r="O17" s="234"/>
      <c r="P17" s="94"/>
      <c r="Q17" s="94"/>
      <c r="R17" s="94"/>
    </row>
    <row r="18" spans="1:18" x14ac:dyDescent="0.3">
      <c r="A18" s="94"/>
      <c r="B18" s="232"/>
      <c r="C18" s="233"/>
      <c r="D18" s="233"/>
      <c r="E18" s="233"/>
      <c r="F18" s="233"/>
      <c r="G18" s="233"/>
      <c r="H18" s="233"/>
      <c r="I18" s="233"/>
      <c r="J18" s="233"/>
      <c r="K18" s="233"/>
      <c r="L18" s="233"/>
      <c r="M18" s="233"/>
      <c r="N18" s="233"/>
      <c r="O18" s="234"/>
      <c r="P18" s="94"/>
      <c r="Q18" s="94"/>
      <c r="R18" s="94"/>
    </row>
    <row r="19" spans="1:18" ht="16.2" thickBot="1" x14ac:dyDescent="0.35">
      <c r="A19" s="94"/>
      <c r="B19" s="114"/>
      <c r="C19" s="115"/>
      <c r="D19" s="115"/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6"/>
      <c r="P19" s="94"/>
      <c r="Q19" s="94"/>
      <c r="R19" s="94"/>
    </row>
    <row r="20" spans="1:18" x14ac:dyDescent="0.3">
      <c r="A20" s="94"/>
      <c r="B20" s="114"/>
      <c r="C20" s="115"/>
      <c r="D20" s="115"/>
      <c r="E20" s="115"/>
      <c r="F20" s="115"/>
      <c r="G20" s="115"/>
      <c r="H20" s="115"/>
      <c r="I20" s="115"/>
      <c r="J20" s="115"/>
      <c r="K20" s="115"/>
      <c r="L20" s="115"/>
      <c r="M20" s="247" t="s">
        <v>752</v>
      </c>
      <c r="N20" s="248"/>
      <c r="O20" s="116"/>
      <c r="P20" s="94"/>
      <c r="Q20" s="94"/>
      <c r="R20" s="94"/>
    </row>
    <row r="21" spans="1:18" x14ac:dyDescent="0.3">
      <c r="A21" s="94"/>
      <c r="B21" s="114"/>
      <c r="C21" s="115"/>
      <c r="D21" s="115"/>
      <c r="E21" s="115"/>
      <c r="F21" s="115"/>
      <c r="G21" s="115"/>
      <c r="H21" s="115"/>
      <c r="I21" s="115"/>
      <c r="J21" s="115"/>
      <c r="K21" s="115"/>
      <c r="L21" s="115"/>
      <c r="M21" s="249"/>
      <c r="N21" s="250"/>
      <c r="O21" s="116"/>
      <c r="P21" s="94"/>
      <c r="Q21" s="94"/>
      <c r="R21" s="94"/>
    </row>
    <row r="22" spans="1:18" ht="16.2" thickBot="1" x14ac:dyDescent="0.35">
      <c r="A22" s="94"/>
      <c r="B22" s="114"/>
      <c r="C22" s="115"/>
      <c r="D22" s="115"/>
      <c r="E22" s="115"/>
      <c r="F22" s="115"/>
      <c r="G22" s="115"/>
      <c r="H22" s="115"/>
      <c r="I22" s="115"/>
      <c r="J22" s="115"/>
      <c r="K22" s="115"/>
      <c r="L22" s="115"/>
      <c r="M22" s="251"/>
      <c r="N22" s="252"/>
      <c r="O22" s="116"/>
      <c r="P22" s="94"/>
      <c r="Q22" s="94"/>
      <c r="R22" s="94"/>
    </row>
    <row r="23" spans="1:18" x14ac:dyDescent="0.3">
      <c r="A23" s="94"/>
      <c r="B23" s="232"/>
      <c r="C23" s="233"/>
      <c r="D23" s="233"/>
      <c r="E23" s="233"/>
      <c r="F23" s="233"/>
      <c r="G23" s="233"/>
      <c r="H23" s="233"/>
      <c r="I23" s="233"/>
      <c r="J23" s="233"/>
      <c r="K23" s="233"/>
      <c r="L23" s="233"/>
      <c r="M23" s="233"/>
      <c r="N23" s="233"/>
      <c r="O23" s="234"/>
      <c r="P23" s="94"/>
      <c r="Q23" s="94"/>
      <c r="R23" s="94"/>
    </row>
    <row r="24" spans="1:18" x14ac:dyDescent="0.3">
      <c r="A24" s="94"/>
      <c r="B24" s="232"/>
      <c r="C24" s="233"/>
      <c r="D24" s="233"/>
      <c r="E24" s="233"/>
      <c r="F24" s="233"/>
      <c r="G24" s="233"/>
      <c r="H24" s="233"/>
      <c r="I24" s="233"/>
      <c r="J24" s="233"/>
      <c r="K24" s="233"/>
      <c r="L24" s="233"/>
      <c r="M24" s="233"/>
      <c r="N24" s="233"/>
      <c r="O24" s="234"/>
      <c r="P24" s="94"/>
      <c r="Q24" s="94"/>
      <c r="R24" s="94"/>
    </row>
    <row r="25" spans="1:18" x14ac:dyDescent="0.3">
      <c r="A25" s="94"/>
      <c r="B25" s="114"/>
      <c r="C25" s="103"/>
      <c r="D25" s="117" t="s">
        <v>754</v>
      </c>
      <c r="E25" s="103"/>
      <c r="F25" s="103"/>
      <c r="G25" s="103"/>
      <c r="H25" s="103"/>
      <c r="I25" s="103"/>
      <c r="J25" s="103"/>
      <c r="K25" s="103"/>
      <c r="L25" s="103"/>
      <c r="M25" s="103"/>
      <c r="N25" s="103"/>
      <c r="O25" s="104"/>
      <c r="P25" s="94"/>
      <c r="Q25" s="94"/>
      <c r="R25" s="94"/>
    </row>
    <row r="26" spans="1:18" ht="16.2" thickBot="1" x14ac:dyDescent="0.35">
      <c r="A26" s="94"/>
      <c r="B26" s="111"/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3"/>
      <c r="P26" s="94"/>
      <c r="Q26" s="94"/>
      <c r="R26" s="94"/>
    </row>
    <row r="27" spans="1:18" x14ac:dyDescent="0.3">
      <c r="A27" s="94"/>
      <c r="B27" s="94"/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  <c r="R27" s="94"/>
    </row>
    <row r="28" spans="1:18" x14ac:dyDescent="0.3">
      <c r="A28" s="94"/>
    </row>
    <row r="29" spans="1:18" x14ac:dyDescent="0.3">
      <c r="A29" s="94"/>
    </row>
    <row r="30" spans="1:18" x14ac:dyDescent="0.3">
      <c r="A30" s="94"/>
    </row>
    <row r="31" spans="1:18" x14ac:dyDescent="0.3">
      <c r="A31" s="94"/>
    </row>
    <row r="32" spans="1:18" x14ac:dyDescent="0.3">
      <c r="A32" s="94"/>
    </row>
    <row r="33" spans="1:1" x14ac:dyDescent="0.3">
      <c r="A33" s="94"/>
    </row>
    <row r="34" spans="1:1" x14ac:dyDescent="0.3">
      <c r="A34" s="94"/>
    </row>
    <row r="35" spans="1:1" x14ac:dyDescent="0.3">
      <c r="A35" s="94"/>
    </row>
    <row r="36" spans="1:1" x14ac:dyDescent="0.3">
      <c r="A36" s="94"/>
    </row>
    <row r="37" spans="1:1" x14ac:dyDescent="0.3">
      <c r="A37" s="94"/>
    </row>
    <row r="38" spans="1:1" x14ac:dyDescent="0.3">
      <c r="A38" s="94"/>
    </row>
    <row r="39" spans="1:1" x14ac:dyDescent="0.3">
      <c r="A39" s="94"/>
    </row>
    <row r="40" spans="1:1" x14ac:dyDescent="0.3">
      <c r="A40" s="94"/>
    </row>
    <row r="41" spans="1:1" x14ac:dyDescent="0.3">
      <c r="A41" s="94"/>
    </row>
    <row r="42" spans="1:1" x14ac:dyDescent="0.3">
      <c r="A42" s="94"/>
    </row>
    <row r="43" spans="1:1" x14ac:dyDescent="0.3">
      <c r="A43" s="94"/>
    </row>
    <row r="44" spans="1:1" x14ac:dyDescent="0.3">
      <c r="A44" s="94"/>
    </row>
    <row r="45" spans="1:1" ht="25.95" customHeight="1" x14ac:dyDescent="0.3">
      <c r="A45" s="94"/>
    </row>
    <row r="46" spans="1:1" ht="30" customHeight="1" x14ac:dyDescent="0.3">
      <c r="A46" s="94"/>
    </row>
    <row r="47" spans="1:1" ht="19.95" customHeight="1" x14ac:dyDescent="0.3">
      <c r="A47" s="94"/>
    </row>
    <row r="48" spans="1:1" ht="19.95" customHeight="1" x14ac:dyDescent="0.3">
      <c r="A48" s="94"/>
    </row>
    <row r="49" spans="1:1" ht="19.95" customHeight="1" x14ac:dyDescent="0.3">
      <c r="A49" s="94"/>
    </row>
    <row r="50" spans="1:1" ht="19.95" customHeight="1" x14ac:dyDescent="0.3">
      <c r="A50" s="94"/>
    </row>
    <row r="51" spans="1:1" ht="19.95" customHeight="1" x14ac:dyDescent="0.3">
      <c r="A51" s="94"/>
    </row>
    <row r="52" spans="1:1" ht="19.95" customHeight="1" x14ac:dyDescent="0.3">
      <c r="A52" s="94"/>
    </row>
    <row r="53" spans="1:1" ht="19.95" customHeight="1" x14ac:dyDescent="0.3">
      <c r="A53" s="94"/>
    </row>
    <row r="54" spans="1:1" x14ac:dyDescent="0.3">
      <c r="A54" s="94"/>
    </row>
    <row r="55" spans="1:1" ht="25.95" customHeight="1" x14ac:dyDescent="0.3">
      <c r="A55" s="94"/>
    </row>
    <row r="56" spans="1:1" ht="30" customHeight="1" x14ac:dyDescent="0.3">
      <c r="A56" s="94"/>
    </row>
    <row r="57" spans="1:1" ht="19.95" customHeight="1" x14ac:dyDescent="0.3">
      <c r="A57" s="94"/>
    </row>
    <row r="58" spans="1:1" ht="19.95" customHeight="1" x14ac:dyDescent="0.3">
      <c r="A58" s="94"/>
    </row>
    <row r="59" spans="1:1" ht="19.95" customHeight="1" x14ac:dyDescent="0.3">
      <c r="A59" s="94"/>
    </row>
    <row r="60" spans="1:1" ht="19.95" customHeight="1" x14ac:dyDescent="0.3">
      <c r="A60" s="94"/>
    </row>
    <row r="61" spans="1:1" ht="19.95" customHeight="1" x14ac:dyDescent="0.3">
      <c r="A61" s="94"/>
    </row>
    <row r="62" spans="1:1" ht="19.95" customHeight="1" x14ac:dyDescent="0.3">
      <c r="A62" s="94"/>
    </row>
    <row r="63" spans="1:1" ht="19.95" customHeight="1" x14ac:dyDescent="0.3">
      <c r="A63" s="94"/>
    </row>
    <row r="64" spans="1:1" ht="19.95" customHeight="1" x14ac:dyDescent="0.3">
      <c r="A64" s="94"/>
    </row>
    <row r="65" spans="1:1" x14ac:dyDescent="0.3">
      <c r="A65" s="94"/>
    </row>
    <row r="66" spans="1:1" ht="25.95" customHeight="1" x14ac:dyDescent="0.3">
      <c r="A66" s="94"/>
    </row>
    <row r="67" spans="1:1" ht="30" customHeight="1" x14ac:dyDescent="0.3">
      <c r="A67" s="94"/>
    </row>
    <row r="68" spans="1:1" ht="19.95" customHeight="1" x14ac:dyDescent="0.3">
      <c r="A68" s="94"/>
    </row>
    <row r="69" spans="1:1" x14ac:dyDescent="0.3">
      <c r="A69" s="94"/>
    </row>
    <row r="70" spans="1:1" x14ac:dyDescent="0.3">
      <c r="A70" s="94"/>
    </row>
    <row r="71" spans="1:1" x14ac:dyDescent="0.3">
      <c r="A71" s="94"/>
    </row>
    <row r="72" spans="1:1" x14ac:dyDescent="0.3">
      <c r="A72" s="94"/>
    </row>
    <row r="73" spans="1:1" x14ac:dyDescent="0.3">
      <c r="A73" s="94"/>
    </row>
    <row r="74" spans="1:1" x14ac:dyDescent="0.3">
      <c r="A74" s="94"/>
    </row>
    <row r="75" spans="1:1" x14ac:dyDescent="0.3">
      <c r="A75" s="94"/>
    </row>
    <row r="76" spans="1:1" x14ac:dyDescent="0.3">
      <c r="A76" s="94"/>
    </row>
    <row r="77" spans="1:1" x14ac:dyDescent="0.3">
      <c r="A77" s="94"/>
    </row>
    <row r="78" spans="1:1" x14ac:dyDescent="0.3">
      <c r="A78" s="94"/>
    </row>
    <row r="79" spans="1:1" x14ac:dyDescent="0.3">
      <c r="A79" s="94"/>
    </row>
    <row r="80" spans="1:1" x14ac:dyDescent="0.3">
      <c r="A80" s="94"/>
    </row>
    <row r="81" spans="1:1" x14ac:dyDescent="0.3">
      <c r="A81" s="94"/>
    </row>
    <row r="82" spans="1:1" x14ac:dyDescent="0.3">
      <c r="A82" s="94"/>
    </row>
    <row r="83" spans="1:1" x14ac:dyDescent="0.3">
      <c r="A83" s="94"/>
    </row>
    <row r="84" spans="1:1" x14ac:dyDescent="0.3">
      <c r="A84" s="94"/>
    </row>
    <row r="85" spans="1:1" x14ac:dyDescent="0.3">
      <c r="A85" s="94"/>
    </row>
    <row r="86" spans="1:1" x14ac:dyDescent="0.3">
      <c r="A86" s="94"/>
    </row>
    <row r="87" spans="1:1" x14ac:dyDescent="0.3">
      <c r="A87" s="94"/>
    </row>
    <row r="88" spans="1:1" x14ac:dyDescent="0.3">
      <c r="A88" s="94"/>
    </row>
    <row r="89" spans="1:1" x14ac:dyDescent="0.3">
      <c r="A89" s="94"/>
    </row>
    <row r="90" spans="1:1" x14ac:dyDescent="0.3">
      <c r="A90" s="94"/>
    </row>
    <row r="91" spans="1:1" x14ac:dyDescent="0.3">
      <c r="A91" s="94"/>
    </row>
    <row r="92" spans="1:1" ht="19.95" customHeight="1" x14ac:dyDescent="0.3">
      <c r="A92" s="94"/>
    </row>
    <row r="93" spans="1:1" ht="19.95" customHeight="1" x14ac:dyDescent="0.3">
      <c r="A93" s="94"/>
    </row>
    <row r="94" spans="1:1" ht="19.95" customHeight="1" x14ac:dyDescent="0.3">
      <c r="A94" s="94"/>
    </row>
    <row r="95" spans="1:1" ht="19.95" customHeight="1" x14ac:dyDescent="0.3">
      <c r="A95" s="94"/>
    </row>
    <row r="96" spans="1:1" ht="19.95" customHeight="1" x14ac:dyDescent="0.3">
      <c r="A96" s="94"/>
    </row>
    <row r="97" spans="1:18" ht="19.95" customHeight="1" x14ac:dyDescent="0.3">
      <c r="A97" s="94"/>
    </row>
    <row r="98" spans="1:18" x14ac:dyDescent="0.3">
      <c r="A98" s="94"/>
    </row>
    <row r="99" spans="1:18" x14ac:dyDescent="0.3">
      <c r="A99" s="94"/>
    </row>
    <row r="100" spans="1:18" x14ac:dyDescent="0.3">
      <c r="A100" s="94"/>
    </row>
    <row r="101" spans="1:18" x14ac:dyDescent="0.3">
      <c r="A101" s="94"/>
    </row>
    <row r="102" spans="1:18" x14ac:dyDescent="0.3">
      <c r="A102" s="94"/>
    </row>
    <row r="103" spans="1:18" x14ac:dyDescent="0.3">
      <c r="A103" s="94"/>
    </row>
    <row r="104" spans="1:18" x14ac:dyDescent="0.3">
      <c r="A104" s="94"/>
    </row>
    <row r="105" spans="1:18" x14ac:dyDescent="0.3">
      <c r="A105" s="94"/>
    </row>
    <row r="106" spans="1:18" x14ac:dyDescent="0.3">
      <c r="A106" s="94"/>
    </row>
    <row r="107" spans="1:18" x14ac:dyDescent="0.3">
      <c r="A107" s="94"/>
      <c r="B107" s="94"/>
      <c r="C107" s="94"/>
      <c r="D107" s="94"/>
      <c r="E107" s="94"/>
      <c r="F107" s="94"/>
      <c r="G107" s="94"/>
      <c r="H107" s="94"/>
      <c r="I107" s="94"/>
      <c r="J107" s="94"/>
      <c r="K107" s="94"/>
      <c r="L107" s="94"/>
      <c r="M107" s="94"/>
      <c r="N107" s="94"/>
      <c r="O107" s="94"/>
      <c r="P107" s="94"/>
      <c r="Q107" s="94"/>
      <c r="R107" s="94"/>
    </row>
    <row r="108" spans="1:18" x14ac:dyDescent="0.3">
      <c r="A108" s="94"/>
      <c r="B108" s="94"/>
      <c r="C108" s="94"/>
      <c r="D108" s="94"/>
      <c r="E108" s="94"/>
      <c r="F108" s="94"/>
      <c r="G108" s="94"/>
      <c r="H108" s="94"/>
      <c r="I108" s="94"/>
      <c r="J108" s="94"/>
      <c r="K108" s="94"/>
      <c r="L108" s="94"/>
      <c r="M108" s="94"/>
      <c r="N108" s="94"/>
      <c r="O108" s="94"/>
      <c r="P108" s="94"/>
      <c r="Q108" s="94"/>
      <c r="R108" s="94"/>
    </row>
    <row r="109" spans="1:18" x14ac:dyDescent="0.3">
      <c r="A109" s="94"/>
      <c r="B109" s="94"/>
      <c r="C109" s="94"/>
      <c r="D109" s="94"/>
      <c r="E109" s="94"/>
      <c r="F109" s="94"/>
      <c r="G109" s="94"/>
      <c r="H109" s="94"/>
      <c r="I109" s="94"/>
      <c r="J109" s="94"/>
      <c r="K109" s="94"/>
      <c r="L109" s="94"/>
      <c r="M109" s="94"/>
      <c r="N109" s="94"/>
      <c r="O109" s="94"/>
      <c r="P109" s="94"/>
      <c r="Q109" s="94"/>
      <c r="R109" s="94"/>
    </row>
    <row r="110" spans="1:18" x14ac:dyDescent="0.3">
      <c r="A110" s="94"/>
      <c r="B110" s="94"/>
      <c r="C110" s="94"/>
      <c r="D110" s="94"/>
      <c r="E110" s="94"/>
      <c r="F110" s="94"/>
      <c r="G110" s="94"/>
      <c r="H110" s="94"/>
      <c r="I110" s="94"/>
      <c r="J110" s="94"/>
      <c r="K110" s="94"/>
      <c r="L110" s="94"/>
      <c r="M110" s="94"/>
      <c r="N110" s="94"/>
      <c r="O110" s="94"/>
      <c r="P110" s="94"/>
      <c r="Q110" s="94"/>
      <c r="R110" s="94"/>
    </row>
    <row r="111" spans="1:18" x14ac:dyDescent="0.3">
      <c r="A111" s="94"/>
      <c r="B111" s="94"/>
      <c r="C111" s="94"/>
      <c r="D111" s="94"/>
      <c r="E111" s="94"/>
      <c r="F111" s="94"/>
      <c r="G111" s="94"/>
      <c r="H111" s="94"/>
      <c r="I111" s="94"/>
      <c r="J111" s="94"/>
      <c r="K111" s="94"/>
      <c r="L111" s="94"/>
      <c r="M111" s="94"/>
      <c r="N111" s="94"/>
      <c r="O111" s="94"/>
      <c r="P111" s="94"/>
      <c r="Q111" s="94"/>
      <c r="R111" s="94"/>
    </row>
    <row r="112" spans="1:18" x14ac:dyDescent="0.3">
      <c r="A112" s="94"/>
      <c r="B112" s="94"/>
      <c r="C112" s="94"/>
      <c r="D112" s="94"/>
      <c r="E112" s="94"/>
      <c r="F112" s="94"/>
      <c r="G112" s="94"/>
      <c r="H112" s="94"/>
      <c r="I112" s="94"/>
      <c r="J112" s="94"/>
      <c r="K112" s="94"/>
      <c r="L112" s="94"/>
      <c r="M112" s="94"/>
      <c r="N112" s="94"/>
      <c r="O112" s="94"/>
      <c r="P112" s="94"/>
      <c r="Q112" s="94"/>
      <c r="R112" s="94"/>
    </row>
    <row r="113" spans="1:18" x14ac:dyDescent="0.3">
      <c r="A113" s="94"/>
      <c r="B113" s="94"/>
      <c r="C113" s="94"/>
      <c r="D113" s="94"/>
      <c r="E113" s="94"/>
      <c r="F113" s="94"/>
      <c r="G113" s="94"/>
      <c r="H113" s="94"/>
      <c r="I113" s="94"/>
      <c r="J113" s="94"/>
      <c r="K113" s="94"/>
      <c r="L113" s="94"/>
      <c r="M113" s="94"/>
      <c r="N113" s="94"/>
      <c r="O113" s="94"/>
      <c r="P113" s="94"/>
      <c r="Q113" s="94"/>
      <c r="R113" s="94"/>
    </row>
    <row r="114" spans="1:18" x14ac:dyDescent="0.3">
      <c r="A114" s="94"/>
      <c r="B114" s="94"/>
      <c r="C114" s="94"/>
      <c r="D114" s="94"/>
      <c r="E114" s="94"/>
      <c r="F114" s="94"/>
      <c r="G114" s="94"/>
      <c r="H114" s="94"/>
      <c r="I114" s="94"/>
      <c r="J114" s="94"/>
      <c r="K114" s="94"/>
      <c r="L114" s="94"/>
      <c r="M114" s="94"/>
      <c r="N114" s="94"/>
      <c r="O114" s="94"/>
      <c r="P114" s="94"/>
      <c r="Q114" s="94"/>
      <c r="R114" s="94"/>
    </row>
    <row r="115" spans="1:18" x14ac:dyDescent="0.3">
      <c r="A115" s="94"/>
      <c r="B115" s="94"/>
      <c r="C115" s="94"/>
      <c r="D115" s="94"/>
      <c r="E115" s="94"/>
      <c r="F115" s="94"/>
      <c r="G115" s="94"/>
      <c r="H115" s="94"/>
      <c r="I115" s="94"/>
      <c r="J115" s="94"/>
      <c r="K115" s="94"/>
      <c r="L115" s="94"/>
      <c r="M115" s="94"/>
      <c r="N115" s="94"/>
      <c r="O115" s="94"/>
      <c r="P115" s="94"/>
      <c r="Q115" s="94"/>
      <c r="R115" s="94"/>
    </row>
    <row r="116" spans="1:18" x14ac:dyDescent="0.3">
      <c r="A116" s="94"/>
      <c r="B116" s="94"/>
      <c r="C116" s="94"/>
      <c r="D116" s="94"/>
      <c r="E116" s="94"/>
      <c r="F116" s="94"/>
      <c r="G116" s="94"/>
      <c r="H116" s="94"/>
      <c r="I116" s="94"/>
      <c r="J116" s="94"/>
      <c r="K116" s="94"/>
      <c r="L116" s="94"/>
      <c r="M116" s="94"/>
      <c r="N116" s="94"/>
      <c r="O116" s="94"/>
      <c r="P116" s="94"/>
      <c r="Q116" s="94"/>
      <c r="R116" s="94"/>
    </row>
    <row r="117" spans="1:18" x14ac:dyDescent="0.3">
      <c r="A117" s="94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</row>
    <row r="118" spans="1:18" x14ac:dyDescent="0.3">
      <c r="A118" s="94"/>
      <c r="B118" s="94"/>
      <c r="C118" s="94"/>
      <c r="D118" s="94"/>
      <c r="E118" s="94"/>
      <c r="F118" s="94"/>
      <c r="G118" s="94"/>
      <c r="H118" s="94"/>
      <c r="I118" s="94"/>
      <c r="J118" s="94"/>
      <c r="K118" s="94"/>
      <c r="L118" s="94"/>
      <c r="M118" s="94"/>
      <c r="N118" s="94"/>
      <c r="O118" s="94"/>
      <c r="P118" s="94"/>
      <c r="Q118" s="94"/>
      <c r="R118" s="94"/>
    </row>
    <row r="119" spans="1:18" x14ac:dyDescent="0.3">
      <c r="A119" s="94"/>
      <c r="B119" s="94"/>
      <c r="C119" s="94"/>
      <c r="D119" s="94"/>
      <c r="E119" s="94"/>
      <c r="F119" s="94"/>
      <c r="G119" s="94"/>
      <c r="H119" s="94"/>
      <c r="I119" s="94"/>
      <c r="J119" s="94"/>
      <c r="K119" s="94"/>
      <c r="L119" s="94"/>
      <c r="M119" s="94"/>
      <c r="N119" s="94"/>
      <c r="O119" s="94"/>
      <c r="P119" s="94"/>
      <c r="Q119" s="94"/>
      <c r="R119" s="94"/>
    </row>
    <row r="120" spans="1:18" x14ac:dyDescent="0.3">
      <c r="A120" s="94"/>
      <c r="B120" s="94"/>
      <c r="C120" s="94"/>
      <c r="D120" s="94"/>
      <c r="E120" s="94"/>
      <c r="F120" s="94"/>
      <c r="G120" s="94"/>
      <c r="H120" s="94"/>
      <c r="I120" s="94"/>
      <c r="J120" s="94"/>
      <c r="K120" s="94"/>
      <c r="L120" s="94"/>
      <c r="M120" s="94"/>
      <c r="N120" s="94"/>
      <c r="O120" s="94"/>
      <c r="P120" s="94"/>
      <c r="Q120" s="94"/>
      <c r="R120" s="94"/>
    </row>
    <row r="121" spans="1:18" x14ac:dyDescent="0.3">
      <c r="A121" s="94"/>
      <c r="B121" s="94"/>
      <c r="C121" s="94"/>
      <c r="D121" s="94"/>
      <c r="E121" s="94"/>
      <c r="F121" s="94"/>
      <c r="G121" s="94"/>
      <c r="H121" s="94"/>
      <c r="I121" s="94"/>
      <c r="J121" s="94"/>
      <c r="K121" s="94"/>
      <c r="L121" s="94"/>
      <c r="M121" s="94"/>
      <c r="N121" s="94"/>
      <c r="O121" s="94"/>
      <c r="P121" s="94"/>
      <c r="Q121" s="94"/>
      <c r="R121" s="94"/>
    </row>
    <row r="122" spans="1:18" x14ac:dyDescent="0.3">
      <c r="A122" s="94"/>
      <c r="B122" s="94"/>
      <c r="C122" s="94"/>
      <c r="D122" s="94"/>
      <c r="E122" s="94"/>
      <c r="F122" s="94"/>
      <c r="G122" s="94"/>
      <c r="H122" s="94"/>
      <c r="I122" s="94"/>
      <c r="J122" s="94"/>
      <c r="K122" s="94"/>
      <c r="L122" s="94"/>
      <c r="M122" s="94"/>
      <c r="N122" s="94"/>
      <c r="O122" s="94"/>
      <c r="P122" s="94"/>
      <c r="Q122" s="94"/>
      <c r="R122" s="94"/>
    </row>
    <row r="123" spans="1:18" x14ac:dyDescent="0.3">
      <c r="A123" s="94"/>
      <c r="B123" s="94"/>
      <c r="C123" s="94"/>
      <c r="D123" s="94"/>
      <c r="E123" s="94"/>
      <c r="F123" s="94"/>
      <c r="G123" s="94"/>
      <c r="H123" s="94"/>
      <c r="I123" s="94"/>
      <c r="J123" s="94"/>
      <c r="K123" s="94"/>
      <c r="L123" s="94"/>
      <c r="M123" s="94"/>
      <c r="N123" s="94"/>
      <c r="O123" s="94"/>
      <c r="P123" s="94"/>
      <c r="Q123" s="94"/>
      <c r="R123" s="94"/>
    </row>
    <row r="124" spans="1:18" x14ac:dyDescent="0.3">
      <c r="A124" s="94"/>
      <c r="B124" s="94"/>
      <c r="C124" s="94"/>
      <c r="D124" s="94"/>
      <c r="E124" s="94"/>
      <c r="F124" s="94"/>
      <c r="G124" s="94"/>
      <c r="H124" s="94"/>
      <c r="I124" s="94"/>
      <c r="J124" s="94"/>
      <c r="K124" s="94"/>
      <c r="L124" s="94"/>
      <c r="M124" s="94"/>
      <c r="N124" s="94"/>
      <c r="O124" s="94"/>
      <c r="P124" s="94"/>
      <c r="Q124" s="94"/>
      <c r="R124" s="94"/>
    </row>
    <row r="125" spans="1:18" x14ac:dyDescent="0.3">
      <c r="A125" s="94"/>
      <c r="B125" s="94"/>
      <c r="C125" s="94"/>
      <c r="D125" s="94"/>
      <c r="E125" s="94"/>
      <c r="F125" s="94"/>
      <c r="G125" s="94"/>
      <c r="H125" s="94"/>
      <c r="I125" s="94"/>
      <c r="J125" s="94"/>
      <c r="K125" s="94"/>
      <c r="L125" s="94"/>
      <c r="M125" s="94"/>
      <c r="N125" s="94"/>
      <c r="O125" s="94"/>
      <c r="P125" s="94"/>
      <c r="Q125" s="94"/>
      <c r="R125" s="94"/>
    </row>
    <row r="126" spans="1:18" x14ac:dyDescent="0.3">
      <c r="A126" s="94"/>
      <c r="B126" s="94"/>
      <c r="C126" s="94"/>
      <c r="D126" s="94"/>
      <c r="E126" s="94"/>
      <c r="F126" s="94"/>
      <c r="G126" s="94"/>
      <c r="H126" s="94"/>
      <c r="I126" s="94"/>
      <c r="J126" s="94"/>
      <c r="K126" s="94"/>
      <c r="L126" s="94"/>
      <c r="M126" s="94"/>
      <c r="N126" s="94"/>
      <c r="O126" s="94"/>
      <c r="P126" s="94"/>
      <c r="Q126" s="94"/>
      <c r="R126" s="94"/>
    </row>
    <row r="127" spans="1:18" x14ac:dyDescent="0.3">
      <c r="A127" s="94"/>
      <c r="B127" s="94"/>
      <c r="C127" s="94"/>
      <c r="D127" s="94"/>
      <c r="E127" s="94"/>
      <c r="F127" s="94"/>
      <c r="G127" s="94"/>
      <c r="H127" s="94"/>
      <c r="I127" s="94"/>
      <c r="J127" s="94"/>
      <c r="K127" s="94"/>
      <c r="L127" s="94"/>
      <c r="M127" s="94"/>
      <c r="N127" s="94"/>
      <c r="O127" s="94"/>
      <c r="P127" s="94"/>
      <c r="Q127" s="94"/>
      <c r="R127" s="94"/>
    </row>
    <row r="128" spans="1:18" x14ac:dyDescent="0.3">
      <c r="A128" s="94"/>
      <c r="B128" s="94"/>
      <c r="C128" s="94"/>
      <c r="D128" s="94"/>
      <c r="E128" s="94"/>
      <c r="F128" s="94"/>
      <c r="G128" s="94"/>
      <c r="H128" s="94"/>
      <c r="I128" s="94"/>
      <c r="J128" s="94"/>
      <c r="K128" s="94"/>
      <c r="L128" s="94"/>
      <c r="M128" s="94"/>
      <c r="N128" s="94"/>
      <c r="O128" s="94"/>
      <c r="P128" s="94"/>
      <c r="Q128" s="94"/>
      <c r="R128" s="94"/>
    </row>
    <row r="129" spans="1:18" x14ac:dyDescent="0.3">
      <c r="A129" s="94"/>
      <c r="B129" s="94"/>
      <c r="C129" s="94"/>
      <c r="D129" s="94"/>
      <c r="E129" s="94"/>
      <c r="F129" s="94"/>
      <c r="G129" s="94"/>
      <c r="H129" s="94"/>
      <c r="I129" s="94"/>
      <c r="J129" s="94"/>
      <c r="K129" s="94"/>
      <c r="L129" s="94"/>
      <c r="M129" s="94"/>
      <c r="N129" s="94"/>
      <c r="O129" s="94"/>
      <c r="P129" s="94"/>
      <c r="Q129" s="94"/>
      <c r="R129" s="94"/>
    </row>
    <row r="130" spans="1:18" x14ac:dyDescent="0.3">
      <c r="A130" s="94"/>
      <c r="B130" s="94"/>
      <c r="C130" s="94"/>
      <c r="D130" s="94"/>
      <c r="E130" s="94"/>
      <c r="F130" s="94"/>
      <c r="G130" s="94"/>
      <c r="H130" s="94"/>
      <c r="I130" s="94"/>
      <c r="J130" s="94"/>
      <c r="K130" s="94"/>
      <c r="L130" s="94"/>
      <c r="M130" s="94"/>
      <c r="N130" s="94"/>
      <c r="O130" s="94"/>
      <c r="P130" s="94"/>
      <c r="Q130" s="94"/>
      <c r="R130" s="94"/>
    </row>
    <row r="131" spans="1:18" x14ac:dyDescent="0.3">
      <c r="A131" s="94"/>
      <c r="B131" s="94"/>
      <c r="C131" s="94"/>
      <c r="D131" s="94"/>
      <c r="E131" s="94"/>
      <c r="F131" s="94"/>
      <c r="G131" s="94"/>
      <c r="H131" s="94"/>
      <c r="I131" s="94"/>
      <c r="J131" s="94"/>
      <c r="K131" s="94"/>
      <c r="L131" s="94"/>
      <c r="M131" s="94"/>
      <c r="N131" s="94"/>
      <c r="O131" s="94"/>
      <c r="P131" s="94"/>
      <c r="Q131" s="94"/>
      <c r="R131" s="94"/>
    </row>
    <row r="132" spans="1:18" x14ac:dyDescent="0.3">
      <c r="A132" s="94"/>
      <c r="B132" s="94"/>
      <c r="C132" s="94"/>
      <c r="D132" s="94"/>
      <c r="E132" s="94"/>
      <c r="F132" s="94"/>
      <c r="G132" s="94"/>
      <c r="H132" s="94"/>
      <c r="I132" s="94"/>
      <c r="J132" s="94"/>
      <c r="K132" s="94"/>
      <c r="L132" s="94"/>
      <c r="M132" s="94"/>
      <c r="N132" s="94"/>
      <c r="O132" s="94"/>
      <c r="P132" s="94"/>
      <c r="Q132" s="94"/>
      <c r="R132" s="94"/>
    </row>
    <row r="133" spans="1:18" x14ac:dyDescent="0.3">
      <c r="A133" s="94"/>
      <c r="B133" s="94"/>
      <c r="C133" s="94"/>
      <c r="D133" s="94"/>
      <c r="E133" s="94"/>
      <c r="F133" s="94"/>
      <c r="G133" s="94"/>
      <c r="H133" s="94"/>
      <c r="I133" s="94"/>
      <c r="J133" s="94"/>
      <c r="K133" s="94"/>
      <c r="L133" s="94"/>
      <c r="M133" s="94"/>
      <c r="N133" s="94"/>
      <c r="O133" s="94"/>
      <c r="P133" s="94"/>
      <c r="Q133" s="94"/>
      <c r="R133" s="94"/>
    </row>
    <row r="134" spans="1:18" x14ac:dyDescent="0.3">
      <c r="A134" s="94"/>
      <c r="B134" s="94"/>
      <c r="C134" s="94"/>
      <c r="D134" s="94"/>
      <c r="E134" s="94"/>
      <c r="F134" s="94"/>
      <c r="G134" s="94"/>
      <c r="H134" s="94"/>
      <c r="I134" s="94"/>
      <c r="J134" s="94"/>
      <c r="K134" s="94"/>
      <c r="L134" s="94"/>
      <c r="M134" s="94"/>
      <c r="N134" s="94"/>
      <c r="O134" s="94"/>
      <c r="P134" s="94"/>
      <c r="Q134" s="94"/>
      <c r="R134" s="94"/>
    </row>
    <row r="135" spans="1:18" x14ac:dyDescent="0.3">
      <c r="A135" s="94"/>
      <c r="B135" s="94"/>
      <c r="C135" s="94"/>
      <c r="D135" s="94"/>
      <c r="E135" s="94"/>
      <c r="F135" s="94"/>
      <c r="G135" s="94"/>
      <c r="H135" s="94"/>
      <c r="I135" s="94"/>
      <c r="J135" s="94"/>
      <c r="K135" s="94"/>
      <c r="L135" s="94"/>
      <c r="M135" s="94"/>
      <c r="N135" s="94"/>
      <c r="O135" s="94"/>
      <c r="P135" s="94"/>
      <c r="Q135" s="94"/>
      <c r="R135" s="94"/>
    </row>
    <row r="136" spans="1:18" x14ac:dyDescent="0.3">
      <c r="A136" s="94"/>
      <c r="B136" s="94"/>
      <c r="C136" s="94"/>
      <c r="D136" s="94"/>
      <c r="E136" s="94"/>
      <c r="F136" s="94"/>
      <c r="G136" s="94"/>
      <c r="H136" s="94"/>
      <c r="I136" s="94"/>
      <c r="J136" s="94"/>
      <c r="K136" s="94"/>
      <c r="L136" s="94"/>
      <c r="M136" s="94"/>
      <c r="N136" s="94"/>
      <c r="O136" s="94"/>
      <c r="P136" s="94"/>
      <c r="Q136" s="94"/>
      <c r="R136" s="94"/>
    </row>
    <row r="137" spans="1:18" x14ac:dyDescent="0.3">
      <c r="A137" s="94"/>
      <c r="B137" s="94"/>
      <c r="C137" s="94"/>
      <c r="D137" s="94"/>
      <c r="E137" s="94"/>
      <c r="F137" s="94"/>
      <c r="G137" s="94"/>
      <c r="H137" s="94"/>
      <c r="I137" s="94"/>
      <c r="J137" s="94"/>
      <c r="K137" s="94"/>
      <c r="L137" s="94"/>
      <c r="M137" s="94"/>
      <c r="N137" s="94"/>
      <c r="O137" s="94"/>
      <c r="P137" s="94"/>
      <c r="Q137" s="94"/>
      <c r="R137" s="94"/>
    </row>
    <row r="138" spans="1:18" x14ac:dyDescent="0.3">
      <c r="A138" s="94"/>
      <c r="B138" s="94"/>
      <c r="C138" s="94"/>
      <c r="D138" s="94"/>
      <c r="E138" s="94"/>
      <c r="F138" s="94"/>
      <c r="G138" s="94"/>
      <c r="H138" s="94"/>
      <c r="I138" s="94"/>
      <c r="J138" s="94"/>
      <c r="K138" s="94"/>
      <c r="L138" s="94"/>
      <c r="M138" s="94"/>
      <c r="N138" s="94"/>
      <c r="O138" s="94"/>
      <c r="P138" s="94"/>
      <c r="Q138" s="94"/>
      <c r="R138" s="94"/>
    </row>
    <row r="139" spans="1:18" x14ac:dyDescent="0.3">
      <c r="A139" s="94"/>
      <c r="B139" s="94"/>
      <c r="C139" s="94"/>
      <c r="D139" s="94"/>
      <c r="E139" s="94"/>
      <c r="F139" s="94"/>
      <c r="G139" s="94"/>
      <c r="H139" s="94"/>
      <c r="I139" s="94"/>
      <c r="J139" s="94"/>
      <c r="K139" s="94"/>
      <c r="L139" s="94"/>
      <c r="M139" s="94"/>
      <c r="N139" s="94"/>
      <c r="O139" s="94"/>
      <c r="P139" s="94"/>
      <c r="Q139" s="94"/>
      <c r="R139" s="94"/>
    </row>
    <row r="140" spans="1:18" x14ac:dyDescent="0.3">
      <c r="A140" s="94"/>
      <c r="B140" s="94"/>
      <c r="C140" s="94"/>
      <c r="D140" s="94"/>
      <c r="E140" s="94"/>
      <c r="F140" s="94"/>
      <c r="G140" s="94"/>
      <c r="H140" s="94"/>
      <c r="I140" s="94"/>
      <c r="J140" s="94"/>
      <c r="K140" s="94"/>
      <c r="L140" s="94"/>
      <c r="M140" s="94"/>
      <c r="N140" s="94"/>
      <c r="O140" s="94"/>
      <c r="P140" s="94"/>
      <c r="Q140" s="94"/>
      <c r="R140" s="94"/>
    </row>
    <row r="141" spans="1:18" x14ac:dyDescent="0.3">
      <c r="A141" s="94"/>
      <c r="B141" s="94"/>
      <c r="C141" s="94"/>
      <c r="D141" s="94"/>
      <c r="E141" s="94"/>
      <c r="F141" s="94"/>
      <c r="G141" s="94"/>
      <c r="H141" s="94"/>
      <c r="I141" s="94"/>
      <c r="J141" s="94"/>
      <c r="K141" s="94"/>
      <c r="L141" s="94"/>
      <c r="M141" s="94"/>
      <c r="N141" s="94"/>
      <c r="O141" s="94"/>
      <c r="P141" s="94"/>
      <c r="Q141" s="94"/>
      <c r="R141" s="94"/>
    </row>
    <row r="142" spans="1:18" x14ac:dyDescent="0.3">
      <c r="A142" s="94"/>
      <c r="B142" s="94"/>
      <c r="C142" s="94"/>
      <c r="D142" s="94"/>
      <c r="E142" s="94"/>
      <c r="F142" s="94"/>
      <c r="G142" s="94"/>
      <c r="H142" s="94"/>
      <c r="I142" s="94"/>
      <c r="J142" s="94"/>
      <c r="K142" s="94"/>
      <c r="L142" s="94"/>
      <c r="M142" s="94"/>
      <c r="N142" s="94"/>
      <c r="O142" s="94"/>
      <c r="P142" s="94"/>
      <c r="Q142" s="94"/>
      <c r="R142" s="94"/>
    </row>
    <row r="143" spans="1:18" x14ac:dyDescent="0.3">
      <c r="A143" s="94"/>
      <c r="B143" s="94"/>
      <c r="C143" s="94"/>
      <c r="D143" s="94"/>
      <c r="E143" s="94"/>
      <c r="F143" s="94"/>
      <c r="G143" s="94"/>
      <c r="H143" s="94"/>
      <c r="I143" s="94"/>
      <c r="J143" s="94"/>
      <c r="K143" s="94"/>
      <c r="L143" s="94"/>
      <c r="M143" s="94"/>
      <c r="N143" s="94"/>
      <c r="O143" s="94"/>
      <c r="P143" s="94"/>
      <c r="Q143" s="94"/>
      <c r="R143" s="94"/>
    </row>
    <row r="144" spans="1:18" x14ac:dyDescent="0.3">
      <c r="A144" s="94"/>
      <c r="B144" s="94"/>
      <c r="C144" s="94"/>
      <c r="D144" s="94"/>
      <c r="E144" s="94"/>
      <c r="F144" s="94"/>
      <c r="G144" s="94"/>
      <c r="H144" s="94"/>
      <c r="I144" s="94"/>
      <c r="J144" s="94"/>
      <c r="K144" s="94"/>
      <c r="L144" s="94"/>
      <c r="M144" s="94"/>
      <c r="N144" s="94"/>
      <c r="O144" s="94"/>
      <c r="P144" s="94"/>
      <c r="Q144" s="94"/>
      <c r="R144" s="94"/>
    </row>
    <row r="145" spans="1:18" x14ac:dyDescent="0.3">
      <c r="A145" s="94"/>
      <c r="B145" s="94"/>
      <c r="C145" s="94"/>
      <c r="D145" s="94"/>
      <c r="E145" s="94"/>
      <c r="F145" s="94"/>
      <c r="G145" s="94"/>
      <c r="H145" s="94"/>
      <c r="I145" s="94"/>
      <c r="J145" s="94"/>
      <c r="K145" s="94"/>
      <c r="L145" s="94"/>
      <c r="M145" s="94"/>
      <c r="N145" s="94"/>
      <c r="O145" s="94"/>
      <c r="P145" s="94"/>
      <c r="Q145" s="94"/>
      <c r="R145" s="94"/>
    </row>
    <row r="146" spans="1:18" x14ac:dyDescent="0.3">
      <c r="A146" s="94"/>
      <c r="B146" s="94"/>
      <c r="C146" s="94"/>
      <c r="D146" s="94"/>
      <c r="E146" s="94"/>
      <c r="F146" s="94"/>
      <c r="G146" s="94"/>
      <c r="H146" s="94"/>
      <c r="I146" s="94"/>
      <c r="J146" s="94"/>
      <c r="K146" s="94"/>
      <c r="L146" s="94"/>
      <c r="M146" s="94"/>
      <c r="N146" s="94"/>
      <c r="O146" s="94"/>
      <c r="P146" s="94"/>
      <c r="Q146" s="94"/>
      <c r="R146" s="94"/>
    </row>
    <row r="147" spans="1:18" x14ac:dyDescent="0.3">
      <c r="A147" s="94"/>
      <c r="B147" s="94"/>
      <c r="C147" s="94"/>
      <c r="D147" s="94"/>
      <c r="E147" s="94"/>
      <c r="F147" s="94"/>
      <c r="G147" s="94"/>
      <c r="H147" s="94"/>
      <c r="I147" s="94"/>
      <c r="J147" s="94"/>
      <c r="K147" s="94"/>
      <c r="L147" s="94"/>
      <c r="M147" s="94"/>
      <c r="N147" s="94"/>
      <c r="O147" s="94"/>
      <c r="P147" s="94"/>
      <c r="Q147" s="94"/>
      <c r="R147" s="94"/>
    </row>
    <row r="148" spans="1:18" x14ac:dyDescent="0.3">
      <c r="A148" s="94"/>
      <c r="B148" s="94"/>
      <c r="C148" s="94"/>
      <c r="D148" s="94"/>
      <c r="E148" s="94"/>
      <c r="F148" s="94"/>
      <c r="G148" s="94"/>
      <c r="H148" s="94"/>
      <c r="I148" s="94"/>
      <c r="J148" s="94"/>
      <c r="K148" s="94"/>
      <c r="L148" s="94"/>
      <c r="M148" s="94"/>
      <c r="N148" s="94"/>
      <c r="O148" s="94"/>
      <c r="P148" s="94"/>
      <c r="Q148" s="94"/>
      <c r="R148" s="94"/>
    </row>
    <row r="149" spans="1:18" x14ac:dyDescent="0.3">
      <c r="A149" s="94"/>
      <c r="B149" s="94"/>
      <c r="C149" s="94"/>
      <c r="D149" s="94"/>
      <c r="E149" s="94"/>
      <c r="F149" s="94"/>
      <c r="G149" s="94"/>
      <c r="H149" s="94"/>
      <c r="I149" s="94"/>
      <c r="J149" s="94"/>
      <c r="K149" s="94"/>
      <c r="L149" s="94"/>
      <c r="M149" s="94"/>
      <c r="N149" s="94"/>
      <c r="O149" s="94"/>
      <c r="P149" s="94"/>
      <c r="Q149" s="94"/>
      <c r="R149" s="94"/>
    </row>
    <row r="150" spans="1:18" x14ac:dyDescent="0.3">
      <c r="A150" s="94"/>
      <c r="B150" s="94"/>
      <c r="C150" s="94"/>
      <c r="D150" s="94"/>
      <c r="E150" s="94"/>
      <c r="F150" s="94"/>
      <c r="G150" s="94"/>
      <c r="H150" s="94"/>
      <c r="I150" s="94"/>
      <c r="J150" s="94"/>
      <c r="K150" s="94"/>
      <c r="L150" s="94"/>
      <c r="M150" s="94"/>
      <c r="N150" s="94"/>
      <c r="O150" s="94"/>
      <c r="P150" s="94"/>
      <c r="Q150" s="94"/>
      <c r="R150" s="94"/>
    </row>
    <row r="151" spans="1:18" x14ac:dyDescent="0.3">
      <c r="A151" s="94"/>
      <c r="B151" s="94"/>
      <c r="C151" s="94"/>
      <c r="D151" s="94"/>
      <c r="E151" s="94"/>
      <c r="F151" s="94"/>
      <c r="G151" s="94"/>
      <c r="H151" s="94"/>
      <c r="I151" s="94"/>
      <c r="J151" s="94"/>
      <c r="K151" s="94"/>
      <c r="L151" s="94"/>
      <c r="M151" s="94"/>
      <c r="N151" s="94"/>
      <c r="O151" s="94"/>
      <c r="P151" s="94"/>
      <c r="Q151" s="94"/>
      <c r="R151" s="94"/>
    </row>
    <row r="152" spans="1:18" x14ac:dyDescent="0.3">
      <c r="A152" s="94"/>
      <c r="B152" s="94"/>
      <c r="C152" s="94"/>
      <c r="D152" s="94"/>
      <c r="E152" s="94"/>
      <c r="F152" s="94"/>
      <c r="G152" s="94"/>
      <c r="H152" s="94"/>
      <c r="I152" s="94"/>
      <c r="J152" s="94"/>
      <c r="K152" s="94"/>
      <c r="L152" s="94"/>
      <c r="M152" s="94"/>
      <c r="N152" s="94"/>
      <c r="O152" s="94"/>
      <c r="P152" s="94"/>
      <c r="Q152" s="94"/>
      <c r="R152" s="94"/>
    </row>
    <row r="153" spans="1:18" x14ac:dyDescent="0.3">
      <c r="A153" s="94"/>
      <c r="B153" s="94"/>
      <c r="C153" s="94"/>
      <c r="D153" s="94"/>
      <c r="E153" s="94"/>
      <c r="F153" s="94"/>
      <c r="G153" s="94"/>
      <c r="H153" s="94"/>
      <c r="I153" s="94"/>
      <c r="J153" s="94"/>
      <c r="K153" s="94"/>
      <c r="L153" s="94"/>
      <c r="M153" s="94"/>
      <c r="N153" s="94"/>
      <c r="O153" s="94"/>
      <c r="P153" s="94"/>
      <c r="Q153" s="94"/>
      <c r="R153" s="94"/>
    </row>
    <row r="154" spans="1:18" x14ac:dyDescent="0.3">
      <c r="A154" s="94"/>
      <c r="B154" s="94"/>
      <c r="C154" s="94"/>
      <c r="D154" s="94"/>
      <c r="E154" s="94"/>
      <c r="F154" s="94"/>
      <c r="G154" s="94"/>
      <c r="H154" s="94"/>
      <c r="I154" s="94"/>
      <c r="J154" s="94"/>
      <c r="K154" s="94"/>
      <c r="L154" s="94"/>
      <c r="M154" s="94"/>
      <c r="N154" s="94"/>
      <c r="O154" s="94"/>
      <c r="P154" s="94"/>
      <c r="Q154" s="94"/>
      <c r="R154" s="94"/>
    </row>
    <row r="155" spans="1:18" x14ac:dyDescent="0.3">
      <c r="A155" s="94"/>
      <c r="B155" s="94"/>
      <c r="C155" s="94"/>
      <c r="D155" s="94"/>
      <c r="E155" s="94"/>
      <c r="F155" s="94"/>
      <c r="G155" s="94"/>
      <c r="H155" s="94"/>
      <c r="I155" s="94"/>
      <c r="J155" s="94"/>
      <c r="K155" s="94"/>
      <c r="L155" s="94"/>
      <c r="M155" s="94"/>
      <c r="N155" s="94"/>
      <c r="O155" s="94"/>
      <c r="P155" s="94"/>
      <c r="Q155" s="94"/>
      <c r="R155" s="94"/>
    </row>
    <row r="156" spans="1:18" x14ac:dyDescent="0.3">
      <c r="A156" s="94"/>
      <c r="B156" s="94"/>
      <c r="C156" s="94"/>
      <c r="D156" s="94"/>
      <c r="E156" s="94"/>
      <c r="F156" s="94"/>
      <c r="G156" s="94"/>
      <c r="H156" s="94"/>
      <c r="I156" s="94"/>
      <c r="J156" s="94"/>
      <c r="K156" s="94"/>
      <c r="L156" s="94"/>
      <c r="M156" s="94"/>
      <c r="N156" s="94"/>
      <c r="O156" s="94"/>
      <c r="P156" s="94"/>
      <c r="Q156" s="94"/>
      <c r="R156" s="94"/>
    </row>
    <row r="157" spans="1:18" x14ac:dyDescent="0.3">
      <c r="A157" s="94"/>
      <c r="B157" s="94"/>
      <c r="C157" s="94"/>
      <c r="D157" s="94"/>
      <c r="E157" s="94"/>
      <c r="F157" s="94"/>
      <c r="G157" s="94"/>
      <c r="H157" s="94"/>
      <c r="I157" s="94"/>
      <c r="J157" s="94"/>
      <c r="K157" s="94"/>
      <c r="L157" s="94"/>
      <c r="M157" s="94"/>
      <c r="N157" s="94"/>
      <c r="O157" s="94"/>
      <c r="P157" s="94"/>
      <c r="Q157" s="94"/>
      <c r="R157" s="94"/>
    </row>
    <row r="158" spans="1:18" x14ac:dyDescent="0.3">
      <c r="A158" s="94"/>
      <c r="B158" s="94"/>
      <c r="C158" s="94"/>
      <c r="D158" s="94"/>
      <c r="E158" s="94"/>
      <c r="F158" s="94"/>
      <c r="G158" s="94"/>
      <c r="H158" s="94"/>
      <c r="I158" s="94"/>
      <c r="J158" s="94"/>
      <c r="K158" s="94"/>
      <c r="L158" s="94"/>
      <c r="M158" s="94"/>
      <c r="N158" s="94"/>
      <c r="O158" s="94"/>
      <c r="P158" s="94"/>
      <c r="Q158" s="94"/>
      <c r="R158" s="94"/>
    </row>
    <row r="159" spans="1:18" x14ac:dyDescent="0.3">
      <c r="A159" s="94"/>
      <c r="B159" s="94"/>
      <c r="C159" s="94"/>
      <c r="D159" s="94"/>
      <c r="E159" s="94"/>
      <c r="F159" s="94"/>
      <c r="G159" s="94"/>
      <c r="H159" s="94"/>
      <c r="I159" s="94"/>
      <c r="J159" s="94"/>
      <c r="K159" s="94"/>
      <c r="L159" s="94"/>
      <c r="M159" s="94"/>
      <c r="N159" s="94"/>
      <c r="O159" s="94"/>
      <c r="P159" s="94"/>
      <c r="Q159" s="94"/>
      <c r="R159" s="94"/>
    </row>
    <row r="160" spans="1:18" x14ac:dyDescent="0.3">
      <c r="A160" s="94"/>
      <c r="B160" s="94"/>
      <c r="C160" s="94"/>
      <c r="D160" s="94"/>
      <c r="E160" s="94"/>
      <c r="F160" s="94"/>
      <c r="G160" s="94"/>
      <c r="H160" s="94"/>
      <c r="I160" s="94"/>
      <c r="J160" s="94"/>
      <c r="K160" s="94"/>
      <c r="L160" s="94"/>
      <c r="M160" s="94"/>
      <c r="N160" s="94"/>
      <c r="O160" s="94"/>
      <c r="P160" s="94"/>
      <c r="Q160" s="94"/>
      <c r="R160" s="94"/>
    </row>
    <row r="161" spans="1:18" x14ac:dyDescent="0.3">
      <c r="A161" s="94"/>
      <c r="B161" s="94"/>
      <c r="C161" s="94"/>
      <c r="D161" s="94"/>
      <c r="E161" s="94"/>
      <c r="F161" s="94"/>
      <c r="G161" s="94"/>
      <c r="H161" s="94"/>
      <c r="I161" s="94"/>
      <c r="J161" s="94"/>
      <c r="K161" s="94"/>
      <c r="L161" s="94"/>
      <c r="M161" s="94"/>
      <c r="N161" s="94"/>
      <c r="O161" s="94"/>
      <c r="P161" s="94"/>
      <c r="Q161" s="94"/>
      <c r="R161" s="94"/>
    </row>
    <row r="162" spans="1:18" x14ac:dyDescent="0.3">
      <c r="A162" s="94"/>
      <c r="B162" s="94"/>
      <c r="C162" s="94"/>
      <c r="D162" s="94"/>
      <c r="E162" s="94"/>
      <c r="F162" s="94"/>
      <c r="G162" s="94"/>
      <c r="H162" s="94"/>
      <c r="I162" s="94"/>
      <c r="J162" s="94"/>
      <c r="K162" s="94"/>
      <c r="L162" s="94"/>
      <c r="M162" s="94"/>
      <c r="N162" s="94"/>
      <c r="O162" s="94"/>
      <c r="P162" s="94"/>
      <c r="Q162" s="94"/>
      <c r="R162" s="94"/>
    </row>
    <row r="163" spans="1:18" x14ac:dyDescent="0.3">
      <c r="A163" s="94"/>
      <c r="B163" s="94"/>
      <c r="C163" s="94"/>
      <c r="D163" s="94"/>
      <c r="E163" s="94"/>
      <c r="F163" s="94"/>
      <c r="G163" s="94"/>
      <c r="H163" s="94"/>
      <c r="I163" s="94"/>
      <c r="J163" s="94"/>
      <c r="K163" s="94"/>
      <c r="L163" s="94"/>
      <c r="M163" s="94"/>
      <c r="N163" s="94"/>
      <c r="O163" s="94"/>
      <c r="P163" s="94"/>
      <c r="Q163" s="94"/>
      <c r="R163" s="94"/>
    </row>
    <row r="164" spans="1:18" x14ac:dyDescent="0.3">
      <c r="A164" s="94"/>
      <c r="B164" s="94"/>
      <c r="C164" s="94"/>
      <c r="D164" s="94"/>
      <c r="E164" s="94"/>
      <c r="F164" s="94"/>
      <c r="G164" s="94"/>
      <c r="H164" s="94"/>
      <c r="I164" s="94"/>
      <c r="J164" s="94"/>
      <c r="K164" s="94"/>
      <c r="L164" s="94"/>
      <c r="M164" s="94"/>
      <c r="N164" s="94"/>
      <c r="O164" s="94"/>
      <c r="P164" s="94"/>
      <c r="Q164" s="94"/>
      <c r="R164" s="94"/>
    </row>
    <row r="165" spans="1:18" x14ac:dyDescent="0.3">
      <c r="A165" s="94"/>
      <c r="B165" s="94"/>
      <c r="C165" s="94"/>
      <c r="D165" s="94"/>
      <c r="E165" s="94"/>
      <c r="F165" s="94"/>
      <c r="G165" s="94"/>
      <c r="H165" s="94"/>
      <c r="I165" s="94"/>
      <c r="J165" s="94"/>
      <c r="K165" s="94"/>
      <c r="L165" s="94"/>
      <c r="M165" s="94"/>
      <c r="N165" s="94"/>
      <c r="O165" s="94"/>
      <c r="P165" s="94"/>
      <c r="Q165" s="94"/>
      <c r="R165" s="94"/>
    </row>
    <row r="166" spans="1:18" x14ac:dyDescent="0.3">
      <c r="A166" s="94"/>
      <c r="B166" s="94"/>
      <c r="C166" s="94"/>
      <c r="D166" s="94"/>
      <c r="E166" s="94"/>
      <c r="F166" s="94"/>
      <c r="G166" s="94"/>
      <c r="H166" s="94"/>
      <c r="I166" s="94"/>
      <c r="J166" s="94"/>
      <c r="K166" s="94"/>
      <c r="L166" s="94"/>
      <c r="M166" s="94"/>
      <c r="N166" s="94"/>
      <c r="O166" s="94"/>
      <c r="P166" s="94"/>
      <c r="Q166" s="94"/>
      <c r="R166" s="94"/>
    </row>
    <row r="167" spans="1:18" x14ac:dyDescent="0.3">
      <c r="A167" s="94"/>
      <c r="B167" s="94"/>
      <c r="C167" s="94"/>
      <c r="D167" s="94"/>
      <c r="E167" s="94"/>
      <c r="F167" s="94"/>
      <c r="G167" s="94"/>
      <c r="H167" s="94"/>
      <c r="I167" s="94"/>
      <c r="J167" s="94"/>
      <c r="K167" s="94"/>
      <c r="L167" s="94"/>
      <c r="M167" s="94"/>
      <c r="N167" s="94"/>
      <c r="O167" s="94"/>
      <c r="P167" s="94"/>
      <c r="Q167" s="94"/>
      <c r="R167" s="94"/>
    </row>
    <row r="168" spans="1:18" x14ac:dyDescent="0.3">
      <c r="A168" s="94"/>
      <c r="B168" s="94"/>
      <c r="C168" s="94"/>
      <c r="D168" s="94"/>
      <c r="E168" s="94"/>
      <c r="F168" s="94"/>
      <c r="G168" s="94"/>
      <c r="H168" s="94"/>
      <c r="I168" s="94"/>
      <c r="J168" s="94"/>
      <c r="K168" s="94"/>
      <c r="L168" s="94"/>
      <c r="M168" s="94"/>
      <c r="N168" s="94"/>
      <c r="O168" s="94"/>
      <c r="P168" s="94"/>
      <c r="Q168" s="94"/>
      <c r="R168" s="94"/>
    </row>
    <row r="169" spans="1:18" x14ac:dyDescent="0.3">
      <c r="A169" s="94"/>
      <c r="B169" s="94"/>
      <c r="C169" s="94"/>
      <c r="D169" s="94"/>
      <c r="E169" s="94"/>
      <c r="F169" s="94"/>
      <c r="G169" s="94"/>
      <c r="H169" s="94"/>
      <c r="I169" s="94"/>
      <c r="J169" s="94"/>
      <c r="K169" s="94"/>
      <c r="L169" s="94"/>
      <c r="M169" s="94"/>
      <c r="N169" s="94"/>
      <c r="O169" s="94"/>
      <c r="P169" s="94"/>
      <c r="Q169" s="94"/>
      <c r="R169" s="94"/>
    </row>
    <row r="170" spans="1:18" x14ac:dyDescent="0.3">
      <c r="A170" s="94"/>
      <c r="B170" s="94"/>
      <c r="C170" s="94"/>
      <c r="D170" s="94"/>
      <c r="E170" s="94"/>
      <c r="F170" s="94"/>
      <c r="G170" s="94"/>
      <c r="H170" s="94"/>
      <c r="I170" s="94"/>
      <c r="J170" s="94"/>
      <c r="K170" s="94"/>
      <c r="L170" s="94"/>
      <c r="M170" s="94"/>
      <c r="N170" s="94"/>
      <c r="O170" s="94"/>
      <c r="P170" s="94"/>
      <c r="Q170" s="94"/>
      <c r="R170" s="94"/>
    </row>
    <row r="171" spans="1:18" x14ac:dyDescent="0.3">
      <c r="A171" s="94"/>
      <c r="B171" s="94"/>
      <c r="C171" s="94"/>
      <c r="D171" s="94"/>
      <c r="E171" s="94"/>
      <c r="F171" s="94"/>
      <c r="G171" s="94"/>
      <c r="H171" s="94"/>
      <c r="I171" s="94"/>
      <c r="J171" s="94"/>
      <c r="K171" s="94"/>
      <c r="L171" s="94"/>
      <c r="M171" s="94"/>
      <c r="N171" s="94"/>
      <c r="O171" s="94"/>
      <c r="P171" s="94"/>
      <c r="Q171" s="94"/>
      <c r="R171" s="94"/>
    </row>
    <row r="172" spans="1:18" x14ac:dyDescent="0.3">
      <c r="A172" s="94"/>
      <c r="B172" s="94"/>
      <c r="C172" s="94"/>
      <c r="D172" s="94"/>
      <c r="E172" s="94"/>
      <c r="F172" s="94"/>
      <c r="G172" s="94"/>
      <c r="H172" s="94"/>
      <c r="I172" s="94"/>
      <c r="J172" s="94"/>
      <c r="K172" s="94"/>
      <c r="L172" s="94"/>
      <c r="M172" s="94"/>
      <c r="N172" s="94"/>
      <c r="O172" s="94"/>
      <c r="P172" s="94"/>
      <c r="Q172" s="94"/>
      <c r="R172" s="94"/>
    </row>
    <row r="173" spans="1:18" x14ac:dyDescent="0.3">
      <c r="A173" s="94"/>
      <c r="B173" s="94"/>
      <c r="C173" s="94"/>
      <c r="D173" s="94"/>
      <c r="E173" s="94"/>
      <c r="F173" s="94"/>
      <c r="G173" s="94"/>
      <c r="H173" s="94"/>
      <c r="I173" s="94"/>
      <c r="J173" s="94"/>
      <c r="K173" s="94"/>
      <c r="L173" s="94"/>
      <c r="M173" s="94"/>
      <c r="N173" s="94"/>
      <c r="O173" s="94"/>
      <c r="P173" s="94"/>
      <c r="Q173" s="94"/>
      <c r="R173" s="94"/>
    </row>
    <row r="174" spans="1:18" x14ac:dyDescent="0.3">
      <c r="A174" s="94"/>
      <c r="B174" s="94"/>
      <c r="C174" s="94"/>
      <c r="D174" s="94"/>
      <c r="E174" s="94"/>
      <c r="F174" s="94"/>
      <c r="G174" s="94"/>
      <c r="H174" s="94"/>
      <c r="I174" s="94"/>
      <c r="J174" s="94"/>
      <c r="K174" s="94"/>
      <c r="L174" s="94"/>
      <c r="M174" s="94"/>
      <c r="N174" s="94"/>
      <c r="O174" s="94"/>
      <c r="P174" s="94"/>
      <c r="Q174" s="94"/>
      <c r="R174" s="94"/>
    </row>
    <row r="175" spans="1:18" x14ac:dyDescent="0.3">
      <c r="A175" s="94"/>
      <c r="B175" s="94"/>
      <c r="C175" s="94"/>
      <c r="D175" s="94"/>
      <c r="E175" s="94"/>
      <c r="F175" s="94"/>
      <c r="G175" s="94"/>
      <c r="H175" s="94"/>
      <c r="I175" s="94"/>
      <c r="J175" s="94"/>
      <c r="K175" s="94"/>
      <c r="L175" s="94"/>
      <c r="M175" s="94"/>
      <c r="N175" s="94"/>
      <c r="O175" s="94"/>
      <c r="P175" s="94"/>
      <c r="Q175" s="94"/>
      <c r="R175" s="94"/>
    </row>
    <row r="176" spans="1:18" x14ac:dyDescent="0.3">
      <c r="A176" s="94"/>
      <c r="B176" s="94"/>
      <c r="C176" s="94"/>
      <c r="D176" s="94"/>
      <c r="E176" s="94"/>
      <c r="F176" s="94"/>
      <c r="G176" s="94"/>
      <c r="H176" s="94"/>
      <c r="I176" s="94"/>
      <c r="J176" s="94"/>
      <c r="K176" s="94"/>
      <c r="L176" s="94"/>
      <c r="M176" s="94"/>
      <c r="N176" s="94"/>
      <c r="O176" s="94"/>
      <c r="P176" s="94"/>
      <c r="Q176" s="94"/>
      <c r="R176" s="94"/>
    </row>
    <row r="177" spans="1:18" x14ac:dyDescent="0.3">
      <c r="A177" s="94"/>
      <c r="B177" s="94"/>
      <c r="C177" s="94"/>
      <c r="D177" s="94"/>
      <c r="E177" s="94"/>
      <c r="F177" s="94"/>
      <c r="G177" s="94"/>
      <c r="H177" s="94"/>
      <c r="I177" s="94"/>
      <c r="J177" s="94"/>
      <c r="K177" s="94"/>
      <c r="L177" s="94"/>
      <c r="M177" s="94"/>
      <c r="N177" s="94"/>
      <c r="O177" s="94"/>
      <c r="P177" s="94"/>
      <c r="Q177" s="94"/>
      <c r="R177" s="94"/>
    </row>
    <row r="178" spans="1:18" x14ac:dyDescent="0.3">
      <c r="A178" s="94"/>
      <c r="B178" s="94"/>
      <c r="C178" s="94"/>
      <c r="D178" s="94"/>
      <c r="E178" s="94"/>
      <c r="F178" s="94"/>
      <c r="G178" s="94"/>
      <c r="H178" s="94"/>
      <c r="I178" s="94"/>
      <c r="J178" s="94"/>
      <c r="K178" s="94"/>
      <c r="L178" s="94"/>
      <c r="M178" s="94"/>
      <c r="N178" s="94"/>
      <c r="O178" s="94"/>
      <c r="P178" s="94"/>
      <c r="Q178" s="94"/>
      <c r="R178" s="94"/>
    </row>
    <row r="179" spans="1:18" x14ac:dyDescent="0.3">
      <c r="A179" s="94"/>
      <c r="B179" s="94"/>
      <c r="C179" s="94"/>
      <c r="D179" s="94"/>
      <c r="E179" s="94"/>
      <c r="F179" s="94"/>
      <c r="G179" s="94"/>
      <c r="H179" s="94"/>
      <c r="I179" s="94"/>
      <c r="J179" s="94"/>
      <c r="K179" s="94"/>
      <c r="L179" s="94"/>
      <c r="M179" s="94"/>
      <c r="N179" s="94"/>
      <c r="O179" s="94"/>
      <c r="P179" s="94"/>
      <c r="Q179" s="94"/>
      <c r="R179" s="94"/>
    </row>
    <row r="180" spans="1:18" x14ac:dyDescent="0.3">
      <c r="A180" s="94"/>
      <c r="B180" s="94"/>
      <c r="C180" s="94"/>
      <c r="D180" s="94"/>
      <c r="E180" s="94"/>
      <c r="F180" s="94"/>
      <c r="G180" s="94"/>
      <c r="H180" s="94"/>
      <c r="I180" s="94"/>
      <c r="J180" s="94"/>
      <c r="K180" s="94"/>
      <c r="L180" s="94"/>
      <c r="M180" s="94"/>
      <c r="N180" s="94"/>
      <c r="O180" s="94"/>
      <c r="P180" s="94"/>
      <c r="Q180" s="94"/>
      <c r="R180" s="94"/>
    </row>
    <row r="181" spans="1:18" x14ac:dyDescent="0.3">
      <c r="A181" s="94"/>
      <c r="B181" s="94"/>
      <c r="C181" s="94"/>
      <c r="D181" s="94"/>
      <c r="E181" s="94"/>
      <c r="F181" s="94"/>
      <c r="G181" s="94"/>
      <c r="H181" s="94"/>
      <c r="I181" s="94"/>
      <c r="J181" s="94"/>
      <c r="K181" s="94"/>
      <c r="L181" s="94"/>
      <c r="M181" s="94"/>
      <c r="N181" s="94"/>
      <c r="O181" s="94"/>
      <c r="P181" s="94"/>
      <c r="Q181" s="94"/>
      <c r="R181" s="94"/>
    </row>
    <row r="182" spans="1:18" x14ac:dyDescent="0.3">
      <c r="A182" s="94"/>
      <c r="B182" s="94"/>
      <c r="C182" s="94"/>
      <c r="D182" s="94"/>
      <c r="E182" s="94"/>
      <c r="F182" s="94"/>
      <c r="G182" s="94"/>
      <c r="H182" s="94"/>
      <c r="I182" s="94"/>
      <c r="J182" s="94"/>
      <c r="K182" s="94"/>
      <c r="L182" s="94"/>
      <c r="M182" s="94"/>
      <c r="N182" s="94"/>
      <c r="O182" s="94"/>
      <c r="P182" s="94"/>
      <c r="Q182" s="94"/>
      <c r="R182" s="94"/>
    </row>
    <row r="183" spans="1:18" x14ac:dyDescent="0.3">
      <c r="A183" s="94"/>
      <c r="B183" s="94"/>
      <c r="C183" s="94"/>
      <c r="D183" s="94"/>
      <c r="E183" s="94"/>
      <c r="F183" s="94"/>
      <c r="G183" s="94"/>
      <c r="H183" s="94"/>
      <c r="I183" s="94"/>
      <c r="J183" s="94"/>
      <c r="K183" s="94"/>
      <c r="L183" s="94"/>
      <c r="M183" s="94"/>
      <c r="N183" s="94"/>
      <c r="O183" s="94"/>
      <c r="P183" s="94"/>
      <c r="Q183" s="94"/>
      <c r="R183" s="94"/>
    </row>
    <row r="184" spans="1:18" x14ac:dyDescent="0.3">
      <c r="A184" s="94"/>
      <c r="B184" s="94"/>
      <c r="C184" s="94"/>
      <c r="D184" s="94"/>
      <c r="E184" s="94"/>
      <c r="F184" s="94"/>
      <c r="G184" s="94"/>
      <c r="H184" s="94"/>
      <c r="I184" s="94"/>
      <c r="J184" s="94"/>
      <c r="K184" s="94"/>
      <c r="L184" s="94"/>
      <c r="M184" s="94"/>
      <c r="N184" s="94"/>
      <c r="O184" s="94"/>
      <c r="P184" s="94"/>
      <c r="Q184" s="94"/>
      <c r="R184" s="94"/>
    </row>
    <row r="185" spans="1:18" x14ac:dyDescent="0.3">
      <c r="A185" s="94"/>
      <c r="B185" s="94"/>
      <c r="C185" s="94"/>
      <c r="D185" s="94"/>
      <c r="E185" s="94"/>
      <c r="F185" s="94"/>
      <c r="G185" s="94"/>
      <c r="H185" s="94"/>
      <c r="I185" s="94"/>
      <c r="J185" s="94"/>
      <c r="K185" s="94"/>
      <c r="L185" s="94"/>
      <c r="M185" s="94"/>
      <c r="N185" s="94"/>
      <c r="O185" s="94"/>
      <c r="P185" s="94"/>
      <c r="Q185" s="94"/>
      <c r="R185" s="94"/>
    </row>
    <row r="186" spans="1:18" x14ac:dyDescent="0.3">
      <c r="A186" s="94"/>
      <c r="B186" s="94"/>
      <c r="C186" s="94"/>
      <c r="D186" s="94"/>
      <c r="E186" s="94"/>
      <c r="F186" s="94"/>
      <c r="G186" s="94"/>
      <c r="H186" s="94"/>
      <c r="I186" s="94"/>
      <c r="J186" s="94"/>
      <c r="K186" s="94"/>
      <c r="L186" s="94"/>
      <c r="M186" s="94"/>
      <c r="N186" s="94"/>
      <c r="O186" s="94"/>
      <c r="P186" s="94"/>
      <c r="Q186" s="94"/>
      <c r="R186" s="94"/>
    </row>
    <row r="187" spans="1:18" x14ac:dyDescent="0.3">
      <c r="A187" s="94"/>
      <c r="B187" s="94"/>
      <c r="C187" s="94"/>
      <c r="D187" s="94"/>
      <c r="E187" s="94"/>
      <c r="F187" s="94"/>
      <c r="G187" s="94"/>
      <c r="H187" s="94"/>
      <c r="I187" s="94"/>
      <c r="J187" s="94"/>
      <c r="K187" s="94"/>
      <c r="L187" s="94"/>
      <c r="M187" s="94"/>
      <c r="N187" s="94"/>
      <c r="O187" s="94"/>
      <c r="P187" s="94"/>
      <c r="Q187" s="94"/>
      <c r="R187" s="94"/>
    </row>
    <row r="188" spans="1:18" x14ac:dyDescent="0.3">
      <c r="A188" s="94"/>
      <c r="B188" s="94"/>
      <c r="C188" s="94"/>
      <c r="D188" s="94"/>
      <c r="E188" s="94"/>
      <c r="F188" s="94"/>
      <c r="G188" s="94"/>
      <c r="H188" s="94"/>
      <c r="I188" s="94"/>
      <c r="J188" s="94"/>
      <c r="K188" s="94"/>
      <c r="L188" s="94"/>
      <c r="M188" s="94"/>
      <c r="N188" s="94"/>
      <c r="O188" s="94"/>
      <c r="P188" s="94"/>
      <c r="Q188" s="94"/>
      <c r="R188" s="94"/>
    </row>
    <row r="189" spans="1:18" x14ac:dyDescent="0.3">
      <c r="A189" s="94"/>
      <c r="B189" s="94"/>
      <c r="C189" s="94"/>
      <c r="D189" s="94"/>
      <c r="E189" s="94"/>
      <c r="F189" s="94"/>
      <c r="G189" s="94"/>
      <c r="H189" s="94"/>
      <c r="I189" s="94"/>
      <c r="J189" s="94"/>
      <c r="K189" s="94"/>
      <c r="L189" s="94"/>
      <c r="M189" s="94"/>
      <c r="N189" s="94"/>
      <c r="O189" s="94"/>
      <c r="P189" s="94"/>
      <c r="Q189" s="94"/>
      <c r="R189" s="94"/>
    </row>
    <row r="190" spans="1:18" x14ac:dyDescent="0.3">
      <c r="A190" s="94"/>
      <c r="B190" s="94"/>
      <c r="C190" s="94"/>
      <c r="D190" s="94"/>
      <c r="E190" s="94"/>
      <c r="F190" s="94"/>
      <c r="G190" s="94"/>
      <c r="H190" s="94"/>
      <c r="I190" s="94"/>
      <c r="J190" s="94"/>
      <c r="K190" s="94"/>
      <c r="L190" s="94"/>
      <c r="M190" s="94"/>
      <c r="N190" s="94"/>
      <c r="O190" s="94"/>
      <c r="P190" s="94"/>
      <c r="Q190" s="94"/>
      <c r="R190" s="94"/>
    </row>
    <row r="191" spans="1:18" x14ac:dyDescent="0.3">
      <c r="A191" s="94"/>
      <c r="B191" s="94"/>
      <c r="C191" s="94"/>
      <c r="D191" s="94"/>
      <c r="E191" s="94"/>
      <c r="F191" s="94"/>
      <c r="G191" s="94"/>
      <c r="H191" s="94"/>
      <c r="I191" s="94"/>
      <c r="J191" s="94"/>
      <c r="K191" s="94"/>
      <c r="L191" s="94"/>
      <c r="M191" s="94"/>
      <c r="N191" s="94"/>
      <c r="O191" s="94"/>
      <c r="P191" s="94"/>
      <c r="Q191" s="94"/>
      <c r="R191" s="94"/>
    </row>
    <row r="192" spans="1:18" x14ac:dyDescent="0.3">
      <c r="A192" s="94"/>
      <c r="B192" s="94"/>
      <c r="C192" s="94"/>
      <c r="D192" s="94"/>
      <c r="E192" s="94"/>
      <c r="F192" s="94"/>
      <c r="G192" s="94"/>
      <c r="H192" s="94"/>
      <c r="I192" s="94"/>
      <c r="J192" s="94"/>
      <c r="K192" s="94"/>
      <c r="L192" s="94"/>
      <c r="M192" s="94"/>
      <c r="N192" s="94"/>
      <c r="O192" s="94"/>
      <c r="P192" s="94"/>
      <c r="Q192" s="94"/>
      <c r="R192" s="94"/>
    </row>
    <row r="193" spans="1:18" x14ac:dyDescent="0.3">
      <c r="A193" s="94"/>
      <c r="B193" s="94"/>
      <c r="C193" s="94"/>
      <c r="D193" s="94"/>
      <c r="E193" s="94"/>
      <c r="F193" s="94"/>
      <c r="G193" s="94"/>
      <c r="H193" s="94"/>
      <c r="I193" s="94"/>
      <c r="J193" s="94"/>
      <c r="K193" s="94"/>
      <c r="L193" s="94"/>
      <c r="M193" s="94"/>
      <c r="N193" s="94"/>
      <c r="O193" s="94"/>
      <c r="P193" s="94"/>
      <c r="Q193" s="94"/>
      <c r="R193" s="94"/>
    </row>
    <row r="194" spans="1:18" x14ac:dyDescent="0.3">
      <c r="A194" s="94"/>
      <c r="B194" s="94"/>
      <c r="C194" s="94"/>
      <c r="D194" s="94"/>
      <c r="E194" s="94"/>
      <c r="F194" s="94"/>
      <c r="G194" s="94"/>
      <c r="H194" s="94"/>
      <c r="I194" s="94"/>
      <c r="J194" s="94"/>
      <c r="K194" s="94"/>
      <c r="L194" s="94"/>
      <c r="M194" s="94"/>
      <c r="N194" s="94"/>
      <c r="O194" s="94"/>
      <c r="P194" s="94"/>
      <c r="Q194" s="94"/>
      <c r="R194" s="94"/>
    </row>
    <row r="195" spans="1:18" x14ac:dyDescent="0.3">
      <c r="A195" s="94"/>
      <c r="B195" s="94"/>
      <c r="C195" s="94"/>
      <c r="D195" s="94"/>
      <c r="E195" s="94"/>
      <c r="F195" s="94"/>
      <c r="G195" s="94"/>
      <c r="H195" s="94"/>
      <c r="I195" s="94"/>
      <c r="J195" s="94"/>
      <c r="K195" s="94"/>
      <c r="L195" s="94"/>
      <c r="M195" s="94"/>
      <c r="N195" s="94"/>
      <c r="O195" s="94"/>
      <c r="P195" s="94"/>
      <c r="Q195" s="94"/>
      <c r="R195" s="94"/>
    </row>
    <row r="196" spans="1:18" x14ac:dyDescent="0.3">
      <c r="A196" s="94"/>
      <c r="B196" s="94"/>
      <c r="C196" s="94"/>
      <c r="D196" s="94"/>
      <c r="E196" s="94"/>
      <c r="F196" s="94"/>
      <c r="G196" s="94"/>
      <c r="H196" s="94"/>
      <c r="I196" s="94"/>
      <c r="J196" s="94"/>
      <c r="K196" s="94"/>
      <c r="L196" s="94"/>
      <c r="M196" s="94"/>
      <c r="N196" s="94"/>
      <c r="O196" s="94"/>
      <c r="P196" s="94"/>
      <c r="Q196" s="94"/>
      <c r="R196" s="94"/>
    </row>
    <row r="197" spans="1:18" x14ac:dyDescent="0.3">
      <c r="A197" s="94"/>
      <c r="B197" s="94"/>
      <c r="C197" s="94"/>
      <c r="D197" s="94"/>
      <c r="E197" s="94"/>
      <c r="F197" s="94"/>
      <c r="G197" s="94"/>
      <c r="H197" s="94"/>
      <c r="I197" s="94"/>
      <c r="J197" s="94"/>
      <c r="K197" s="94"/>
      <c r="L197" s="94"/>
      <c r="M197" s="94"/>
      <c r="N197" s="94"/>
      <c r="O197" s="94"/>
      <c r="P197" s="94"/>
      <c r="Q197" s="94"/>
      <c r="R197" s="94"/>
    </row>
    <row r="198" spans="1:18" x14ac:dyDescent="0.3">
      <c r="A198" s="94"/>
      <c r="B198" s="94"/>
      <c r="C198" s="94"/>
      <c r="D198" s="94"/>
      <c r="E198" s="94"/>
      <c r="F198" s="94"/>
      <c r="G198" s="94"/>
      <c r="H198" s="94"/>
      <c r="I198" s="94"/>
      <c r="J198" s="94"/>
      <c r="K198" s="94"/>
      <c r="L198" s="94"/>
      <c r="M198" s="94"/>
      <c r="N198" s="94"/>
      <c r="O198" s="94"/>
      <c r="P198" s="94"/>
      <c r="Q198" s="94"/>
      <c r="R198" s="94"/>
    </row>
    <row r="199" spans="1:18" x14ac:dyDescent="0.3">
      <c r="A199" s="94"/>
      <c r="B199" s="94"/>
      <c r="C199" s="94"/>
      <c r="D199" s="94"/>
      <c r="E199" s="94"/>
      <c r="F199" s="94"/>
      <c r="G199" s="94"/>
      <c r="H199" s="94"/>
      <c r="I199" s="94"/>
      <c r="J199" s="94"/>
      <c r="K199" s="94"/>
      <c r="L199" s="94"/>
      <c r="M199" s="94"/>
      <c r="N199" s="94"/>
      <c r="O199" s="94"/>
      <c r="P199" s="94"/>
      <c r="Q199" s="94"/>
      <c r="R199" s="94"/>
    </row>
    <row r="200" spans="1:18" x14ac:dyDescent="0.3">
      <c r="A200" s="94"/>
      <c r="B200" s="94"/>
      <c r="C200" s="94"/>
      <c r="D200" s="94"/>
      <c r="E200" s="94"/>
      <c r="F200" s="94"/>
      <c r="G200" s="94"/>
      <c r="H200" s="94"/>
      <c r="I200" s="94"/>
      <c r="J200" s="94"/>
      <c r="K200" s="94"/>
      <c r="L200" s="94"/>
      <c r="M200" s="94"/>
      <c r="N200" s="94"/>
      <c r="O200" s="94"/>
      <c r="P200" s="94"/>
      <c r="Q200" s="94"/>
      <c r="R200" s="94"/>
    </row>
    <row r="201" spans="1:18" x14ac:dyDescent="0.3">
      <c r="A201" s="94"/>
      <c r="B201" s="94"/>
      <c r="C201" s="94"/>
      <c r="D201" s="94"/>
      <c r="E201" s="94"/>
      <c r="F201" s="94"/>
      <c r="G201" s="94"/>
      <c r="H201" s="94"/>
      <c r="I201" s="94"/>
      <c r="J201" s="94"/>
      <c r="K201" s="94"/>
      <c r="L201" s="94"/>
      <c r="M201" s="94"/>
      <c r="N201" s="94"/>
      <c r="O201" s="94"/>
      <c r="P201" s="94"/>
      <c r="Q201" s="94"/>
      <c r="R201" s="94"/>
    </row>
    <row r="202" spans="1:18" x14ac:dyDescent="0.3">
      <c r="A202" s="94"/>
      <c r="B202" s="94"/>
      <c r="C202" s="94"/>
      <c r="D202" s="94"/>
      <c r="E202" s="94"/>
      <c r="F202" s="94"/>
      <c r="G202" s="94"/>
      <c r="H202" s="94"/>
      <c r="I202" s="94"/>
      <c r="J202" s="94"/>
      <c r="K202" s="94"/>
      <c r="L202" s="94"/>
      <c r="M202" s="94"/>
      <c r="N202" s="94"/>
      <c r="O202" s="94"/>
      <c r="P202" s="94"/>
      <c r="Q202" s="94"/>
      <c r="R202" s="94"/>
    </row>
    <row r="203" spans="1:18" x14ac:dyDescent="0.3">
      <c r="A203" s="94"/>
      <c r="B203" s="94"/>
      <c r="C203" s="94"/>
      <c r="D203" s="94"/>
      <c r="E203" s="94"/>
      <c r="F203" s="94"/>
      <c r="G203" s="94"/>
      <c r="H203" s="94"/>
      <c r="I203" s="94"/>
      <c r="J203" s="94"/>
      <c r="K203" s="94"/>
      <c r="L203" s="94"/>
      <c r="M203" s="94"/>
      <c r="N203" s="94"/>
      <c r="O203" s="94"/>
      <c r="P203" s="94"/>
      <c r="Q203" s="94"/>
      <c r="R203" s="94"/>
    </row>
    <row r="204" spans="1:18" x14ac:dyDescent="0.3">
      <c r="A204" s="94"/>
      <c r="B204" s="94"/>
      <c r="C204" s="94"/>
      <c r="D204" s="94"/>
      <c r="E204" s="94"/>
      <c r="F204" s="94"/>
      <c r="G204" s="94"/>
      <c r="H204" s="94"/>
      <c r="I204" s="94"/>
      <c r="J204" s="94"/>
      <c r="K204" s="94"/>
      <c r="L204" s="94"/>
      <c r="M204" s="94"/>
      <c r="N204" s="94"/>
      <c r="O204" s="94"/>
      <c r="P204" s="94"/>
      <c r="Q204" s="94"/>
      <c r="R204" s="94"/>
    </row>
    <row r="205" spans="1:18" x14ac:dyDescent="0.3">
      <c r="A205" s="94"/>
      <c r="B205" s="94"/>
      <c r="C205" s="94"/>
      <c r="D205" s="94"/>
      <c r="E205" s="94"/>
      <c r="F205" s="94"/>
      <c r="G205" s="94"/>
      <c r="H205" s="94"/>
      <c r="I205" s="94"/>
      <c r="J205" s="94"/>
      <c r="K205" s="94"/>
      <c r="L205" s="94"/>
      <c r="M205" s="94"/>
      <c r="N205" s="94"/>
      <c r="O205" s="94"/>
      <c r="P205" s="94"/>
      <c r="Q205" s="94"/>
      <c r="R205" s="94"/>
    </row>
    <row r="206" spans="1:18" x14ac:dyDescent="0.3">
      <c r="A206" s="94"/>
      <c r="B206" s="94"/>
      <c r="C206" s="94"/>
      <c r="D206" s="94"/>
      <c r="E206" s="94"/>
      <c r="F206" s="94"/>
      <c r="G206" s="94"/>
      <c r="H206" s="94"/>
      <c r="I206" s="94"/>
      <c r="J206" s="94"/>
      <c r="K206" s="94"/>
      <c r="L206" s="94"/>
      <c r="M206" s="94"/>
      <c r="N206" s="94"/>
      <c r="O206" s="94"/>
      <c r="P206" s="94"/>
      <c r="Q206" s="94"/>
      <c r="R206" s="94"/>
    </row>
    <row r="207" spans="1:18" x14ac:dyDescent="0.3">
      <c r="A207" s="94"/>
      <c r="B207" s="94"/>
      <c r="C207" s="94"/>
      <c r="D207" s="94"/>
      <c r="E207" s="94"/>
      <c r="F207" s="94"/>
      <c r="G207" s="94"/>
      <c r="H207" s="94"/>
      <c r="I207" s="94"/>
      <c r="J207" s="94"/>
      <c r="K207" s="94"/>
      <c r="L207" s="94"/>
      <c r="M207" s="94"/>
      <c r="N207" s="94"/>
      <c r="O207" s="94"/>
      <c r="P207" s="94"/>
      <c r="Q207" s="94"/>
      <c r="R207" s="94"/>
    </row>
    <row r="208" spans="1:18" x14ac:dyDescent="0.3">
      <c r="A208" s="94"/>
      <c r="B208" s="94"/>
      <c r="C208" s="94"/>
      <c r="D208" s="94"/>
      <c r="E208" s="94"/>
      <c r="F208" s="94"/>
      <c r="G208" s="94"/>
      <c r="H208" s="94"/>
      <c r="I208" s="94"/>
      <c r="J208" s="94"/>
      <c r="K208" s="94"/>
      <c r="L208" s="94"/>
      <c r="M208" s="94"/>
      <c r="N208" s="94"/>
      <c r="O208" s="94"/>
      <c r="P208" s="94"/>
      <c r="Q208" s="94"/>
      <c r="R208" s="94"/>
    </row>
    <row r="209" spans="1:18" x14ac:dyDescent="0.3">
      <c r="A209" s="94"/>
      <c r="B209" s="94"/>
      <c r="C209" s="94"/>
      <c r="D209" s="94"/>
      <c r="E209" s="94"/>
      <c r="F209" s="94"/>
      <c r="G209" s="94"/>
      <c r="H209" s="94"/>
      <c r="I209" s="94"/>
      <c r="J209" s="94"/>
      <c r="K209" s="94"/>
      <c r="L209" s="94"/>
      <c r="M209" s="94"/>
      <c r="N209" s="94"/>
      <c r="O209" s="94"/>
      <c r="P209" s="94"/>
      <c r="Q209" s="94"/>
      <c r="R209" s="94"/>
    </row>
    <row r="210" spans="1:18" x14ac:dyDescent="0.3">
      <c r="A210" s="94"/>
      <c r="B210" s="94"/>
      <c r="C210" s="94"/>
      <c r="D210" s="94"/>
      <c r="E210" s="94"/>
      <c r="F210" s="94"/>
      <c r="G210" s="94"/>
      <c r="H210" s="94"/>
      <c r="I210" s="94"/>
      <c r="J210" s="94"/>
      <c r="K210" s="94"/>
      <c r="L210" s="94"/>
      <c r="M210" s="94"/>
      <c r="N210" s="94"/>
      <c r="O210" s="94"/>
      <c r="P210" s="94"/>
      <c r="Q210" s="94"/>
      <c r="R210" s="94"/>
    </row>
    <row r="211" spans="1:18" x14ac:dyDescent="0.3">
      <c r="A211" s="94"/>
      <c r="B211" s="94"/>
      <c r="C211" s="94"/>
      <c r="D211" s="94"/>
      <c r="E211" s="94"/>
      <c r="F211" s="94"/>
      <c r="G211" s="94"/>
      <c r="H211" s="94"/>
      <c r="I211" s="94"/>
      <c r="J211" s="94"/>
      <c r="K211" s="94"/>
      <c r="L211" s="94"/>
      <c r="M211" s="94"/>
      <c r="N211" s="94"/>
      <c r="O211" s="94"/>
      <c r="P211" s="94"/>
      <c r="Q211" s="94"/>
      <c r="R211" s="94"/>
    </row>
    <row r="212" spans="1:18" x14ac:dyDescent="0.3">
      <c r="A212" s="94"/>
      <c r="B212" s="94"/>
      <c r="C212" s="94"/>
      <c r="D212" s="94"/>
      <c r="E212" s="94"/>
      <c r="F212" s="94"/>
      <c r="G212" s="94"/>
      <c r="H212" s="94"/>
      <c r="I212" s="94"/>
      <c r="J212" s="94"/>
      <c r="K212" s="94"/>
      <c r="L212" s="94"/>
      <c r="M212" s="94"/>
      <c r="N212" s="94"/>
      <c r="O212" s="94"/>
      <c r="P212" s="94"/>
      <c r="Q212" s="94"/>
      <c r="R212" s="94"/>
    </row>
    <row r="213" spans="1:18" x14ac:dyDescent="0.3">
      <c r="A213" s="94"/>
      <c r="B213" s="94"/>
      <c r="C213" s="94"/>
      <c r="D213" s="94"/>
      <c r="E213" s="94"/>
      <c r="F213" s="94"/>
      <c r="G213" s="94"/>
      <c r="H213" s="94"/>
      <c r="I213" s="94"/>
      <c r="J213" s="94"/>
      <c r="K213" s="94"/>
      <c r="L213" s="94"/>
      <c r="M213" s="94"/>
      <c r="N213" s="94"/>
      <c r="O213" s="94"/>
      <c r="P213" s="94"/>
      <c r="Q213" s="94"/>
      <c r="R213" s="94"/>
    </row>
    <row r="214" spans="1:18" x14ac:dyDescent="0.3">
      <c r="A214" s="94"/>
      <c r="B214" s="94"/>
      <c r="C214" s="94"/>
      <c r="D214" s="94"/>
      <c r="E214" s="94"/>
      <c r="F214" s="94"/>
      <c r="G214" s="94"/>
      <c r="H214" s="94"/>
      <c r="I214" s="94"/>
      <c r="J214" s="94"/>
      <c r="K214" s="94"/>
      <c r="L214" s="94"/>
      <c r="M214" s="94"/>
      <c r="N214" s="94"/>
      <c r="O214" s="94"/>
      <c r="P214" s="94"/>
      <c r="Q214" s="94"/>
      <c r="R214" s="94"/>
    </row>
    <row r="215" spans="1:18" x14ac:dyDescent="0.3">
      <c r="A215" s="94"/>
      <c r="B215" s="94"/>
      <c r="C215" s="94"/>
      <c r="D215" s="94"/>
      <c r="E215" s="94"/>
      <c r="F215" s="94"/>
      <c r="G215" s="94"/>
      <c r="H215" s="94"/>
      <c r="I215" s="94"/>
      <c r="J215" s="94"/>
      <c r="K215" s="94"/>
      <c r="L215" s="94"/>
      <c r="M215" s="94"/>
      <c r="N215" s="94"/>
      <c r="O215" s="94"/>
      <c r="P215" s="94"/>
      <c r="Q215" s="94"/>
      <c r="R215" s="94"/>
    </row>
    <row r="216" spans="1:18" x14ac:dyDescent="0.3">
      <c r="A216" s="94"/>
      <c r="B216" s="94"/>
      <c r="C216" s="94"/>
      <c r="D216" s="94"/>
      <c r="E216" s="94"/>
      <c r="F216" s="94"/>
      <c r="G216" s="94"/>
      <c r="H216" s="94"/>
      <c r="I216" s="94"/>
      <c r="J216" s="94"/>
      <c r="K216" s="94"/>
      <c r="L216" s="94"/>
      <c r="M216" s="94"/>
      <c r="N216" s="94"/>
      <c r="O216" s="94"/>
      <c r="P216" s="94"/>
      <c r="Q216" s="94"/>
      <c r="R216" s="94"/>
    </row>
    <row r="217" spans="1:18" x14ac:dyDescent="0.3">
      <c r="A217" s="94"/>
      <c r="B217" s="94"/>
      <c r="C217" s="94"/>
      <c r="D217" s="94"/>
      <c r="E217" s="94"/>
      <c r="F217" s="94"/>
      <c r="G217" s="94"/>
      <c r="H217" s="94"/>
      <c r="I217" s="94"/>
      <c r="J217" s="94"/>
      <c r="K217" s="94"/>
      <c r="L217" s="94"/>
      <c r="M217" s="94"/>
      <c r="N217" s="94"/>
      <c r="O217" s="94"/>
      <c r="P217" s="94"/>
      <c r="Q217" s="94"/>
      <c r="R217" s="94"/>
    </row>
    <row r="218" spans="1:18" x14ac:dyDescent="0.3">
      <c r="A218" s="94"/>
      <c r="B218" s="94"/>
      <c r="C218" s="94"/>
      <c r="D218" s="94"/>
      <c r="E218" s="94"/>
      <c r="F218" s="94"/>
      <c r="G218" s="94"/>
      <c r="H218" s="94"/>
      <c r="I218" s="94"/>
      <c r="J218" s="94"/>
      <c r="K218" s="94"/>
      <c r="L218" s="94"/>
      <c r="M218" s="94"/>
      <c r="N218" s="94"/>
      <c r="O218" s="94"/>
      <c r="P218" s="94"/>
      <c r="Q218" s="94"/>
      <c r="R218" s="94"/>
    </row>
    <row r="219" spans="1:18" x14ac:dyDescent="0.3">
      <c r="A219" s="94"/>
      <c r="B219" s="94"/>
      <c r="C219" s="94"/>
      <c r="D219" s="94"/>
      <c r="E219" s="94"/>
      <c r="F219" s="94"/>
      <c r="G219" s="94"/>
      <c r="H219" s="94"/>
      <c r="I219" s="94"/>
      <c r="J219" s="94"/>
      <c r="K219" s="94"/>
      <c r="L219" s="94"/>
      <c r="M219" s="94"/>
      <c r="N219" s="94"/>
      <c r="O219" s="94"/>
      <c r="P219" s="94"/>
      <c r="Q219" s="94"/>
      <c r="R219" s="94"/>
    </row>
    <row r="220" spans="1:18" x14ac:dyDescent="0.3">
      <c r="A220" s="94"/>
      <c r="B220" s="94"/>
      <c r="C220" s="94"/>
      <c r="D220" s="94"/>
      <c r="E220" s="94"/>
      <c r="F220" s="94"/>
      <c r="G220" s="94"/>
      <c r="H220" s="94"/>
      <c r="I220" s="94"/>
      <c r="J220" s="94"/>
      <c r="K220" s="94"/>
      <c r="L220" s="94"/>
      <c r="M220" s="94"/>
      <c r="N220" s="94"/>
      <c r="O220" s="94"/>
      <c r="P220" s="94"/>
      <c r="Q220" s="94"/>
      <c r="R220" s="94"/>
    </row>
    <row r="221" spans="1:18" x14ac:dyDescent="0.3">
      <c r="A221" s="94"/>
      <c r="B221" s="94"/>
      <c r="C221" s="94"/>
      <c r="D221" s="94"/>
      <c r="E221" s="94"/>
      <c r="F221" s="94"/>
      <c r="G221" s="94"/>
      <c r="H221" s="94"/>
      <c r="I221" s="94"/>
      <c r="J221" s="94"/>
      <c r="K221" s="94"/>
      <c r="L221" s="94"/>
      <c r="M221" s="94"/>
      <c r="N221" s="94"/>
      <c r="O221" s="94"/>
      <c r="P221" s="94"/>
      <c r="Q221" s="94"/>
      <c r="R221" s="94"/>
    </row>
    <row r="222" spans="1:18" x14ac:dyDescent="0.3">
      <c r="A222" s="94"/>
      <c r="B222" s="94"/>
      <c r="C222" s="94"/>
      <c r="D222" s="94"/>
      <c r="E222" s="94"/>
      <c r="F222" s="94"/>
      <c r="G222" s="94"/>
      <c r="H222" s="94"/>
      <c r="I222" s="94"/>
      <c r="J222" s="94"/>
      <c r="K222" s="94"/>
      <c r="L222" s="94"/>
      <c r="M222" s="94"/>
      <c r="N222" s="94"/>
      <c r="O222" s="94"/>
      <c r="P222" s="94"/>
      <c r="Q222" s="94"/>
      <c r="R222" s="94"/>
    </row>
    <row r="223" spans="1:18" x14ac:dyDescent="0.3">
      <c r="A223" s="94"/>
      <c r="B223" s="94"/>
      <c r="C223" s="94"/>
      <c r="D223" s="94"/>
      <c r="E223" s="94"/>
      <c r="F223" s="94"/>
      <c r="G223" s="94"/>
      <c r="H223" s="94"/>
      <c r="I223" s="94"/>
      <c r="J223" s="94"/>
      <c r="K223" s="94"/>
      <c r="L223" s="94"/>
      <c r="M223" s="94"/>
      <c r="N223" s="94"/>
      <c r="O223" s="94"/>
      <c r="P223" s="94"/>
      <c r="Q223" s="94"/>
      <c r="R223" s="94"/>
    </row>
    <row r="224" spans="1:18" x14ac:dyDescent="0.3">
      <c r="A224" s="94"/>
      <c r="B224" s="94"/>
      <c r="C224" s="94"/>
      <c r="D224" s="94"/>
      <c r="E224" s="94"/>
      <c r="F224" s="94"/>
      <c r="G224" s="94"/>
      <c r="H224" s="94"/>
      <c r="I224" s="94"/>
      <c r="J224" s="94"/>
      <c r="K224" s="94"/>
      <c r="L224" s="94"/>
      <c r="M224" s="94"/>
      <c r="N224" s="94"/>
      <c r="O224" s="94"/>
      <c r="P224" s="94"/>
      <c r="Q224" s="94"/>
      <c r="R224" s="94"/>
    </row>
    <row r="225" spans="1:18" x14ac:dyDescent="0.3">
      <c r="A225" s="94"/>
      <c r="B225" s="94"/>
      <c r="C225" s="94"/>
      <c r="D225" s="94"/>
      <c r="E225" s="94"/>
      <c r="F225" s="94"/>
      <c r="G225" s="94"/>
      <c r="H225" s="94"/>
      <c r="I225" s="94"/>
      <c r="J225" s="94"/>
      <c r="K225" s="94"/>
      <c r="L225" s="94"/>
      <c r="M225" s="94"/>
      <c r="N225" s="94"/>
      <c r="O225" s="94"/>
      <c r="P225" s="94"/>
      <c r="Q225" s="94"/>
      <c r="R225" s="94"/>
    </row>
    <row r="226" spans="1:18" x14ac:dyDescent="0.3">
      <c r="A226" s="94"/>
      <c r="B226" s="94"/>
      <c r="C226" s="94"/>
      <c r="D226" s="94"/>
      <c r="E226" s="94"/>
      <c r="F226" s="94"/>
      <c r="G226" s="94"/>
      <c r="H226" s="94"/>
      <c r="I226" s="94"/>
      <c r="J226" s="94"/>
      <c r="K226" s="94"/>
      <c r="L226" s="94"/>
      <c r="M226" s="94"/>
      <c r="N226" s="94"/>
      <c r="O226" s="94"/>
      <c r="P226" s="94"/>
      <c r="Q226" s="94"/>
      <c r="R226" s="94"/>
    </row>
    <row r="227" spans="1:18" x14ac:dyDescent="0.3">
      <c r="A227" s="94"/>
      <c r="B227" s="94"/>
      <c r="C227" s="94"/>
      <c r="D227" s="94"/>
      <c r="E227" s="94"/>
      <c r="F227" s="94"/>
      <c r="G227" s="94"/>
      <c r="H227" s="94"/>
      <c r="I227" s="94"/>
      <c r="J227" s="94"/>
      <c r="K227" s="94"/>
      <c r="L227" s="94"/>
      <c r="M227" s="94"/>
      <c r="N227" s="94"/>
      <c r="O227" s="94"/>
      <c r="P227" s="94"/>
      <c r="Q227" s="94"/>
      <c r="R227" s="94"/>
    </row>
    <row r="228" spans="1:18" x14ac:dyDescent="0.3">
      <c r="A228" s="94"/>
      <c r="B228" s="94"/>
      <c r="C228" s="94"/>
      <c r="D228" s="94"/>
      <c r="E228" s="94"/>
      <c r="F228" s="94"/>
      <c r="G228" s="94"/>
      <c r="H228" s="94"/>
      <c r="I228" s="94"/>
      <c r="J228" s="94"/>
      <c r="K228" s="94"/>
      <c r="L228" s="94"/>
      <c r="M228" s="94"/>
      <c r="N228" s="94"/>
      <c r="O228" s="94"/>
      <c r="P228" s="94"/>
      <c r="Q228" s="94"/>
      <c r="R228" s="94"/>
    </row>
    <row r="229" spans="1:18" x14ac:dyDescent="0.3">
      <c r="A229" s="94"/>
      <c r="B229" s="94"/>
      <c r="C229" s="94"/>
      <c r="D229" s="94"/>
      <c r="E229" s="94"/>
      <c r="F229" s="94"/>
      <c r="G229" s="94"/>
      <c r="H229" s="94"/>
      <c r="I229" s="94"/>
      <c r="J229" s="94"/>
      <c r="K229" s="94"/>
      <c r="L229" s="94"/>
      <c r="M229" s="94"/>
      <c r="N229" s="94"/>
      <c r="O229" s="94"/>
      <c r="P229" s="94"/>
      <c r="Q229" s="94"/>
      <c r="R229" s="94"/>
    </row>
    <row r="230" spans="1:18" x14ac:dyDescent="0.3">
      <c r="A230" s="94"/>
      <c r="B230" s="94"/>
      <c r="C230" s="94"/>
      <c r="D230" s="94"/>
      <c r="E230" s="94"/>
      <c r="F230" s="94"/>
      <c r="G230" s="94"/>
      <c r="H230" s="94"/>
      <c r="I230" s="94"/>
      <c r="J230" s="94"/>
      <c r="K230" s="94"/>
      <c r="L230" s="94"/>
      <c r="M230" s="94"/>
      <c r="N230" s="94"/>
      <c r="O230" s="94"/>
      <c r="P230" s="94"/>
      <c r="Q230" s="94"/>
      <c r="R230" s="94"/>
    </row>
    <row r="231" spans="1:18" x14ac:dyDescent="0.3">
      <c r="A231" s="94"/>
      <c r="B231" s="94"/>
      <c r="C231" s="94"/>
      <c r="D231" s="94"/>
      <c r="E231" s="94"/>
      <c r="F231" s="94"/>
      <c r="G231" s="94"/>
      <c r="H231" s="94"/>
      <c r="I231" s="94"/>
      <c r="J231" s="94"/>
      <c r="K231" s="94"/>
      <c r="L231" s="94"/>
      <c r="M231" s="94"/>
      <c r="N231" s="94"/>
      <c r="O231" s="94"/>
      <c r="P231" s="94"/>
      <c r="Q231" s="94"/>
      <c r="R231" s="94"/>
    </row>
    <row r="232" spans="1:18" x14ac:dyDescent="0.3">
      <c r="A232" s="94"/>
      <c r="B232" s="94"/>
      <c r="C232" s="94"/>
      <c r="D232" s="94"/>
      <c r="E232" s="94"/>
      <c r="F232" s="94"/>
      <c r="G232" s="94"/>
      <c r="H232" s="94"/>
      <c r="I232" s="94"/>
      <c r="J232" s="94"/>
      <c r="K232" s="94"/>
      <c r="L232" s="94"/>
      <c r="M232" s="94"/>
      <c r="N232" s="94"/>
      <c r="O232" s="94"/>
      <c r="P232" s="94"/>
      <c r="Q232" s="94"/>
      <c r="R232" s="94"/>
    </row>
  </sheetData>
  <mergeCells count="49">
    <mergeCell ref="D10:N10"/>
    <mergeCell ref="B15:B16"/>
    <mergeCell ref="B11:O11"/>
    <mergeCell ref="M15:N15"/>
    <mergeCell ref="B5:C5"/>
    <mergeCell ref="B6:C6"/>
    <mergeCell ref="B7:C7"/>
    <mergeCell ref="D6:E6"/>
    <mergeCell ref="D7:E7"/>
    <mergeCell ref="B8:O9"/>
    <mergeCell ref="J7:K7"/>
    <mergeCell ref="L7:M7"/>
    <mergeCell ref="N7:O7"/>
    <mergeCell ref="H7:I7"/>
    <mergeCell ref="F7:G7"/>
    <mergeCell ref="B14:O14"/>
    <mergeCell ref="G16:H16"/>
    <mergeCell ref="J15:K15"/>
    <mergeCell ref="J16:K16"/>
    <mergeCell ref="M16:N16"/>
    <mergeCell ref="D15:E15"/>
    <mergeCell ref="D13:E13"/>
    <mergeCell ref="D5:E5"/>
    <mergeCell ref="M13:N13"/>
    <mergeCell ref="B23:O24"/>
    <mergeCell ref="M20:N22"/>
    <mergeCell ref="B12:B13"/>
    <mergeCell ref="F6:G6"/>
    <mergeCell ref="B17:O18"/>
    <mergeCell ref="D12:E12"/>
    <mergeCell ref="G13:H13"/>
    <mergeCell ref="G12:H12"/>
    <mergeCell ref="J12:K12"/>
    <mergeCell ref="J13:K13"/>
    <mergeCell ref="M12:N12"/>
    <mergeCell ref="D16:E16"/>
    <mergeCell ref="G15:H15"/>
    <mergeCell ref="B2:O2"/>
    <mergeCell ref="B3:O3"/>
    <mergeCell ref="B4:O4"/>
    <mergeCell ref="N5:O5"/>
    <mergeCell ref="N6:O6"/>
    <mergeCell ref="L5:M5"/>
    <mergeCell ref="L6:M6"/>
    <mergeCell ref="J5:K5"/>
    <mergeCell ref="J6:K6"/>
    <mergeCell ref="H5:I5"/>
    <mergeCell ref="H6:I6"/>
    <mergeCell ref="F5:G5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Filtro de Região" error="Escolha uma opção da lista." xr:uid="{4ECABC70-0186-4763-A365-CD3707B46BD8}">
          <x14:formula1>
            <xm:f>'Tabelas Auxiliares'!$O$4:$O$10</xm:f>
          </x14:formula1>
          <xm:sqref>D10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78349-E26E-463D-8E85-708AF7C683E2}">
  <sheetPr codeName="Planilha1"/>
  <dimension ref="B1:W228"/>
  <sheetViews>
    <sheetView topLeftCell="A83" zoomScale="70" zoomScaleNormal="70" workbookViewId="0">
      <selection activeCell="J57" sqref="J57"/>
    </sheetView>
  </sheetViews>
  <sheetFormatPr defaultRowHeight="15.6" outlineLevelCol="1" x14ac:dyDescent="0.3"/>
  <cols>
    <col min="2" max="2" width="8.69921875" customWidth="1"/>
    <col min="3" max="16" width="20.69921875" customWidth="1"/>
    <col min="17" max="17" width="8.69921875" customWidth="1"/>
    <col min="18" max="23" width="8.796875" customWidth="1" outlineLevel="1"/>
    <col min="26" max="26" width="13.09765625" customWidth="1"/>
  </cols>
  <sheetData>
    <row r="1" spans="2:17" ht="16.2" thickBot="1" x14ac:dyDescent="0.35"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</row>
    <row r="2" spans="2:17" ht="126.6" customHeight="1" thickBot="1" x14ac:dyDescent="0.35">
      <c r="B2" s="226" t="s">
        <v>753</v>
      </c>
      <c r="C2" s="227"/>
      <c r="D2" s="227"/>
      <c r="E2" s="227"/>
      <c r="F2" s="227"/>
      <c r="G2" s="227"/>
      <c r="H2" s="227"/>
      <c r="I2" s="227"/>
      <c r="J2" s="227"/>
      <c r="K2" s="227"/>
      <c r="L2" s="227"/>
      <c r="M2" s="227"/>
      <c r="N2" s="227"/>
      <c r="O2" s="227"/>
      <c r="P2" s="227"/>
      <c r="Q2" s="228"/>
    </row>
    <row r="3" spans="2:17" ht="36" customHeight="1" thickBot="1" x14ac:dyDescent="0.35">
      <c r="B3" s="278" t="str">
        <f ca="1">"Regiões 01, 02, 03, 14, 15 e 16   |   "&amp;COUNTA('BASE DASHBOARD'!$B$4:$B$166)&amp;" OSPs cadastradas   |   Atualizado em "&amp;TEXT(TODAY(),"dd/mm/aaaa")</f>
        <v>Regiões 01, 02, 03, 14, 15 e 16   |   163 OSPs cadastradas   |   Atualizado em 18/09/2026</v>
      </c>
      <c r="C3" s="279"/>
      <c r="D3" s="279"/>
      <c r="E3" s="279"/>
      <c r="F3" s="279"/>
      <c r="G3" s="279"/>
      <c r="H3" s="279"/>
      <c r="I3" s="279"/>
      <c r="J3" s="279"/>
      <c r="K3" s="279"/>
      <c r="L3" s="279"/>
      <c r="M3" s="279"/>
      <c r="N3" s="279"/>
      <c r="O3" s="279"/>
      <c r="P3" s="279"/>
      <c r="Q3" s="280"/>
    </row>
    <row r="4" spans="2:17" ht="29.4" customHeight="1" x14ac:dyDescent="0.3">
      <c r="B4" s="290"/>
      <c r="C4" s="291"/>
      <c r="D4" s="291"/>
      <c r="E4" s="291"/>
      <c r="F4" s="291"/>
      <c r="G4" s="291"/>
      <c r="H4" s="291"/>
      <c r="I4" s="291"/>
      <c r="J4" s="291"/>
      <c r="K4" s="291"/>
      <c r="L4" s="291"/>
      <c r="M4" s="291"/>
      <c r="N4" s="291"/>
      <c r="O4" s="291"/>
      <c r="P4" s="291"/>
      <c r="Q4" s="292"/>
    </row>
    <row r="5" spans="2:17" ht="29.4" customHeight="1" thickBot="1" x14ac:dyDescent="0.35">
      <c r="B5" s="232"/>
      <c r="C5" s="233"/>
      <c r="D5" s="233"/>
      <c r="E5" s="233"/>
      <c r="F5" s="233"/>
      <c r="G5" s="233"/>
      <c r="H5" s="233"/>
      <c r="I5" s="233"/>
      <c r="J5" s="233"/>
      <c r="K5" s="233"/>
      <c r="L5" s="233"/>
      <c r="M5" s="233"/>
      <c r="N5" s="233"/>
      <c r="O5" s="233"/>
      <c r="P5" s="233"/>
      <c r="Q5" s="234"/>
    </row>
    <row r="6" spans="2:17" ht="60" customHeight="1" thickBot="1" x14ac:dyDescent="0.35">
      <c r="B6" s="114"/>
      <c r="C6" s="293" t="s">
        <v>757</v>
      </c>
      <c r="D6" s="294"/>
      <c r="E6" s="294"/>
      <c r="F6" s="294"/>
      <c r="G6" s="295"/>
      <c r="H6" s="115"/>
      <c r="I6" s="115"/>
      <c r="J6" s="281" t="s">
        <v>756</v>
      </c>
      <c r="K6" s="282"/>
      <c r="L6" s="282"/>
      <c r="M6" s="282"/>
      <c r="N6" s="282"/>
      <c r="O6" s="282"/>
      <c r="P6" s="283"/>
      <c r="Q6" s="116"/>
    </row>
    <row r="7" spans="2:17" ht="42" customHeight="1" x14ac:dyDescent="0.3">
      <c r="B7" s="114"/>
      <c r="C7" s="123" t="s">
        <v>6</v>
      </c>
      <c r="D7" s="143" t="s">
        <v>735</v>
      </c>
      <c r="E7" s="143" t="s">
        <v>4</v>
      </c>
      <c r="F7" s="143" t="s">
        <v>1</v>
      </c>
      <c r="G7" s="144" t="s">
        <v>736</v>
      </c>
      <c r="H7" s="115"/>
      <c r="I7" s="115"/>
      <c r="J7" s="284" t="s">
        <v>9</v>
      </c>
      <c r="K7" s="285"/>
      <c r="L7" s="286"/>
      <c r="M7" s="143" t="s">
        <v>735</v>
      </c>
      <c r="N7" s="143" t="s">
        <v>709</v>
      </c>
      <c r="O7" s="143" t="s">
        <v>1</v>
      </c>
      <c r="P7" s="144" t="s">
        <v>736</v>
      </c>
      <c r="Q7" s="116"/>
    </row>
    <row r="8" spans="2:17" ht="24" customHeight="1" x14ac:dyDescent="0.3">
      <c r="B8" s="114"/>
      <c r="C8" s="134" t="str">
        <f>IFERROR(INDEX('BASE DASHBOARD'!$AG$4:$AG$166,MATCH($D8,'BASE DASHBOARD'!$AJ$4:$AJ$166,0)),"")</f>
        <v>036.2025.0001</v>
      </c>
      <c r="D8" s="126">
        <f t="shared" ref="D8:D17" si="0">ROW()-7</f>
        <v>1</v>
      </c>
      <c r="E8" s="127" t="str">
        <f>IF($C8="","",IFERROR(INDEX('BASE DASHBOARD'!$AF$4:$AF$166,MATCH($D8,'BASE DASHBOARD'!$AJ$4:$AJ$166,0)),""))</f>
        <v>R16</v>
      </c>
      <c r="F8" s="136">
        <f>IF($C8="","",IFERROR(INDEX('BASE DASHBOARD'!$AH$4:$AH$166,MATCH($D8,'BASE DASHBOARD'!$AJ$4:$AJ$166,0)),0))</f>
        <v>20918755.530000001</v>
      </c>
      <c r="G8" s="128">
        <f>IF($C8="","",IFERROR($F8/DASHBOARD!$G$13,0))</f>
        <v>0.2360434426465281</v>
      </c>
      <c r="H8" s="115"/>
      <c r="I8" s="115"/>
      <c r="J8" s="287" t="str">
        <f>IFERROR(INDEX('BASE DASHBOARD'!$Z$4:$Z$59,MATCH($M8,'BASE DASHBOARD'!$AD$4:$AD$59,0)),"")</f>
        <v xml:space="preserve">Reciclagem do pavimento e execução de TSD / Fornecimento e aplicação de CBUQ / Sinalização de Obras </v>
      </c>
      <c r="K8" s="288"/>
      <c r="L8" s="289"/>
      <c r="M8" s="126">
        <f t="shared" ref="M8:M17" si="1">ROW()-7</f>
        <v>1</v>
      </c>
      <c r="N8" s="126">
        <f>IF($J8="","",IFERROR(INDEX('BASE DASHBOARD'!$AA$4:$AA$59,MATCH($M8,'BASE DASHBOARD'!$AD$4:$AD$59,0)),0))</f>
        <v>2</v>
      </c>
      <c r="O8" s="136">
        <f>IF($J8="","",IFERROR(INDEX('BASE DASHBOARD'!$AB$4:$AB$59,MATCH($M8,'BASE DASHBOARD'!$AD$4:$AD$59,0)),0))</f>
        <v>22223742.859999999</v>
      </c>
      <c r="P8" s="128">
        <f>IF($J8="","",IFERROR($O8/DASHBOARD!$G$13,0))</f>
        <v>0.2507686829478234</v>
      </c>
      <c r="Q8" s="116"/>
    </row>
    <row r="9" spans="2:17" ht="24" customHeight="1" x14ac:dyDescent="0.3">
      <c r="B9" s="114"/>
      <c r="C9" s="138" t="str">
        <f>IFERROR(INDEX('BASE DASHBOARD'!$AG$4:$AG$166,MATCH($D9,'BASE DASHBOARD'!$AJ$4:$AJ$166,0)),"")</f>
        <v>034.2025.0009</v>
      </c>
      <c r="D9" s="139">
        <f t="shared" si="0"/>
        <v>2</v>
      </c>
      <c r="E9" s="140" t="str">
        <f>IF($C9="","",IFERROR(INDEX('BASE DASHBOARD'!$AF$4:$AF$166,MATCH($D9,'BASE DASHBOARD'!$AJ$4:$AJ$166,0)),""))</f>
        <v>R14</v>
      </c>
      <c r="F9" s="141">
        <f>IF($C9="","",IFERROR(INDEX('BASE DASHBOARD'!$AH$4:$AH$166,MATCH($D9,'BASE DASHBOARD'!$AJ$4:$AJ$166,0)),0))</f>
        <v>10717872.65</v>
      </c>
      <c r="G9" s="142">
        <f>IF($C9="","",IFERROR($F9/DASHBOARD!$G$13,0))</f>
        <v>0.12093853071349829</v>
      </c>
      <c r="H9" s="115"/>
      <c r="I9" s="115"/>
      <c r="J9" s="272" t="str">
        <f>IFERROR(INDEX('BASE DASHBOARD'!$Z$4:$Z$59,MATCH($M9,'BASE DASHBOARD'!$AD$4:$AD$59,0)),"")</f>
        <v xml:space="preserve">Reciclagem do pavimento e execução de TSD / Microrrevestimento asfáltico 8 mm / Sinalização de Obras </v>
      </c>
      <c r="K9" s="273"/>
      <c r="L9" s="274"/>
      <c r="M9" s="139">
        <f t="shared" si="1"/>
        <v>2</v>
      </c>
      <c r="N9" s="139">
        <f>IF($J9="","",IFERROR(INDEX('BASE DASHBOARD'!$AA$4:$AA$59,MATCH($M9,'BASE DASHBOARD'!$AD$4:$AD$59,0)),0))</f>
        <v>2</v>
      </c>
      <c r="O9" s="141">
        <f>IF($J9="","",IFERROR(INDEX('BASE DASHBOARD'!$AB$4:$AB$59,MATCH($M9,'BASE DASHBOARD'!$AD$4:$AD$59,0)),0))</f>
        <v>15760782.74</v>
      </c>
      <c r="P9" s="142">
        <f>IF($J9="","",IFERROR($O9/DASHBOARD!$G$13,0))</f>
        <v>0.17784181336305238</v>
      </c>
      <c r="Q9" s="116"/>
    </row>
    <row r="10" spans="2:17" ht="24" customHeight="1" x14ac:dyDescent="0.3">
      <c r="B10" s="114"/>
      <c r="C10" s="135" t="str">
        <f>IFERROR(INDEX('BASE DASHBOARD'!$AG$4:$AG$166,MATCH($D10,'BASE DASHBOARD'!$AJ$4:$AJ$166,0)),"")</f>
        <v>036.2025.0003</v>
      </c>
      <c r="D10" s="129">
        <f t="shared" si="0"/>
        <v>3</v>
      </c>
      <c r="E10" s="130" t="str">
        <f>IF($C10="","",IFERROR(INDEX('BASE DASHBOARD'!$AF$4:$AF$166,MATCH($D10,'BASE DASHBOARD'!$AJ$4:$AJ$166,0)),""))</f>
        <v>R16</v>
      </c>
      <c r="F10" s="137">
        <f>IF($C10="","",IFERROR(INDEX('BASE DASHBOARD'!$AH$4:$AH$166,MATCH($D10,'BASE DASHBOARD'!$AJ$4:$AJ$166,0)),0))</f>
        <v>5839446.1399999997</v>
      </c>
      <c r="G10" s="133">
        <f>IF($C10="","",IFERROR($F10/DASHBOARD!$G$13,0))</f>
        <v>6.5891250942621424E-2</v>
      </c>
      <c r="H10" s="115"/>
      <c r="I10" s="115"/>
      <c r="J10" s="269" t="str">
        <f>IFERROR(INDEX('BASE DASHBOARD'!$Z$4:$Z$59,MATCH($M10,'BASE DASHBOARD'!$AD$4:$AD$59,0)),"")</f>
        <v>Terraplenagem / Reconformação da plataforma / Recomposição do revestimento primário</v>
      </c>
      <c r="K10" s="270"/>
      <c r="L10" s="271"/>
      <c r="M10" s="129">
        <f t="shared" si="1"/>
        <v>3</v>
      </c>
      <c r="N10" s="129">
        <f>IF($J10="","",IFERROR(INDEX('BASE DASHBOARD'!$AA$4:$AA$59,MATCH($M10,'BASE DASHBOARD'!$AD$4:$AD$59,0)),0))</f>
        <v>11</v>
      </c>
      <c r="O10" s="137">
        <f>IF($J10="","",IFERROR(INDEX('BASE DASHBOARD'!$AB$4:$AB$59,MATCH($M10,'BASE DASHBOARD'!$AD$4:$AD$59,0)),0))</f>
        <v>8005398.5</v>
      </c>
      <c r="P10" s="132">
        <f>IF($J10="","",IFERROR($O10/DASHBOARD!$G$13,0))</f>
        <v>9.0331464459604591E-2</v>
      </c>
      <c r="Q10" s="106"/>
    </row>
    <row r="11" spans="2:17" ht="24" customHeight="1" x14ac:dyDescent="0.3">
      <c r="B11" s="114"/>
      <c r="C11" s="138" t="str">
        <f>IFERROR(INDEX('BASE DASHBOARD'!$AG$4:$AG$166,MATCH($D11,'BASE DASHBOARD'!$AJ$4:$AJ$166,0)),"")</f>
        <v>036.2025.0002</v>
      </c>
      <c r="D11" s="139">
        <f t="shared" si="0"/>
        <v>4</v>
      </c>
      <c r="E11" s="140" t="str">
        <f>IF($C11="","",IFERROR(INDEX('BASE DASHBOARD'!$AF$4:$AF$166,MATCH($D11,'BASE DASHBOARD'!$AJ$4:$AJ$166,0)),""))</f>
        <v>R16</v>
      </c>
      <c r="F11" s="141">
        <f>IF($C11="","",IFERROR(INDEX('BASE DASHBOARD'!$AH$4:$AH$166,MATCH($D11,'BASE DASHBOARD'!$AJ$4:$AJ$166,0)),0))</f>
        <v>5613050.5800000001</v>
      </c>
      <c r="G11" s="142">
        <f>IF($C11="","",IFERROR($F11/DASHBOARD!$G$13,0))</f>
        <v>6.3336644512728871E-2</v>
      </c>
      <c r="H11" s="115"/>
      <c r="I11" s="115"/>
      <c r="J11" s="272" t="str">
        <f>IFERROR(INDEX('BASE DASHBOARD'!$Z$4:$Z$59,MATCH($M11,'BASE DASHBOARD'!$AD$4:$AD$59,0)),"")</f>
        <v xml:space="preserve">Reciclagem do pavimento e execução de TSD / Microrrevestimento asfáltico 8 mm / Fornecimento e aplicação de CBUQ / Sinalização de Obras </v>
      </c>
      <c r="K11" s="273"/>
      <c r="L11" s="274"/>
      <c r="M11" s="139">
        <f t="shared" si="1"/>
        <v>4</v>
      </c>
      <c r="N11" s="139">
        <f>IF($J11="","",IFERROR(INDEX('BASE DASHBOARD'!$AA$4:$AA$59,MATCH($M11,'BASE DASHBOARD'!$AD$4:$AD$59,0)),0))</f>
        <v>1</v>
      </c>
      <c r="O11" s="141">
        <f>IF($J11="","",IFERROR(INDEX('BASE DASHBOARD'!$AB$4:$AB$59,MATCH($M11,'BASE DASHBOARD'!$AD$4:$AD$59,0)),0))</f>
        <v>5839446.1399999997</v>
      </c>
      <c r="P11" s="142">
        <f>IF($J11="","",IFERROR($O11/DASHBOARD!$G$13,0))</f>
        <v>6.5891250942621424E-2</v>
      </c>
      <c r="Q11" s="116"/>
    </row>
    <row r="12" spans="2:17" ht="24" customHeight="1" x14ac:dyDescent="0.3">
      <c r="B12" s="114"/>
      <c r="C12" s="135" t="str">
        <f>IFERROR(INDEX('BASE DASHBOARD'!$AG$4:$AG$166,MATCH($D12,'BASE DASHBOARD'!$AJ$4:$AJ$166,0)),"")</f>
        <v>034.2025.0007</v>
      </c>
      <c r="D12" s="129">
        <f t="shared" si="0"/>
        <v>5</v>
      </c>
      <c r="E12" s="130" t="str">
        <f>IF($C12="","",IFERROR(INDEX('BASE DASHBOARD'!$AF$4:$AF$166,MATCH($D12,'BASE DASHBOARD'!$AJ$4:$AJ$166,0)),""))</f>
        <v>R14</v>
      </c>
      <c r="F12" s="137">
        <f>IF($C12="","",IFERROR(INDEX('BASE DASHBOARD'!$AH$4:$AH$166,MATCH($D12,'BASE DASHBOARD'!$AJ$4:$AJ$166,0)),0))</f>
        <v>5042910.09</v>
      </c>
      <c r="G12" s="132">
        <f>IF($C12="","",IFERROR($F12/DASHBOARD!$G$13,0))</f>
        <v>5.6903282649554091E-2</v>
      </c>
      <c r="H12" s="115"/>
      <c r="I12" s="115"/>
      <c r="J12" s="269" t="str">
        <f>IFERROR(INDEX('BASE DASHBOARD'!$Z$4:$Z$59,MATCH($M12,'BASE DASHBOARD'!$AD$4:$AD$59,0)),"")</f>
        <v>Reciclagem do pavimento e execução de TSD / Microrrevestimento asfáltico 8 mm</v>
      </c>
      <c r="K12" s="270"/>
      <c r="L12" s="271"/>
      <c r="M12" s="129">
        <f t="shared" si="1"/>
        <v>5</v>
      </c>
      <c r="N12" s="129">
        <f>IF($J12="","",IFERROR(INDEX('BASE DASHBOARD'!$AA$4:$AA$59,MATCH($M12,'BASE DASHBOARD'!$AD$4:$AD$59,0)),0))</f>
        <v>1</v>
      </c>
      <c r="O12" s="137">
        <f>IF($J12="","",IFERROR(INDEX('BASE DASHBOARD'!$AB$4:$AB$59,MATCH($M12,'BASE DASHBOARD'!$AD$4:$AD$59,0)),0))</f>
        <v>5613050.5800000001</v>
      </c>
      <c r="P12" s="132">
        <f>IF($J12="","",IFERROR($O12/DASHBOARD!$G$13,0))</f>
        <v>6.3336644512728871E-2</v>
      </c>
      <c r="Q12" s="108"/>
    </row>
    <row r="13" spans="2:17" ht="24" customHeight="1" x14ac:dyDescent="0.3">
      <c r="B13" s="114"/>
      <c r="C13" s="138" t="str">
        <f>IFERROR(INDEX('BASE DASHBOARD'!$AG$4:$AG$166,MATCH($D13,'BASE DASHBOARD'!$AJ$4:$AJ$166,0)),"")</f>
        <v>035.2025.0002</v>
      </c>
      <c r="D13" s="139">
        <f t="shared" si="0"/>
        <v>6</v>
      </c>
      <c r="E13" s="140" t="str">
        <f>IF($C13="","",IFERROR(INDEX('BASE DASHBOARD'!$AF$4:$AF$166,MATCH($D13,'BASE DASHBOARD'!$AJ$4:$AJ$166,0)),""))</f>
        <v>R15</v>
      </c>
      <c r="F13" s="141">
        <f>IF($C13="","",IFERROR(INDEX('BASE DASHBOARD'!$AH$4:$AH$166,MATCH($D13,'BASE DASHBOARD'!$AJ$4:$AJ$166,0)),0))</f>
        <v>4007975.34</v>
      </c>
      <c r="G13" s="142">
        <f>IF($C13="","",IFERROR($F13/DASHBOARD!$G$13,0))</f>
        <v>4.5225266672256431E-2</v>
      </c>
      <c r="H13" s="115"/>
      <c r="I13" s="115"/>
      <c r="J13" s="272" t="str">
        <f>IFERROR(INDEX('BASE DASHBOARD'!$Z$4:$Z$59,MATCH($M13,'BASE DASHBOARD'!$AD$4:$AD$59,0)),"")</f>
        <v xml:space="preserve">Reciclagem do pavimento e execução de TSD / Sinalização de Obras </v>
      </c>
      <c r="K13" s="273"/>
      <c r="L13" s="274"/>
      <c r="M13" s="139">
        <f t="shared" si="1"/>
        <v>6</v>
      </c>
      <c r="N13" s="139">
        <f>IF($J13="","",IFERROR(INDEX('BASE DASHBOARD'!$AA$4:$AA$59,MATCH($M13,'BASE DASHBOARD'!$AD$4:$AD$59,0)),0))</f>
        <v>2</v>
      </c>
      <c r="O13" s="141">
        <f>IF($J13="","",IFERROR(INDEX('BASE DASHBOARD'!$AB$4:$AB$59,MATCH($M13,'BASE DASHBOARD'!$AD$4:$AD$59,0)),0))</f>
        <v>5404603.7400000002</v>
      </c>
      <c r="P13" s="142">
        <f>IF($J13="","",IFERROR($O13/DASHBOARD!$G$13,0))</f>
        <v>6.0984568183339791E-2</v>
      </c>
      <c r="Q13" s="110"/>
    </row>
    <row r="14" spans="2:17" ht="24" customHeight="1" x14ac:dyDescent="0.3">
      <c r="B14" s="114"/>
      <c r="C14" s="135" t="str">
        <f>IFERROR(INDEX('BASE DASHBOARD'!$AG$4:$AG$166,MATCH($D14,'BASE DASHBOARD'!$AJ$4:$AJ$166,0)),"")</f>
        <v>034.2025.0008</v>
      </c>
      <c r="D14" s="129">
        <f t="shared" si="0"/>
        <v>7</v>
      </c>
      <c r="E14" s="130" t="str">
        <f>IF($C14="","",IFERROR(INDEX('BASE DASHBOARD'!$AF$4:$AF$166,MATCH($D14,'BASE DASHBOARD'!$AJ$4:$AJ$166,0)),""))</f>
        <v>R14</v>
      </c>
      <c r="F14" s="137">
        <f>IF($C14="","",IFERROR(INDEX('BASE DASHBOARD'!$AH$4:$AH$166,MATCH($D14,'BASE DASHBOARD'!$AJ$4:$AJ$166,0)),0))</f>
        <v>3317978.7</v>
      </c>
      <c r="G14" s="132">
        <f>IF($C14="","",IFERROR($F14/DASHBOARD!$G$13,0))</f>
        <v>3.7439469754912892E-2</v>
      </c>
      <c r="H14" s="115"/>
      <c r="I14" s="115"/>
      <c r="J14" s="269" t="str">
        <f>IFERROR(INDEX('BASE DASHBOARD'!$Z$4:$Z$59,MATCH($M14,'BASE DASHBOARD'!$AD$4:$AD$59,0)),"")</f>
        <v>Tapa-Buraco CAE / Remendo Profundo</v>
      </c>
      <c r="K14" s="270"/>
      <c r="L14" s="271"/>
      <c r="M14" s="129">
        <f t="shared" si="1"/>
        <v>7</v>
      </c>
      <c r="N14" s="129">
        <f>IF($J14="","",IFERROR(INDEX('BASE DASHBOARD'!$AA$4:$AA$59,MATCH($M14,'BASE DASHBOARD'!$AD$4:$AD$59,0)),0))</f>
        <v>13</v>
      </c>
      <c r="O14" s="137">
        <f>IF($J14="","",IFERROR(INDEX('BASE DASHBOARD'!$AB$4:$AB$59,MATCH($M14,'BASE DASHBOARD'!$AD$4:$AD$59,0)),0))</f>
        <v>3784620.1100000003</v>
      </c>
      <c r="P14" s="132">
        <f>IF($J14="","",IFERROR($O14/DASHBOARD!$G$13,0))</f>
        <v>4.2704966774554674E-2</v>
      </c>
      <c r="Q14" s="116"/>
    </row>
    <row r="15" spans="2:17" ht="24" customHeight="1" x14ac:dyDescent="0.3">
      <c r="B15" s="114"/>
      <c r="C15" s="138" t="str">
        <f>IFERROR(INDEX('BASE DASHBOARD'!$AG$4:$AG$166,MATCH($D15,'BASE DASHBOARD'!$AJ$4:$AJ$166,0)),"")</f>
        <v>034.2025.0003</v>
      </c>
      <c r="D15" s="139">
        <f t="shared" si="0"/>
        <v>8</v>
      </c>
      <c r="E15" s="140" t="str">
        <f>IF($C15="","",IFERROR(INDEX('BASE DASHBOARD'!$AF$4:$AF$166,MATCH($D15,'BASE DASHBOARD'!$AJ$4:$AJ$166,0)),""))</f>
        <v>R14</v>
      </c>
      <c r="F15" s="141">
        <f>IF($C15="","",IFERROR(INDEX('BASE DASHBOARD'!$AH$4:$AH$166,MATCH($D15,'BASE DASHBOARD'!$AJ$4:$AJ$166,0)),0))</f>
        <v>1396628.4</v>
      </c>
      <c r="G15" s="142">
        <f>IF($C15="","",IFERROR($F15/DASHBOARD!$G$13,0))</f>
        <v>1.5759301511083353E-2</v>
      </c>
      <c r="H15" s="115"/>
      <c r="I15" s="115"/>
      <c r="J15" s="272" t="str">
        <f>IFERROR(INDEX('BASE DASHBOARD'!$Z$4:$Z$59,MATCH($M15,'BASE DASHBOARD'!$AD$4:$AD$59,0)),"")</f>
        <v>Drenagem</v>
      </c>
      <c r="K15" s="273"/>
      <c r="L15" s="274"/>
      <c r="M15" s="139">
        <f t="shared" si="1"/>
        <v>8</v>
      </c>
      <c r="N15" s="139">
        <f>IF($J15="","",IFERROR(INDEX('BASE DASHBOARD'!$AA$4:$AA$59,MATCH($M15,'BASE DASHBOARD'!$AD$4:$AD$59,0)),0))</f>
        <v>1</v>
      </c>
      <c r="O15" s="141">
        <f>IF($J15="","",IFERROR(INDEX('BASE DASHBOARD'!$AB$4:$AB$59,MATCH($M15,'BASE DASHBOARD'!$AD$4:$AD$59,0)),0))</f>
        <v>3317978.7</v>
      </c>
      <c r="P15" s="142">
        <f>IF($J15="","",IFERROR($O15/DASHBOARD!$G$13,0))</f>
        <v>3.7439469754912892E-2</v>
      </c>
      <c r="Q15" s="108"/>
    </row>
    <row r="16" spans="2:17" ht="24" customHeight="1" x14ac:dyDescent="0.3">
      <c r="B16" s="114"/>
      <c r="C16" s="135" t="str">
        <f>IFERROR(INDEX('BASE DASHBOARD'!$AG$4:$AG$166,MATCH($D16,'BASE DASHBOARD'!$AJ$4:$AJ$166,0)),"")</f>
        <v>036.2025.0004</v>
      </c>
      <c r="D16" s="129">
        <f t="shared" si="0"/>
        <v>9</v>
      </c>
      <c r="E16" s="130" t="str">
        <f>IF($C16="","",IFERROR(INDEX('BASE DASHBOARD'!$AF$4:$AF$166,MATCH($D16,'BASE DASHBOARD'!$AJ$4:$AJ$166,0)),""))</f>
        <v>R16</v>
      </c>
      <c r="F16" s="137">
        <f>IF($C16="","",IFERROR(INDEX('BASE DASHBOARD'!$AH$4:$AH$166,MATCH($D16,'BASE DASHBOARD'!$AJ$4:$AJ$166,0)),0))</f>
        <v>1304987.33</v>
      </c>
      <c r="G16" s="132">
        <f>IF($C16="","",IFERROR($F16/DASHBOARD!$G$13,0))</f>
        <v>1.4725240301295343E-2</v>
      </c>
      <c r="H16" s="115"/>
      <c r="I16" s="115"/>
      <c r="J16" s="269" t="str">
        <f>IFERROR(INDEX('BASE DASHBOARD'!$Z$4:$Z$59,MATCH($M16,'BASE DASHBOARD'!$AD$4:$AD$59,0)),"")</f>
        <v>Enrocamento de pedra arrumada / Enrocamento de pedra jogada / Terraplenagem / Execução de BSTC 100 / Reconformação da plataforma / Recomposição do revestimento primário</v>
      </c>
      <c r="K16" s="270"/>
      <c r="L16" s="271"/>
      <c r="M16" s="129">
        <f t="shared" si="1"/>
        <v>9</v>
      </c>
      <c r="N16" s="129">
        <f>IF($J16="","",IFERROR(INDEX('BASE DASHBOARD'!$AA$4:$AA$59,MATCH($M16,'BASE DASHBOARD'!$AD$4:$AD$59,0)),0))</f>
        <v>2</v>
      </c>
      <c r="O16" s="137">
        <f>IF($J16="","",IFERROR(INDEX('BASE DASHBOARD'!$AB$4:$AB$59,MATCH($M16,'BASE DASHBOARD'!$AD$4:$AD$59,0)),0))</f>
        <v>2005815.07</v>
      </c>
      <c r="P16" s="132">
        <f>IF($J16="","",IFERROR($O16/DASHBOARD!$G$13,0))</f>
        <v>2.2633253386229842E-2</v>
      </c>
      <c r="Q16" s="110"/>
    </row>
    <row r="17" spans="2:17" ht="24" customHeight="1" thickBot="1" x14ac:dyDescent="0.35">
      <c r="B17" s="114"/>
      <c r="C17" s="145" t="str">
        <f>IFERROR(INDEX('BASE DASHBOARD'!$AG$4:$AG$166,MATCH($D17,'BASE DASHBOARD'!$AJ$4:$AJ$166,0)),"")</f>
        <v>1452.2026.0006</v>
      </c>
      <c r="D17" s="146">
        <f t="shared" si="0"/>
        <v>10</v>
      </c>
      <c r="E17" s="147" t="str">
        <f>IF($C17="","",IFERROR(INDEX('BASE DASHBOARD'!$AF$4:$AF$166,MATCH($D17,'BASE DASHBOARD'!$AJ$4:$AJ$166,0)),""))</f>
        <v>R03 E</v>
      </c>
      <c r="F17" s="148">
        <f>IF($C17="","",IFERROR(INDEX('BASE DASHBOARD'!$AH$4:$AH$166,MATCH($D17,'BASE DASHBOARD'!$AJ$4:$AJ$166,0)),0))</f>
        <v>1298033.19</v>
      </c>
      <c r="G17" s="149">
        <f>IF($C17="","",IFERROR($F17/DASHBOARD!$G$13,0))</f>
        <v>1.4646771047046836E-2</v>
      </c>
      <c r="H17" s="115"/>
      <c r="I17" s="115"/>
      <c r="J17" s="275" t="str">
        <f>IFERROR(INDEX('BASE DASHBOARD'!$Z$4:$Z$59,MATCH($M17,'BASE DASHBOARD'!$AD$4:$AD$59,0)),"")</f>
        <v>Roçada / Tapa-Buraco CAE / Remendo Profundo</v>
      </c>
      <c r="K17" s="276"/>
      <c r="L17" s="277"/>
      <c r="M17" s="146">
        <f t="shared" si="1"/>
        <v>10</v>
      </c>
      <c r="N17" s="146">
        <f>IF($J17="","",IFERROR(INDEX('BASE DASHBOARD'!$AA$4:$AA$59,MATCH($M17,'BASE DASHBOARD'!$AD$4:$AD$59,0)),0))</f>
        <v>5</v>
      </c>
      <c r="O17" s="148">
        <f>IF($J17="","",IFERROR(INDEX('BASE DASHBOARD'!$AB$4:$AB$59,MATCH($M17,'BASE DASHBOARD'!$AD$4:$AD$59,0)),0))</f>
        <v>1319881.3500000001</v>
      </c>
      <c r="P17" s="149">
        <f>IF($J17="","",IFERROR($O17/DASHBOARD!$G$13,0))</f>
        <v>1.4893301721134799E-2</v>
      </c>
      <c r="Q17" s="116"/>
    </row>
    <row r="18" spans="2:17" x14ac:dyDescent="0.3">
      <c r="B18" s="232"/>
      <c r="C18" s="233"/>
      <c r="D18" s="233"/>
      <c r="E18" s="233"/>
      <c r="F18" s="233"/>
      <c r="G18" s="233"/>
      <c r="H18" s="233"/>
      <c r="I18" s="233"/>
      <c r="J18" s="233"/>
      <c r="K18" s="233"/>
      <c r="L18" s="233"/>
      <c r="M18" s="233"/>
      <c r="N18" s="233"/>
      <c r="O18" s="233"/>
      <c r="P18" s="233"/>
      <c r="Q18" s="234"/>
    </row>
    <row r="19" spans="2:17" x14ac:dyDescent="0.3">
      <c r="B19" s="232"/>
      <c r="C19" s="233"/>
      <c r="D19" s="233"/>
      <c r="E19" s="233"/>
      <c r="F19" s="233"/>
      <c r="G19" s="233"/>
      <c r="H19" s="233"/>
      <c r="I19" s="233"/>
      <c r="J19" s="233"/>
      <c r="K19" s="233"/>
      <c r="L19" s="233"/>
      <c r="M19" s="233"/>
      <c r="N19" s="233"/>
      <c r="O19" s="233"/>
      <c r="P19" s="233"/>
      <c r="Q19" s="234"/>
    </row>
    <row r="20" spans="2:17" x14ac:dyDescent="0.3">
      <c r="B20" s="232"/>
      <c r="C20" s="233"/>
      <c r="D20" s="233"/>
      <c r="E20" s="233"/>
      <c r="F20" s="233"/>
      <c r="G20" s="233"/>
      <c r="H20" s="233"/>
      <c r="I20" s="233"/>
      <c r="J20" s="233"/>
      <c r="K20" s="233"/>
      <c r="L20" s="233"/>
      <c r="M20" s="233"/>
      <c r="N20" s="233"/>
      <c r="O20" s="233"/>
      <c r="P20" s="233"/>
      <c r="Q20" s="234"/>
    </row>
    <row r="21" spans="2:17" x14ac:dyDescent="0.3">
      <c r="B21" s="232"/>
      <c r="C21" s="233"/>
      <c r="D21" s="233"/>
      <c r="E21" s="233"/>
      <c r="F21" s="233"/>
      <c r="G21" s="233"/>
      <c r="H21" s="233"/>
      <c r="I21" s="233"/>
      <c r="J21" s="233"/>
      <c r="K21" s="233"/>
      <c r="L21" s="233"/>
      <c r="M21" s="233"/>
      <c r="N21" s="233"/>
      <c r="O21" s="233"/>
      <c r="P21" s="233"/>
      <c r="Q21" s="234"/>
    </row>
    <row r="22" spans="2:17" x14ac:dyDescent="0.3">
      <c r="B22" s="232"/>
      <c r="C22" s="233"/>
      <c r="D22" s="233"/>
      <c r="E22" s="233"/>
      <c r="F22" s="233"/>
      <c r="G22" s="233"/>
      <c r="H22" s="233"/>
      <c r="I22" s="233"/>
      <c r="J22" s="233"/>
      <c r="K22" s="233"/>
      <c r="L22" s="233"/>
      <c r="M22" s="233"/>
      <c r="N22" s="233"/>
      <c r="O22" s="233"/>
      <c r="P22" s="233"/>
      <c r="Q22" s="234"/>
    </row>
    <row r="23" spans="2:17" ht="16.2" thickBot="1" x14ac:dyDescent="0.35">
      <c r="B23" s="232"/>
      <c r="C23" s="233"/>
      <c r="D23" s="233"/>
      <c r="E23" s="233"/>
      <c r="F23" s="233"/>
      <c r="G23" s="233"/>
      <c r="H23" s="233"/>
      <c r="I23" s="233"/>
      <c r="J23" s="233"/>
      <c r="K23" s="233"/>
      <c r="L23" s="233"/>
      <c r="M23" s="233"/>
      <c r="N23" s="233"/>
      <c r="O23" s="233"/>
      <c r="P23" s="233"/>
      <c r="Q23" s="234"/>
    </row>
    <row r="24" spans="2:17" ht="60" customHeight="1" thickBot="1" x14ac:dyDescent="0.35">
      <c r="B24" s="114"/>
      <c r="C24" s="281" t="s">
        <v>755</v>
      </c>
      <c r="D24" s="282"/>
      <c r="E24" s="282"/>
      <c r="F24" s="282"/>
      <c r="G24" s="282"/>
      <c r="H24" s="282"/>
      <c r="I24" s="282"/>
      <c r="J24" s="282"/>
      <c r="K24" s="283"/>
      <c r="L24" s="115"/>
      <c r="M24" s="115"/>
      <c r="N24" s="115"/>
      <c r="O24" s="115"/>
      <c r="P24" s="115"/>
      <c r="Q24" s="116"/>
    </row>
    <row r="25" spans="2:17" ht="42" customHeight="1" x14ac:dyDescent="0.3">
      <c r="B25" s="114"/>
      <c r="C25" s="123" t="s">
        <v>4</v>
      </c>
      <c r="D25" s="143" t="s">
        <v>5</v>
      </c>
      <c r="E25" s="143" t="s">
        <v>709</v>
      </c>
      <c r="F25" s="143" t="s">
        <v>724</v>
      </c>
      <c r="G25" s="143" t="s">
        <v>725</v>
      </c>
      <c r="H25" s="143" t="s">
        <v>1</v>
      </c>
      <c r="I25" s="143" t="s">
        <v>42</v>
      </c>
      <c r="J25" s="143" t="s">
        <v>43</v>
      </c>
      <c r="K25" s="144" t="s">
        <v>723</v>
      </c>
      <c r="L25" s="115"/>
      <c r="M25" s="115"/>
      <c r="N25" s="115"/>
      <c r="O25" s="115"/>
      <c r="P25" s="115"/>
      <c r="Q25" s="116"/>
    </row>
    <row r="26" spans="2:17" ht="24" customHeight="1" x14ac:dyDescent="0.3">
      <c r="B26" s="114"/>
      <c r="C26" s="135" t="str">
        <f>'Tabelas Auxiliares'!B4</f>
        <v>R01</v>
      </c>
      <c r="D26" s="130" t="str">
        <f>'Tabelas Auxiliares'!E4</f>
        <v>040.2024</v>
      </c>
      <c r="E26" s="129">
        <f>COUNTIFS('BASE DASHBOARD'!$B$4:$B$166,$C26)</f>
        <v>46</v>
      </c>
      <c r="F26" s="129">
        <f>COUNTIFS('BASE DASHBOARD'!$B$4:$B$166,$C26,'BASE DASHBOARD'!$L$4:$L$166,"Concluída")</f>
        <v>33</v>
      </c>
      <c r="G26" s="129">
        <f>COUNTIFS('BASE DASHBOARD'!$B$4:$B$166,$C26,'BASE DASHBOARD'!$L$4:$L$166,"Cancelada")</f>
        <v>13</v>
      </c>
      <c r="H26" s="131">
        <f>SUMIFS('BASE DASHBOARD'!$I$4:$I$166,'BASE DASHBOARD'!$B$4:$B$166,$C26)</f>
        <v>5168218.2699999986</v>
      </c>
      <c r="I26" s="131">
        <f>SUMIFS('BASE DASHBOARD'!$J$4:$J$166,'BASE DASHBOARD'!$B$4:$B$166,$C26)</f>
        <v>4433694.2499999991</v>
      </c>
      <c r="J26" s="131">
        <f t="shared" ref="J26:J31" si="2">H26-I26</f>
        <v>734524.01999999955</v>
      </c>
      <c r="K26" s="132">
        <f t="shared" ref="K26:K32" si="3">IFERROR(I26/H26,0)</f>
        <v>0.85787674172669959</v>
      </c>
      <c r="L26" s="115"/>
      <c r="M26" s="115"/>
      <c r="N26" s="115"/>
      <c r="O26" s="115"/>
      <c r="P26" s="115"/>
      <c r="Q26" s="116"/>
    </row>
    <row r="27" spans="2:17" ht="24" customHeight="1" x14ac:dyDescent="0.3">
      <c r="B27" s="114"/>
      <c r="C27" s="138" t="str">
        <f>'Tabelas Auxiliares'!B5</f>
        <v>R02</v>
      </c>
      <c r="D27" s="140" t="str">
        <f>'Tabelas Auxiliares'!E5</f>
        <v>014.2025</v>
      </c>
      <c r="E27" s="139">
        <f>COUNTIFS('BASE DASHBOARD'!$B$4:$B$166,$C27)</f>
        <v>58</v>
      </c>
      <c r="F27" s="139">
        <f>COUNTIFS('BASE DASHBOARD'!$B$4:$B$166,$C27,'BASE DASHBOARD'!$L$4:$L$166,"Concluída")</f>
        <v>41</v>
      </c>
      <c r="G27" s="139">
        <f>COUNTIFS('BASE DASHBOARD'!$B$4:$B$166,$C27,'BASE DASHBOARD'!$L$4:$L$166,"Cancelada")</f>
        <v>10</v>
      </c>
      <c r="H27" s="159">
        <f>SUMIFS('BASE DASHBOARD'!$I$4:$I$166,'BASE DASHBOARD'!$B$4:$B$166,$C27)</f>
        <v>12018363.759999996</v>
      </c>
      <c r="I27" s="159">
        <f>SUMIFS('BASE DASHBOARD'!$J$4:$J$166,'BASE DASHBOARD'!$B$4:$B$166,$C27)</f>
        <v>7159532.0000000019</v>
      </c>
      <c r="J27" s="159">
        <f t="shared" si="2"/>
        <v>4858831.7599999942</v>
      </c>
      <c r="K27" s="142">
        <f t="shared" si="3"/>
        <v>0.59571603447622756</v>
      </c>
      <c r="L27" s="115"/>
      <c r="M27" s="115"/>
      <c r="N27" s="115"/>
      <c r="O27" s="115"/>
      <c r="P27" s="115"/>
      <c r="Q27" s="116"/>
    </row>
    <row r="28" spans="2:17" ht="24" customHeight="1" x14ac:dyDescent="0.3">
      <c r="B28" s="114"/>
      <c r="C28" s="135" t="s">
        <v>818</v>
      </c>
      <c r="D28" s="130" t="str">
        <f>'Tabelas Auxiliares'!E6&amp;" / "&amp;'Tabelas Auxiliares'!E10</f>
        <v>002.2025 / 1452.2026</v>
      </c>
      <c r="E28" s="129">
        <f>COUNTIFS('BASE DASHBOARD'!$B$4:$B$166,$C28&amp;"*")</f>
        <v>50</v>
      </c>
      <c r="F28" s="129">
        <f>COUNTIFS('BASE DASHBOARD'!$B$4:$B$166,$C28&amp;"*",'BASE DASHBOARD'!$L$4:$L$166,"Concluída")</f>
        <v>18</v>
      </c>
      <c r="G28" s="129">
        <f>COUNTIFS('BASE DASHBOARD'!$B$4:$B$166,$C28&amp;"*",'BASE DASHBOARD'!$L$4:$L$166,"Cancelada")</f>
        <v>20</v>
      </c>
      <c r="H28" s="131">
        <f>SUMIFS('BASE DASHBOARD'!$I$4:$I$166,'BASE DASHBOARD'!$B$4:$B$166,$C28&amp;"*")</f>
        <v>13276294.289999999</v>
      </c>
      <c r="I28" s="131">
        <f>SUMIFS('BASE DASHBOARD'!$J$4:$J$166,'BASE DASHBOARD'!$B$4:$B$166,$C28&amp;"*")</f>
        <v>7870365.6799999997</v>
      </c>
      <c r="J28" s="131">
        <f t="shared" si="2"/>
        <v>5405928.6099999994</v>
      </c>
      <c r="K28" s="132">
        <f t="shared" si="3"/>
        <v>0.59281343935921449</v>
      </c>
      <c r="L28" s="115"/>
      <c r="M28" s="115"/>
      <c r="N28" s="115"/>
      <c r="O28" s="115"/>
      <c r="P28" s="115"/>
      <c r="Q28" s="116"/>
    </row>
    <row r="29" spans="2:17" ht="24" customHeight="1" x14ac:dyDescent="0.3">
      <c r="B29" s="114"/>
      <c r="C29" s="138" t="str">
        <f>'Tabelas Auxiliares'!B7</f>
        <v>R14</v>
      </c>
      <c r="D29" s="140" t="str">
        <f>'Tabelas Auxiliares'!E7</f>
        <v>034.2025</v>
      </c>
      <c r="E29" s="139">
        <f>COUNTIFS('BASE DASHBOARD'!$B$4:$B$166,$C29)</f>
        <v>4</v>
      </c>
      <c r="F29" s="139">
        <f>COUNTIFS('BASE DASHBOARD'!$B$4:$B$166,$C29,'BASE DASHBOARD'!$L$4:$L$166,"Concluída")</f>
        <v>2</v>
      </c>
      <c r="G29" s="139">
        <f>COUNTIFS('BASE DASHBOARD'!$B$4:$B$166,$C29,'BASE DASHBOARD'!$L$4:$L$166,"Cancelada")</f>
        <v>0</v>
      </c>
      <c r="H29" s="159">
        <f>SUMIFS('BASE DASHBOARD'!$I$4:$I$166,'BASE DASHBOARD'!$B$4:$B$166,$C29)</f>
        <v>20475389.840000004</v>
      </c>
      <c r="I29" s="159">
        <f>SUMIFS('BASE DASHBOARD'!$J$4:$J$166,'BASE DASHBOARD'!$B$4:$B$166,$C29)</f>
        <v>9017477.6600000001</v>
      </c>
      <c r="J29" s="159">
        <f t="shared" si="2"/>
        <v>11457912.180000003</v>
      </c>
      <c r="K29" s="142">
        <f t="shared" si="3"/>
        <v>0.44040566409064269</v>
      </c>
      <c r="L29" s="115"/>
      <c r="M29" s="115"/>
      <c r="N29" s="115"/>
      <c r="O29" s="115"/>
      <c r="P29" s="115"/>
      <c r="Q29" s="116"/>
    </row>
    <row r="30" spans="2:17" ht="24" customHeight="1" x14ac:dyDescent="0.3">
      <c r="B30" s="114"/>
      <c r="C30" s="135" t="str">
        <f>'Tabelas Auxiliares'!B8</f>
        <v>R15</v>
      </c>
      <c r="D30" s="130" t="str">
        <f>'Tabelas Auxiliares'!E8</f>
        <v>035.2025</v>
      </c>
      <c r="E30" s="129">
        <f>COUNTIFS('BASE DASHBOARD'!$B$4:$B$166,$C30)</f>
        <v>1</v>
      </c>
      <c r="F30" s="129">
        <f>COUNTIFS('BASE DASHBOARD'!$B$4:$B$166,$C30,'BASE DASHBOARD'!$L$4:$L$166,"Concluída")</f>
        <v>1</v>
      </c>
      <c r="G30" s="129">
        <f>COUNTIFS('BASE DASHBOARD'!$B$4:$B$166,$C30,'BASE DASHBOARD'!$L$4:$L$166,"Cancelada")</f>
        <v>0</v>
      </c>
      <c r="H30" s="131">
        <f>SUMIFS('BASE DASHBOARD'!$I$4:$I$166,'BASE DASHBOARD'!$B$4:$B$166,$C30)</f>
        <v>4007975.34</v>
      </c>
      <c r="I30" s="131">
        <f>SUMIFS('BASE DASHBOARD'!$J$4:$J$166,'BASE DASHBOARD'!$B$4:$B$166,$C30)</f>
        <v>2877414.09</v>
      </c>
      <c r="J30" s="131">
        <f t="shared" si="2"/>
        <v>1130561.25</v>
      </c>
      <c r="K30" s="132">
        <f t="shared" si="3"/>
        <v>0.7179221042812105</v>
      </c>
      <c r="L30" s="115"/>
      <c r="M30" s="115"/>
      <c r="N30" s="115"/>
      <c r="O30" s="115"/>
      <c r="P30" s="115"/>
      <c r="Q30" s="116"/>
    </row>
    <row r="31" spans="2:17" ht="24" customHeight="1" x14ac:dyDescent="0.3">
      <c r="B31" s="114"/>
      <c r="C31" s="167" t="str">
        <f>'Tabelas Auxiliares'!B9</f>
        <v>R16</v>
      </c>
      <c r="D31" s="191" t="str">
        <f>'Tabelas Auxiliares'!E9</f>
        <v>036.2025</v>
      </c>
      <c r="E31" s="168">
        <f>COUNTIFS('BASE DASHBOARD'!$B$4:$B$166,$C31)</f>
        <v>4</v>
      </c>
      <c r="F31" s="168">
        <f>COUNTIFS('BASE DASHBOARD'!$B$4:$B$166,$C31,'BASE DASHBOARD'!$L$4:$L$166,"Concluída")</f>
        <v>3</v>
      </c>
      <c r="G31" s="168">
        <f>COUNTIFS('BASE DASHBOARD'!$B$4:$B$166,$C31,'BASE DASHBOARD'!$L$4:$L$166,"Cancelada")</f>
        <v>0</v>
      </c>
      <c r="H31" s="169">
        <f>SUMIFS('BASE DASHBOARD'!$I$4:$I$166,'BASE DASHBOARD'!$B$4:$B$166,$C31)</f>
        <v>33676239.579999998</v>
      </c>
      <c r="I31" s="169">
        <f>SUMIFS('BASE DASHBOARD'!$J$4:$J$166,'BASE DASHBOARD'!$B$4:$B$166,$C31)</f>
        <v>31498579.789999999</v>
      </c>
      <c r="J31" s="169">
        <f t="shared" si="2"/>
        <v>2177659.7899999991</v>
      </c>
      <c r="K31" s="170">
        <f t="shared" si="3"/>
        <v>0.93533542292253757</v>
      </c>
      <c r="L31" s="115"/>
      <c r="M31" s="115"/>
      <c r="N31" s="115"/>
      <c r="O31" s="115"/>
      <c r="P31" s="115"/>
      <c r="Q31" s="116"/>
    </row>
    <row r="32" spans="2:17" ht="24" customHeight="1" thickBot="1" x14ac:dyDescent="0.35">
      <c r="B32" s="114"/>
      <c r="C32" s="296" t="s">
        <v>726</v>
      </c>
      <c r="D32" s="297"/>
      <c r="E32" s="164">
        <f t="shared" ref="E32:J32" si="4">SUM(E26:E31)</f>
        <v>163</v>
      </c>
      <c r="F32" s="164">
        <f t="shared" si="4"/>
        <v>98</v>
      </c>
      <c r="G32" s="164">
        <f t="shared" si="4"/>
        <v>43</v>
      </c>
      <c r="H32" s="165">
        <f t="shared" si="4"/>
        <v>88622481.079999998</v>
      </c>
      <c r="I32" s="165">
        <f t="shared" si="4"/>
        <v>62857063.469999999</v>
      </c>
      <c r="J32" s="165">
        <f t="shared" si="4"/>
        <v>25765417.609999996</v>
      </c>
      <c r="K32" s="166">
        <f t="shared" si="3"/>
        <v>0.70926770164850816</v>
      </c>
      <c r="L32" s="115"/>
      <c r="M32" s="115"/>
      <c r="N32" s="115"/>
      <c r="O32" s="115"/>
      <c r="P32" s="115"/>
      <c r="Q32" s="116"/>
    </row>
    <row r="33" spans="2:17" x14ac:dyDescent="0.3">
      <c r="B33" s="232"/>
      <c r="C33" s="233"/>
      <c r="D33" s="233"/>
      <c r="E33" s="233"/>
      <c r="F33" s="233"/>
      <c r="G33" s="233"/>
      <c r="H33" s="233"/>
      <c r="I33" s="233"/>
      <c r="J33" s="233"/>
      <c r="K33" s="233"/>
      <c r="L33" s="233"/>
      <c r="M33" s="233"/>
      <c r="N33" s="233"/>
      <c r="O33" s="233"/>
      <c r="P33" s="233"/>
      <c r="Q33" s="234"/>
    </row>
    <row r="34" spans="2:17" x14ac:dyDescent="0.3">
      <c r="B34" s="232"/>
      <c r="C34" s="233"/>
      <c r="D34" s="233"/>
      <c r="E34" s="233"/>
      <c r="F34" s="233"/>
      <c r="G34" s="233"/>
      <c r="H34" s="233"/>
      <c r="I34" s="233"/>
      <c r="J34" s="233"/>
      <c r="K34" s="233"/>
      <c r="L34" s="233"/>
      <c r="M34" s="233"/>
      <c r="N34" s="233"/>
      <c r="O34" s="233"/>
      <c r="P34" s="233"/>
      <c r="Q34" s="234"/>
    </row>
    <row r="35" spans="2:17" x14ac:dyDescent="0.3">
      <c r="B35" s="232"/>
      <c r="C35" s="233"/>
      <c r="D35" s="233"/>
      <c r="E35" s="233"/>
      <c r="F35" s="233"/>
      <c r="G35" s="233"/>
      <c r="H35" s="233"/>
      <c r="I35" s="233"/>
      <c r="J35" s="233"/>
      <c r="K35" s="233"/>
      <c r="L35" s="233"/>
      <c r="M35" s="233"/>
      <c r="N35" s="233"/>
      <c r="O35" s="233"/>
      <c r="P35" s="233"/>
      <c r="Q35" s="234"/>
    </row>
    <row r="36" spans="2:17" x14ac:dyDescent="0.3">
      <c r="B36" s="232"/>
      <c r="C36" s="233"/>
      <c r="D36" s="233"/>
      <c r="E36" s="233"/>
      <c r="F36" s="233"/>
      <c r="G36" s="233"/>
      <c r="H36" s="233"/>
      <c r="I36" s="233"/>
      <c r="J36" s="233"/>
      <c r="K36" s="233"/>
      <c r="L36" s="233"/>
      <c r="M36" s="233"/>
      <c r="N36" s="233"/>
      <c r="O36" s="233"/>
      <c r="P36" s="233"/>
      <c r="Q36" s="234"/>
    </row>
    <row r="37" spans="2:17" x14ac:dyDescent="0.3">
      <c r="B37" s="232"/>
      <c r="C37" s="233"/>
      <c r="D37" s="233"/>
      <c r="E37" s="233"/>
      <c r="F37" s="233"/>
      <c r="G37" s="233"/>
      <c r="H37" s="233"/>
      <c r="I37" s="233"/>
      <c r="J37" s="233"/>
      <c r="K37" s="233"/>
      <c r="L37" s="233"/>
      <c r="M37" s="233"/>
      <c r="N37" s="233"/>
      <c r="O37" s="233"/>
      <c r="P37" s="233"/>
      <c r="Q37" s="234"/>
    </row>
    <row r="38" spans="2:17" ht="16.2" thickBot="1" x14ac:dyDescent="0.35">
      <c r="B38" s="232"/>
      <c r="C38" s="233"/>
      <c r="D38" s="233"/>
      <c r="E38" s="233"/>
      <c r="F38" s="233"/>
      <c r="G38" s="233"/>
      <c r="H38" s="233"/>
      <c r="I38" s="233"/>
      <c r="J38" s="233"/>
      <c r="K38" s="233"/>
      <c r="L38" s="233"/>
      <c r="M38" s="233"/>
      <c r="N38" s="233"/>
      <c r="O38" s="233"/>
      <c r="P38" s="233"/>
      <c r="Q38" s="234"/>
    </row>
    <row r="39" spans="2:17" ht="60" customHeight="1" thickBot="1" x14ac:dyDescent="0.35">
      <c r="B39" s="114"/>
      <c r="C39" s="281" t="s">
        <v>758</v>
      </c>
      <c r="D39" s="282"/>
      <c r="E39" s="282"/>
      <c r="F39" s="282"/>
      <c r="G39" s="282"/>
      <c r="H39" s="283"/>
      <c r="I39" s="115"/>
      <c r="J39" s="115"/>
      <c r="K39" s="115"/>
      <c r="L39" s="115"/>
      <c r="M39" s="115"/>
      <c r="N39" s="115"/>
      <c r="O39" s="115"/>
      <c r="P39" s="115"/>
      <c r="Q39" s="116"/>
    </row>
    <row r="40" spans="2:17" ht="42" customHeight="1" x14ac:dyDescent="0.3">
      <c r="B40" s="114"/>
      <c r="C40" s="123" t="s">
        <v>10</v>
      </c>
      <c r="D40" s="143" t="s">
        <v>709</v>
      </c>
      <c r="E40" s="143" t="s">
        <v>727</v>
      </c>
      <c r="F40" s="143" t="s">
        <v>1</v>
      </c>
      <c r="G40" s="143" t="s">
        <v>42</v>
      </c>
      <c r="H40" s="144" t="s">
        <v>728</v>
      </c>
      <c r="I40" s="115"/>
      <c r="J40" s="115"/>
      <c r="K40" s="115"/>
      <c r="L40" s="115"/>
      <c r="M40" s="115"/>
      <c r="N40" s="115"/>
      <c r="O40" s="115"/>
      <c r="P40" s="115"/>
      <c r="Q40" s="116"/>
    </row>
    <row r="41" spans="2:17" ht="24" customHeight="1" x14ac:dyDescent="0.3">
      <c r="B41" s="114"/>
      <c r="C41" s="151" t="str">
        <f>'Tabelas Auxiliares'!M4</f>
        <v>Em elaboração</v>
      </c>
      <c r="D41" s="129" cm="1">
        <f t="array" ref="D41">COUNTIFS('BASE DASHBOARD'!$L$4:$L$166,$C41,'BASE DASHBOARD'!$B$4:$B$166,'BASE DASHBOARD'!$Z$1)+SUM(COUNTIFS('BASE DASHBOARD'!$L$4:$L$166,'Tabelas Auxiliares'!$M$9:$M$10,'BASE DASHBOARD'!$B$4:$B$166,'BASE DASHBOARD'!$Z$1))</f>
        <v>8</v>
      </c>
      <c r="E41" s="150">
        <f>IFERROR(D41/$D$46,0)</f>
        <v>4.9382716049382713E-2</v>
      </c>
      <c r="F41" s="131" cm="1">
        <f t="array" ref="F41">SUMIFS('BASE DASHBOARD'!$I$4:$I$166,'BASE DASHBOARD'!$L$4:$L$166,$C41,'BASE DASHBOARD'!$B$4:$B$166,'BASE DASHBOARD'!$Z$1)+SUM(SUMIFS('BASE DASHBOARD'!$I$4:$I$166,'BASE DASHBOARD'!$L$4:$L$166,'Tabelas Auxiliares'!$M$9:$M$10,'BASE DASHBOARD'!$B$4:$B$166,'BASE DASHBOARD'!$Z$1))</f>
        <v>3337814.51</v>
      </c>
      <c r="G41" s="131" cm="1">
        <f t="array" ref="G41">SUMIFS('BASE DASHBOARD'!$J$4:$J$166,'BASE DASHBOARD'!$L$4:$L$166,$C41,'BASE DASHBOARD'!$B$4:$B$166,'BASE DASHBOARD'!$Z$1)+SUM(SUMIFS('BASE DASHBOARD'!$J$4:$J$166,'BASE DASHBOARD'!$L$4:$L$166,'Tabelas Auxiliares'!$M$9:$M$10,'BASE DASHBOARD'!$B$4:$B$166,'BASE DASHBOARD'!$Z$1))</f>
        <v>0</v>
      </c>
      <c r="H41" s="132">
        <f>IFERROR(F41/$F$46,0)</f>
        <v>3.7831051138152348E-2</v>
      </c>
      <c r="I41" s="115"/>
      <c r="J41" s="115"/>
      <c r="K41" s="115"/>
      <c r="L41" s="115"/>
      <c r="M41" s="115"/>
      <c r="N41" s="115"/>
      <c r="O41" s="115"/>
      <c r="P41" s="115"/>
      <c r="Q41" s="116"/>
    </row>
    <row r="42" spans="2:17" ht="24" customHeight="1" x14ac:dyDescent="0.3">
      <c r="B42" s="114"/>
      <c r="C42" s="157" t="str">
        <f>'Tabelas Auxiliares'!M5</f>
        <v>Em andamento</v>
      </c>
      <c r="D42" s="139">
        <f>COUNTIFS('BASE DASHBOARD'!$L$4:$L$166,$C42,'BASE DASHBOARD'!$B$4:$B$166,'BASE DASHBOARD'!$Z$1)</f>
        <v>8</v>
      </c>
      <c r="E42" s="158">
        <f>IFERROR(D42/$D$46,0)</f>
        <v>4.9382716049382713E-2</v>
      </c>
      <c r="F42" s="159">
        <f>SUMIFS('BASE DASHBOARD'!$I$4:$I$166,'BASE DASHBOARD'!$L$4:$L$166,$C42,'BASE DASHBOARD'!$B$4:$B$166,'BASE DASHBOARD'!$Z$1)</f>
        <v>17668903.130000003</v>
      </c>
      <c r="G42" s="159">
        <f>SUMIFS('BASE DASHBOARD'!$J$4:$J$166,'BASE DASHBOARD'!$L$4:$L$166,$C42,'BASE DASHBOARD'!$B$4:$B$166,'BASE DASHBOARD'!$Z$1)</f>
        <v>6505997.3300000001</v>
      </c>
      <c r="H42" s="142">
        <f>IFERROR(F42/$F$46,0)</f>
        <v>0.20026073224365312</v>
      </c>
      <c r="I42" s="115"/>
      <c r="J42" s="115"/>
      <c r="K42" s="115"/>
      <c r="L42" s="115"/>
      <c r="M42" s="115"/>
      <c r="N42" s="115"/>
      <c r="O42" s="115"/>
      <c r="P42" s="115"/>
      <c r="Q42" s="116"/>
    </row>
    <row r="43" spans="2:17" ht="24" customHeight="1" x14ac:dyDescent="0.3">
      <c r="B43" s="114"/>
      <c r="C43" s="151" t="str">
        <f>'Tabelas Auxiliares'!M6</f>
        <v>Concluída</v>
      </c>
      <c r="D43" s="129">
        <f>COUNTIFS('BASE DASHBOARD'!$L$4:$L$166,$C43,'BASE DASHBOARD'!$B$4:$B$166,'BASE DASHBOARD'!$Z$1)</f>
        <v>98</v>
      </c>
      <c r="E43" s="150">
        <f>IFERROR(D43/$D$46,0)</f>
        <v>0.60493827160493829</v>
      </c>
      <c r="F43" s="131">
        <f>SUMIFS('BASE DASHBOARD'!$I$4:$I$166,'BASE DASHBOARD'!$L$4:$L$166,$C43,'BASE DASHBOARD'!$B$4:$B$166,'BASE DASHBOARD'!$Z$1)</f>
        <v>61359916.399999999</v>
      </c>
      <c r="G43" s="131">
        <f>SUMIFS('BASE DASHBOARD'!$J$4:$J$166,'BASE DASHBOARD'!$L$4:$L$166,$C43,'BASE DASHBOARD'!$B$4:$B$166,'BASE DASHBOARD'!$Z$1)</f>
        <v>56351066.140000001</v>
      </c>
      <c r="H43" s="132">
        <f>IFERROR(F43/$F$46,0)</f>
        <v>0.69545809936608882</v>
      </c>
      <c r="I43" s="115"/>
      <c r="J43" s="115"/>
      <c r="K43" s="115"/>
      <c r="L43" s="115"/>
      <c r="M43" s="115"/>
      <c r="N43" s="115"/>
      <c r="O43" s="115"/>
      <c r="P43" s="115"/>
      <c r="Q43" s="116"/>
    </row>
    <row r="44" spans="2:17" ht="24" customHeight="1" x14ac:dyDescent="0.3">
      <c r="B44" s="114"/>
      <c r="C44" s="157" t="str">
        <f>'Tabelas Auxiliares'!M7</f>
        <v>Justificada</v>
      </c>
      <c r="D44" s="139">
        <f>COUNTIFS('BASE DASHBOARD'!$L$4:$L$166,$C44,'BASE DASHBOARD'!$B$4:$B$166,'BASE DASHBOARD'!$Z$1)</f>
        <v>5</v>
      </c>
      <c r="E44" s="158">
        <f>IFERROR(D44/$D$46,0)</f>
        <v>3.0864197530864196E-2</v>
      </c>
      <c r="F44" s="159">
        <f>SUMIFS('BASE DASHBOARD'!$I$4:$I$166,'BASE DASHBOARD'!$L$4:$L$166,$C44,'BASE DASHBOARD'!$B$4:$B$166,'BASE DASHBOARD'!$Z$1)</f>
        <v>634026.6100000001</v>
      </c>
      <c r="G44" s="159">
        <f>SUMIFS('BASE DASHBOARD'!$J$4:$J$166,'BASE DASHBOARD'!$L$4:$L$166,$C44,'BASE DASHBOARD'!$B$4:$B$166,'BASE DASHBOARD'!$Z$1)</f>
        <v>0</v>
      </c>
      <c r="H44" s="142">
        <f>IFERROR(F44/$F$46,0)</f>
        <v>7.1861072668952418E-3</v>
      </c>
      <c r="I44" s="115"/>
      <c r="J44" s="115"/>
      <c r="K44" s="115"/>
      <c r="L44" s="115"/>
      <c r="M44" s="115"/>
      <c r="N44" s="115"/>
      <c r="O44" s="115"/>
      <c r="P44" s="115"/>
      <c r="Q44" s="116"/>
    </row>
    <row r="45" spans="2:17" ht="24" customHeight="1" x14ac:dyDescent="0.3">
      <c r="B45" s="114"/>
      <c r="C45" s="151" t="str">
        <f>'Tabelas Auxiliares'!M8</f>
        <v>Cancelada</v>
      </c>
      <c r="D45" s="129">
        <f>COUNTIFS('BASE DASHBOARD'!$L$4:$L$166,$C45,'BASE DASHBOARD'!$B$4:$B$166,'BASE DASHBOARD'!$Z$1)</f>
        <v>43</v>
      </c>
      <c r="E45" s="150">
        <f>IFERROR(D45/$D$46,0)</f>
        <v>0.26543209876543211</v>
      </c>
      <c r="F45" s="131">
        <f>SUMIFS('BASE DASHBOARD'!$I$4:$I$166,'BASE DASHBOARD'!$L$4:$L$166,$C45,'BASE DASHBOARD'!$B$4:$B$166,'BASE DASHBOARD'!$Z$1)</f>
        <v>5228833.63</v>
      </c>
      <c r="G45" s="131">
        <f>SUMIFS('BASE DASHBOARD'!$J$4:$J$166,'BASE DASHBOARD'!$L$4:$L$166,$C45,'BASE DASHBOARD'!$B$4:$B$166,'BASE DASHBOARD'!$Z$1)</f>
        <v>0</v>
      </c>
      <c r="H45" s="132">
        <f>IFERROR(F45/$F$46,0)</f>
        <v>5.9264009985210593E-2</v>
      </c>
      <c r="I45" s="115"/>
      <c r="J45" s="115"/>
      <c r="K45" s="115"/>
      <c r="L45" s="115"/>
      <c r="M45" s="115"/>
      <c r="N45" s="115"/>
      <c r="O45" s="115"/>
      <c r="P45" s="115"/>
      <c r="Q45" s="116"/>
    </row>
    <row r="46" spans="2:17" ht="24" customHeight="1" thickBot="1" x14ac:dyDescent="0.35">
      <c r="B46" s="114"/>
      <c r="C46" s="163" t="s">
        <v>729</v>
      </c>
      <c r="D46" s="164">
        <f>SUM(D41:D45)</f>
        <v>162</v>
      </c>
      <c r="E46" s="171">
        <f>SUM(E41:E45)</f>
        <v>1</v>
      </c>
      <c r="F46" s="165">
        <f>SUM(F41:F45)</f>
        <v>88229494.279999986</v>
      </c>
      <c r="G46" s="165">
        <f>SUM(G41:G45)</f>
        <v>62857063.469999999</v>
      </c>
      <c r="H46" s="166">
        <f>SUM(H41:H45)</f>
        <v>1.0000000000000002</v>
      </c>
      <c r="I46" s="115"/>
      <c r="J46" s="115"/>
      <c r="K46" s="115"/>
      <c r="L46" s="115"/>
      <c r="M46" s="115"/>
      <c r="N46" s="115"/>
      <c r="O46" s="115"/>
      <c r="P46" s="115"/>
      <c r="Q46" s="116"/>
    </row>
    <row r="47" spans="2:17" x14ac:dyDescent="0.3">
      <c r="B47" s="232"/>
      <c r="C47" s="233"/>
      <c r="D47" s="233"/>
      <c r="E47" s="233"/>
      <c r="F47" s="233"/>
      <c r="G47" s="233"/>
      <c r="H47" s="233"/>
      <c r="I47" s="233"/>
      <c r="J47" s="233"/>
      <c r="K47" s="233"/>
      <c r="L47" s="233"/>
      <c r="M47" s="233"/>
      <c r="N47" s="233"/>
      <c r="O47" s="233"/>
      <c r="P47" s="233"/>
      <c r="Q47" s="234"/>
    </row>
    <row r="48" spans="2:17" x14ac:dyDescent="0.3">
      <c r="B48" s="232"/>
      <c r="C48" s="233"/>
      <c r="D48" s="233"/>
      <c r="E48" s="233"/>
      <c r="F48" s="233"/>
      <c r="G48" s="233"/>
      <c r="H48" s="233"/>
      <c r="I48" s="233"/>
      <c r="J48" s="233"/>
      <c r="K48" s="233"/>
      <c r="L48" s="233"/>
      <c r="M48" s="233"/>
      <c r="N48" s="233"/>
      <c r="O48" s="233"/>
      <c r="P48" s="233"/>
      <c r="Q48" s="234"/>
    </row>
    <row r="49" spans="2:17" x14ac:dyDescent="0.3">
      <c r="B49" s="232"/>
      <c r="C49" s="233"/>
      <c r="D49" s="233"/>
      <c r="E49" s="233"/>
      <c r="F49" s="233"/>
      <c r="G49" s="233"/>
      <c r="H49" s="233"/>
      <c r="I49" s="233"/>
      <c r="J49" s="233"/>
      <c r="K49" s="233"/>
      <c r="L49" s="233"/>
      <c r="M49" s="233"/>
      <c r="N49" s="233"/>
      <c r="O49" s="233"/>
      <c r="P49" s="233"/>
      <c r="Q49" s="234"/>
    </row>
    <row r="50" spans="2:17" x14ac:dyDescent="0.3">
      <c r="B50" s="232"/>
      <c r="C50" s="233"/>
      <c r="D50" s="233"/>
      <c r="E50" s="233"/>
      <c r="F50" s="233"/>
      <c r="G50" s="233"/>
      <c r="H50" s="233"/>
      <c r="I50" s="233"/>
      <c r="J50" s="233"/>
      <c r="K50" s="233"/>
      <c r="L50" s="233"/>
      <c r="M50" s="233"/>
      <c r="N50" s="233"/>
      <c r="O50" s="233"/>
      <c r="P50" s="233"/>
      <c r="Q50" s="234"/>
    </row>
    <row r="51" spans="2:17" x14ac:dyDescent="0.3">
      <c r="B51" s="232"/>
      <c r="C51" s="233"/>
      <c r="D51" s="233"/>
      <c r="E51" s="233"/>
      <c r="F51" s="233"/>
      <c r="G51" s="233"/>
      <c r="H51" s="233"/>
      <c r="I51" s="233"/>
      <c r="J51" s="233"/>
      <c r="K51" s="233"/>
      <c r="L51" s="233"/>
      <c r="M51" s="233"/>
      <c r="N51" s="233"/>
      <c r="O51" s="233"/>
      <c r="P51" s="233"/>
      <c r="Q51" s="234"/>
    </row>
    <row r="52" spans="2:17" ht="16.2" thickBot="1" x14ac:dyDescent="0.35">
      <c r="B52" s="232"/>
      <c r="C52" s="233"/>
      <c r="D52" s="233"/>
      <c r="E52" s="233"/>
      <c r="F52" s="233"/>
      <c r="G52" s="233"/>
      <c r="H52" s="233"/>
      <c r="I52" s="233"/>
      <c r="J52" s="233"/>
      <c r="K52" s="233"/>
      <c r="L52" s="233"/>
      <c r="M52" s="233"/>
      <c r="N52" s="233"/>
      <c r="O52" s="233"/>
      <c r="P52" s="233"/>
      <c r="Q52" s="234"/>
    </row>
    <row r="53" spans="2:17" ht="60" customHeight="1" thickBot="1" x14ac:dyDescent="0.35">
      <c r="B53" s="114"/>
      <c r="C53" s="281" t="s">
        <v>759</v>
      </c>
      <c r="D53" s="282"/>
      <c r="E53" s="282"/>
      <c r="F53" s="282"/>
      <c r="G53" s="282"/>
      <c r="H53" s="282"/>
      <c r="I53" s="282"/>
      <c r="J53" s="282"/>
      <c r="K53" s="282"/>
      <c r="L53" s="282"/>
      <c r="M53" s="282"/>
      <c r="N53" s="282"/>
      <c r="O53" s="283"/>
      <c r="P53" s="115"/>
      <c r="Q53" s="116"/>
    </row>
    <row r="54" spans="2:17" ht="42" customHeight="1" x14ac:dyDescent="0.3">
      <c r="B54" s="114"/>
      <c r="C54" s="123" t="s">
        <v>730</v>
      </c>
      <c r="D54" s="124">
        <f>'BASE DASHBOARD'!M$3</f>
        <v>46023</v>
      </c>
      <c r="E54" s="124">
        <f>'BASE DASHBOARD'!N$3</f>
        <v>46054</v>
      </c>
      <c r="F54" s="124">
        <f>'BASE DASHBOARD'!O$3</f>
        <v>46082</v>
      </c>
      <c r="G54" s="124">
        <f>'BASE DASHBOARD'!P$3</f>
        <v>46113</v>
      </c>
      <c r="H54" s="124">
        <f>'BASE DASHBOARD'!Q$3</f>
        <v>46143</v>
      </c>
      <c r="I54" s="124">
        <f>'BASE DASHBOARD'!R$3</f>
        <v>46174</v>
      </c>
      <c r="J54" s="124">
        <f>'BASE DASHBOARD'!S$3</f>
        <v>46204</v>
      </c>
      <c r="K54" s="124">
        <f>'BASE DASHBOARD'!T$3</f>
        <v>46235</v>
      </c>
      <c r="L54" s="124">
        <f>'BASE DASHBOARD'!U$3</f>
        <v>46266</v>
      </c>
      <c r="M54" s="124">
        <f>'BASE DASHBOARD'!V$3</f>
        <v>46296</v>
      </c>
      <c r="N54" s="124">
        <f>'BASE DASHBOARD'!W$3</f>
        <v>46327</v>
      </c>
      <c r="O54" s="125">
        <f>'BASE DASHBOARD'!X$3</f>
        <v>46357</v>
      </c>
      <c r="P54" s="115"/>
      <c r="Q54" s="116"/>
    </row>
    <row r="55" spans="2:17" ht="24" customHeight="1" x14ac:dyDescent="0.3">
      <c r="B55" s="114"/>
      <c r="C55" s="152" t="s">
        <v>731</v>
      </c>
      <c r="D55" s="119">
        <f>SUMIFS('BASE DASHBOARD'!M$4:M$166,'BASE DASHBOARD'!$B$4:$B$166,'BASE DASHBOARD'!$Z$1)</f>
        <v>3534915.7199999997</v>
      </c>
      <c r="E55" s="119">
        <f>SUMIFS('BASE DASHBOARD'!N$4:N$166,'BASE DASHBOARD'!$B$4:$B$166,'BASE DASHBOARD'!$Z$1)</f>
        <v>2981245.91</v>
      </c>
      <c r="F55" s="119">
        <f>SUMIFS('BASE DASHBOARD'!O$4:O$166,'BASE DASHBOARD'!$B$4:$B$166,'BASE DASHBOARD'!$Z$1)</f>
        <v>3402627.2600000002</v>
      </c>
      <c r="G55" s="119">
        <f>SUMIFS('BASE DASHBOARD'!P$4:P$166,'BASE DASHBOARD'!$B$4:$B$166,'BASE DASHBOARD'!$Z$1)</f>
        <v>10882185.16</v>
      </c>
      <c r="H55" s="119">
        <f>SUMIFS('BASE DASHBOARD'!Q$4:Q$166,'BASE DASHBOARD'!$B$4:$B$166,'BASE DASHBOARD'!$Z$1)</f>
        <v>17981314.699999999</v>
      </c>
      <c r="I55" s="119">
        <f>SUMIFS('BASE DASHBOARD'!R$4:R$166,'BASE DASHBOARD'!$B$4:$B$166,'BASE DASHBOARD'!$Z$1)</f>
        <v>15396883.77</v>
      </c>
      <c r="J55" s="119">
        <f>SUMIFS('BASE DASHBOARD'!S$4:S$166,'BASE DASHBOARD'!$B$4:$B$166,'BASE DASHBOARD'!$Z$1)</f>
        <v>3801023.8</v>
      </c>
      <c r="K55" s="119">
        <f>SUMIFS('BASE DASHBOARD'!T$4:T$166,'BASE DASHBOARD'!$B$4:$B$166,'BASE DASHBOARD'!$Z$1)</f>
        <v>4876867.1500000004</v>
      </c>
      <c r="L55" s="119">
        <f>SUMIFS('BASE DASHBOARD'!U$4:U$166,'BASE DASHBOARD'!$B$4:$B$166,'BASE DASHBOARD'!$Z$1)</f>
        <v>0</v>
      </c>
      <c r="M55" s="119">
        <f>SUMIFS('BASE DASHBOARD'!V$4:V$166,'BASE DASHBOARD'!$B$4:$B$166,'BASE DASHBOARD'!$Z$1)</f>
        <v>0</v>
      </c>
      <c r="N55" s="119">
        <f>SUMIFS('BASE DASHBOARD'!W$4:W$166,'BASE DASHBOARD'!$B$4:$B$166,'BASE DASHBOARD'!$Z$1)</f>
        <v>0</v>
      </c>
      <c r="O55" s="120">
        <f>SUMIFS('BASE DASHBOARD'!X$4:X$166,'BASE DASHBOARD'!$B$4:$B$166,'BASE DASHBOARD'!$Z$1)</f>
        <v>0</v>
      </c>
      <c r="P55" s="115"/>
      <c r="Q55" s="116"/>
    </row>
    <row r="56" spans="2:17" ht="24" customHeight="1" x14ac:dyDescent="0.3">
      <c r="B56" s="114"/>
      <c r="C56" s="154" t="s">
        <v>732</v>
      </c>
      <c r="D56" s="155">
        <f>D55</f>
        <v>3534915.7199999997</v>
      </c>
      <c r="E56" s="155">
        <f t="shared" ref="E56:O56" si="5">D56+E55</f>
        <v>6516161.6299999999</v>
      </c>
      <c r="F56" s="155">
        <f t="shared" si="5"/>
        <v>9918788.8900000006</v>
      </c>
      <c r="G56" s="155">
        <f t="shared" si="5"/>
        <v>20800974.050000001</v>
      </c>
      <c r="H56" s="155">
        <f t="shared" si="5"/>
        <v>38782288.75</v>
      </c>
      <c r="I56" s="155">
        <f t="shared" si="5"/>
        <v>54179172.519999996</v>
      </c>
      <c r="J56" s="155">
        <f t="shared" si="5"/>
        <v>57980196.319999993</v>
      </c>
      <c r="K56" s="155">
        <f t="shared" si="5"/>
        <v>62857063.469999991</v>
      </c>
      <c r="L56" s="155">
        <f t="shared" si="5"/>
        <v>62857063.469999991</v>
      </c>
      <c r="M56" s="155">
        <f t="shared" si="5"/>
        <v>62857063.469999991</v>
      </c>
      <c r="N56" s="155">
        <f t="shared" si="5"/>
        <v>62857063.469999991</v>
      </c>
      <c r="O56" s="156">
        <f t="shared" si="5"/>
        <v>62857063.469999991</v>
      </c>
      <c r="P56" s="115"/>
      <c r="Q56" s="116"/>
    </row>
    <row r="57" spans="2:17" ht="24" customHeight="1" x14ac:dyDescent="0.3">
      <c r="B57" s="114"/>
      <c r="C57" s="153" t="s">
        <v>733</v>
      </c>
      <c r="D57" s="121">
        <f>IFERROR(D56/DASHBOARD!$G$13,0)</f>
        <v>3.9887347735266088E-2</v>
      </c>
      <c r="E57" s="121">
        <f>IFERROR(E56/DASHBOARD!$G$13,0)</f>
        <v>7.3527185772623821E-2</v>
      </c>
      <c r="F57" s="121">
        <f>IFERROR(F56/DASHBOARD!$G$13,0)</f>
        <v>0.11192181452295671</v>
      </c>
      <c r="G57" s="121">
        <f>IFERROR(G56/DASHBOARD!$G$13,0)</f>
        <v>0.23471441779228511</v>
      </c>
      <c r="H57" s="121">
        <f>IFERROR(H56/DASHBOARD!$G$13,0)</f>
        <v>0.43761231097774184</v>
      </c>
      <c r="I57" s="121">
        <f>IFERROR(I56/DASHBOARD!$G$13,0)</f>
        <v>0.61134795437618317</v>
      </c>
      <c r="J57" s="121">
        <f>IFERROR(J56/DASHBOARD!$G$13,0)</f>
        <v>0.65423801741299648</v>
      </c>
      <c r="K57" s="121">
        <f>IFERROR(K56/DASHBOARD!$G$13,0)</f>
        <v>0.70926770164850805</v>
      </c>
      <c r="L57" s="121">
        <f>IFERROR(L56/DASHBOARD!$G$13,0)</f>
        <v>0.70926770164850805</v>
      </c>
      <c r="M57" s="121">
        <f>IFERROR(M56/DASHBOARD!$G$13,0)</f>
        <v>0.70926770164850805</v>
      </c>
      <c r="N57" s="121">
        <f>IFERROR(N56/DASHBOARD!$G$13,0)</f>
        <v>0.70926770164850805</v>
      </c>
      <c r="O57" s="122">
        <f>IFERROR(O56/DASHBOARD!$G$13,0)</f>
        <v>0.70926770164850805</v>
      </c>
      <c r="P57" s="115"/>
      <c r="Q57" s="116"/>
    </row>
    <row r="58" spans="2:17" ht="24" customHeight="1" thickBot="1" x14ac:dyDescent="0.35">
      <c r="B58" s="114"/>
      <c r="C58" s="160" t="s">
        <v>734</v>
      </c>
      <c r="D58" s="161">
        <f>COUNTIFS('BASE DASHBOARD'!$B$4:$B$166,'BASE DASHBOARD'!$Z$1,'BASE DASHBOARD'!M$4:M$166,"&gt;0")</f>
        <v>12</v>
      </c>
      <c r="E58" s="161">
        <f>COUNTIFS('BASE DASHBOARD'!$B$4:$B$166,'BASE DASHBOARD'!$Z$1,'BASE DASHBOARD'!N$4:N$166,"&gt;0")</f>
        <v>24</v>
      </c>
      <c r="F58" s="161">
        <f>COUNTIFS('BASE DASHBOARD'!$B$4:$B$166,'BASE DASHBOARD'!$Z$1,'BASE DASHBOARD'!O$4:O$166,"&gt;0")</f>
        <v>15</v>
      </c>
      <c r="G58" s="161">
        <f>COUNTIFS('BASE DASHBOARD'!$B$4:$B$166,'BASE DASHBOARD'!$Z$1,'BASE DASHBOARD'!P$4:P$166,"&gt;0")</f>
        <v>23</v>
      </c>
      <c r="H58" s="161">
        <f>COUNTIFS('BASE DASHBOARD'!$B$4:$B$166,'BASE DASHBOARD'!$Z$1,'BASE DASHBOARD'!Q$4:Q$166,"&gt;0")</f>
        <v>19</v>
      </c>
      <c r="I58" s="161">
        <f>COUNTIFS('BASE DASHBOARD'!$B$4:$B$166,'BASE DASHBOARD'!$Z$1,'BASE DASHBOARD'!R$4:R$166,"&gt;0")</f>
        <v>16</v>
      </c>
      <c r="J58" s="161">
        <f>COUNTIFS('BASE DASHBOARD'!$B$4:$B$166,'BASE DASHBOARD'!$Z$1,'BASE DASHBOARD'!S$4:S$166,"&gt;0")</f>
        <v>11</v>
      </c>
      <c r="K58" s="161">
        <f>COUNTIFS('BASE DASHBOARD'!$B$4:$B$166,'BASE DASHBOARD'!$Z$1,'BASE DASHBOARD'!T$4:T$166,"&gt;0")</f>
        <v>14</v>
      </c>
      <c r="L58" s="161">
        <f>COUNTIFS('BASE DASHBOARD'!$B$4:$B$166,'BASE DASHBOARD'!$Z$1,'BASE DASHBOARD'!U$4:U$166,"&gt;0")</f>
        <v>0</v>
      </c>
      <c r="M58" s="161">
        <f>COUNTIFS('BASE DASHBOARD'!$B$4:$B$166,'BASE DASHBOARD'!$Z$1,'BASE DASHBOARD'!V$4:V$166,"&gt;0")</f>
        <v>0</v>
      </c>
      <c r="N58" s="161">
        <f>COUNTIFS('BASE DASHBOARD'!$B$4:$B$166,'BASE DASHBOARD'!$Z$1,'BASE DASHBOARD'!W$4:W$166,"&gt;0")</f>
        <v>0</v>
      </c>
      <c r="O58" s="162">
        <f>COUNTIFS('BASE DASHBOARD'!$B$4:$B$166,'BASE DASHBOARD'!$Z$1,'BASE DASHBOARD'!X$4:X$166,"&gt;0")</f>
        <v>0</v>
      </c>
      <c r="P58" s="115"/>
      <c r="Q58" s="116"/>
    </row>
    <row r="59" spans="2:17" x14ac:dyDescent="0.3">
      <c r="B59" s="232"/>
      <c r="C59" s="233"/>
      <c r="D59" s="233"/>
      <c r="E59" s="233"/>
      <c r="F59" s="233"/>
      <c r="G59" s="233"/>
      <c r="H59" s="233"/>
      <c r="I59" s="233"/>
      <c r="J59" s="233"/>
      <c r="K59" s="233"/>
      <c r="L59" s="233"/>
      <c r="M59" s="233"/>
      <c r="N59" s="233"/>
      <c r="O59" s="233"/>
      <c r="P59" s="233"/>
      <c r="Q59" s="234"/>
    </row>
    <row r="60" spans="2:17" x14ac:dyDescent="0.3">
      <c r="B60" s="232"/>
      <c r="C60" s="233"/>
      <c r="D60" s="233"/>
      <c r="E60" s="233"/>
      <c r="F60" s="233"/>
      <c r="G60" s="233"/>
      <c r="H60" s="233"/>
      <c r="I60" s="233"/>
      <c r="J60" s="233"/>
      <c r="K60" s="233"/>
      <c r="L60" s="233"/>
      <c r="M60" s="233"/>
      <c r="N60" s="233"/>
      <c r="O60" s="233"/>
      <c r="P60" s="233"/>
      <c r="Q60" s="234"/>
    </row>
    <row r="61" spans="2:17" x14ac:dyDescent="0.3">
      <c r="B61" s="232"/>
      <c r="C61" s="233"/>
      <c r="D61" s="233"/>
      <c r="E61" s="233"/>
      <c r="F61" s="233"/>
      <c r="G61" s="233"/>
      <c r="H61" s="233"/>
      <c r="I61" s="233"/>
      <c r="J61" s="233"/>
      <c r="K61" s="233"/>
      <c r="L61" s="233"/>
      <c r="M61" s="233"/>
      <c r="N61" s="233"/>
      <c r="O61" s="233"/>
      <c r="P61" s="233"/>
      <c r="Q61" s="234"/>
    </row>
    <row r="62" spans="2:17" ht="18" x14ac:dyDescent="0.35">
      <c r="B62" s="114"/>
      <c r="C62" s="174" t="s">
        <v>754</v>
      </c>
      <c r="D62" s="115"/>
      <c r="E62" s="115"/>
      <c r="F62" s="115"/>
      <c r="G62" s="115"/>
      <c r="H62" s="115"/>
      <c r="I62" s="115"/>
      <c r="J62" s="115"/>
      <c r="K62" s="115"/>
      <c r="L62" s="115"/>
      <c r="M62" s="115"/>
      <c r="N62" s="115"/>
      <c r="O62" s="115"/>
      <c r="P62" s="115"/>
      <c r="Q62" s="116"/>
    </row>
    <row r="63" spans="2:17" x14ac:dyDescent="0.3">
      <c r="B63" s="114"/>
      <c r="C63" s="115"/>
      <c r="D63" s="115"/>
      <c r="E63" s="115"/>
      <c r="F63" s="115"/>
      <c r="G63" s="115"/>
      <c r="H63" s="115"/>
      <c r="I63" s="115"/>
      <c r="J63" s="115"/>
      <c r="K63" s="115"/>
      <c r="L63" s="115"/>
      <c r="M63" s="115"/>
      <c r="N63" s="115"/>
      <c r="O63" s="115"/>
      <c r="P63" s="115"/>
      <c r="Q63" s="116"/>
    </row>
    <row r="64" spans="2:17" ht="30.6" customHeight="1" x14ac:dyDescent="0.3">
      <c r="B64" s="175"/>
      <c r="C64" s="94"/>
      <c r="D64" s="94"/>
      <c r="E64" s="94"/>
      <c r="F64" s="94"/>
      <c r="G64" s="94"/>
      <c r="H64" s="94"/>
      <c r="I64" s="94"/>
      <c r="J64" s="94"/>
      <c r="K64" s="94"/>
      <c r="L64" s="94"/>
      <c r="M64" s="94"/>
      <c r="Q64" s="176"/>
    </row>
    <row r="65" spans="2:23" x14ac:dyDescent="0.3">
      <c r="B65" s="232"/>
      <c r="C65" s="233"/>
      <c r="D65" s="233"/>
      <c r="E65" s="233"/>
      <c r="F65" s="233"/>
      <c r="G65" s="233"/>
      <c r="H65" s="233"/>
      <c r="I65" s="233"/>
      <c r="J65" s="233"/>
      <c r="K65" s="233"/>
      <c r="L65" s="233"/>
      <c r="M65" s="233"/>
      <c r="N65" s="233"/>
      <c r="O65" s="233"/>
      <c r="P65" s="233"/>
      <c r="Q65" s="234"/>
    </row>
    <row r="66" spans="2:23" x14ac:dyDescent="0.3">
      <c r="B66" s="232"/>
      <c r="C66" s="233"/>
      <c r="D66" s="233"/>
      <c r="E66" s="233"/>
      <c r="F66" s="233"/>
      <c r="G66" s="233"/>
      <c r="H66" s="233"/>
      <c r="I66" s="233"/>
      <c r="J66" s="233"/>
      <c r="K66" s="233"/>
      <c r="L66" s="233"/>
      <c r="M66" s="233"/>
      <c r="N66" s="233"/>
      <c r="O66" s="233"/>
      <c r="P66" s="233"/>
      <c r="Q66" s="234"/>
    </row>
    <row r="67" spans="2:23" x14ac:dyDescent="0.3">
      <c r="B67" s="232"/>
      <c r="C67" s="233"/>
      <c r="D67" s="233"/>
      <c r="E67" s="233"/>
      <c r="F67" s="233"/>
      <c r="G67" s="233"/>
      <c r="H67" s="233"/>
      <c r="I67" s="233"/>
      <c r="J67" s="233"/>
      <c r="K67" s="233"/>
      <c r="L67" s="233"/>
      <c r="M67" s="233"/>
      <c r="N67" s="233"/>
      <c r="O67" s="233"/>
      <c r="P67" s="233"/>
      <c r="Q67" s="234"/>
    </row>
    <row r="68" spans="2:23" x14ac:dyDescent="0.3">
      <c r="B68" s="232"/>
      <c r="C68" s="233"/>
      <c r="D68" s="233"/>
      <c r="E68" s="233"/>
      <c r="F68" s="233"/>
      <c r="G68" s="233"/>
      <c r="H68" s="233"/>
      <c r="I68" s="233"/>
      <c r="J68" s="233"/>
      <c r="K68" s="233"/>
      <c r="L68" s="233"/>
      <c r="M68" s="233"/>
      <c r="N68" s="233"/>
      <c r="O68" s="233"/>
      <c r="P68" s="233"/>
      <c r="Q68" s="234"/>
    </row>
    <row r="69" spans="2:23" x14ac:dyDescent="0.3">
      <c r="B69" s="232"/>
      <c r="C69" s="233"/>
      <c r="D69" s="233"/>
      <c r="E69" s="233"/>
      <c r="F69" s="233"/>
      <c r="G69" s="233"/>
      <c r="H69" s="233"/>
      <c r="I69" s="233"/>
      <c r="J69" s="233"/>
      <c r="K69" s="233"/>
      <c r="L69" s="233"/>
      <c r="M69" s="233"/>
      <c r="N69" s="233"/>
      <c r="O69" s="233"/>
      <c r="P69" s="233"/>
      <c r="Q69" s="234"/>
    </row>
    <row r="70" spans="2:23" x14ac:dyDescent="0.3">
      <c r="B70" s="232"/>
      <c r="C70" s="233"/>
      <c r="D70" s="233"/>
      <c r="E70" s="233"/>
      <c r="F70" s="233"/>
      <c r="G70" s="233"/>
      <c r="H70" s="233"/>
      <c r="I70" s="233"/>
      <c r="J70" s="233"/>
      <c r="K70" s="233"/>
      <c r="L70" s="233"/>
      <c r="M70" s="233"/>
      <c r="N70" s="233"/>
      <c r="O70" s="233"/>
      <c r="P70" s="233"/>
      <c r="Q70" s="234"/>
      <c r="R70" s="172" t="s">
        <v>760</v>
      </c>
    </row>
    <row r="71" spans="2:23" x14ac:dyDescent="0.3">
      <c r="B71" s="232"/>
      <c r="C71" s="233"/>
      <c r="D71" s="233"/>
      <c r="E71" s="233"/>
      <c r="F71" s="233"/>
      <c r="G71" s="233"/>
      <c r="H71" s="233"/>
      <c r="I71" s="233"/>
      <c r="J71" s="233"/>
      <c r="K71" s="233"/>
      <c r="L71" s="233"/>
      <c r="M71" s="233"/>
      <c r="N71" s="233"/>
      <c r="O71" s="233"/>
      <c r="P71" s="233"/>
      <c r="Q71" s="234"/>
      <c r="R71" t="s">
        <v>4</v>
      </c>
      <c r="S71" t="s">
        <v>761</v>
      </c>
      <c r="T71" t="s">
        <v>762</v>
      </c>
      <c r="V71" t="s">
        <v>4</v>
      </c>
      <c r="W71" t="s">
        <v>709</v>
      </c>
    </row>
    <row r="72" spans="2:23" x14ac:dyDescent="0.3">
      <c r="B72" s="232"/>
      <c r="C72" s="233"/>
      <c r="D72" s="233"/>
      <c r="E72" s="233"/>
      <c r="F72" s="233"/>
      <c r="G72" s="233"/>
      <c r="H72" s="233"/>
      <c r="I72" s="233"/>
      <c r="J72" s="233"/>
      <c r="K72" s="233"/>
      <c r="L72" s="233"/>
      <c r="M72" s="233"/>
      <c r="N72" s="233"/>
      <c r="O72" s="233"/>
      <c r="P72" s="233"/>
      <c r="Q72" s="234"/>
      <c r="R72" t="str">
        <f t="shared" ref="R72:R77" si="6">$C26</f>
        <v>R01</v>
      </c>
      <c r="S72" s="189">
        <f t="shared" ref="S72:S77" si="7">$H26</f>
        <v>5168218.2699999986</v>
      </c>
      <c r="T72" s="189">
        <f t="shared" ref="T72:T77" si="8">$I26</f>
        <v>4433694.2499999991</v>
      </c>
      <c r="V72" t="str">
        <f t="shared" ref="V72:V77" si="9">$C26</f>
        <v>R01</v>
      </c>
      <c r="W72" s="190">
        <f t="shared" ref="W72:W77" si="10">$E26</f>
        <v>46</v>
      </c>
    </row>
    <row r="73" spans="2:23" x14ac:dyDescent="0.3">
      <c r="B73" s="232"/>
      <c r="C73" s="233"/>
      <c r="D73" s="233"/>
      <c r="E73" s="233"/>
      <c r="F73" s="233"/>
      <c r="G73" s="233"/>
      <c r="H73" s="233"/>
      <c r="I73" s="233"/>
      <c r="J73" s="233"/>
      <c r="K73" s="233"/>
      <c r="L73" s="233"/>
      <c r="M73" s="233"/>
      <c r="N73" s="233"/>
      <c r="O73" s="233"/>
      <c r="P73" s="233"/>
      <c r="Q73" s="234"/>
      <c r="R73" t="str">
        <f t="shared" si="6"/>
        <v>R02</v>
      </c>
      <c r="S73" s="189">
        <f t="shared" si="7"/>
        <v>12018363.759999996</v>
      </c>
      <c r="T73" s="189">
        <f t="shared" si="8"/>
        <v>7159532.0000000019</v>
      </c>
      <c r="V73" t="str">
        <f t="shared" si="9"/>
        <v>R02</v>
      </c>
      <c r="W73" s="190">
        <f t="shared" si="10"/>
        <v>58</v>
      </c>
    </row>
    <row r="74" spans="2:23" x14ac:dyDescent="0.3">
      <c r="B74" s="232"/>
      <c r="C74" s="233"/>
      <c r="D74" s="233"/>
      <c r="E74" s="233"/>
      <c r="F74" s="233"/>
      <c r="G74" s="233"/>
      <c r="H74" s="233"/>
      <c r="I74" s="233"/>
      <c r="J74" s="233"/>
      <c r="K74" s="233"/>
      <c r="L74" s="233"/>
      <c r="M74" s="233"/>
      <c r="N74" s="233"/>
      <c r="O74" s="233"/>
      <c r="P74" s="233"/>
      <c r="Q74" s="234"/>
      <c r="R74" t="str">
        <f t="shared" si="6"/>
        <v>R03</v>
      </c>
      <c r="S74" s="189">
        <f t="shared" si="7"/>
        <v>13276294.289999999</v>
      </c>
      <c r="T74" s="189">
        <f t="shared" si="8"/>
        <v>7870365.6799999997</v>
      </c>
      <c r="V74" t="str">
        <f t="shared" si="9"/>
        <v>R03</v>
      </c>
      <c r="W74" s="190">
        <f t="shared" si="10"/>
        <v>50</v>
      </c>
    </row>
    <row r="75" spans="2:23" x14ac:dyDescent="0.3">
      <c r="B75" s="232"/>
      <c r="C75" s="233"/>
      <c r="D75" s="233"/>
      <c r="E75" s="233"/>
      <c r="F75" s="233"/>
      <c r="G75" s="233"/>
      <c r="H75" s="233"/>
      <c r="I75" s="233"/>
      <c r="J75" s="233"/>
      <c r="K75" s="233"/>
      <c r="L75" s="233"/>
      <c r="M75" s="233"/>
      <c r="N75" s="233"/>
      <c r="O75" s="233"/>
      <c r="P75" s="233"/>
      <c r="Q75" s="234"/>
      <c r="R75" t="str">
        <f t="shared" si="6"/>
        <v>R14</v>
      </c>
      <c r="S75" s="189">
        <f t="shared" si="7"/>
        <v>20475389.840000004</v>
      </c>
      <c r="T75" s="189">
        <f t="shared" si="8"/>
        <v>9017477.6600000001</v>
      </c>
      <c r="V75" t="str">
        <f t="shared" si="9"/>
        <v>R14</v>
      </c>
      <c r="W75" s="190">
        <f t="shared" si="10"/>
        <v>4</v>
      </c>
    </row>
    <row r="76" spans="2:23" x14ac:dyDescent="0.3">
      <c r="B76" s="232"/>
      <c r="C76" s="233"/>
      <c r="D76" s="233"/>
      <c r="E76" s="233"/>
      <c r="F76" s="233"/>
      <c r="G76" s="233"/>
      <c r="H76" s="233"/>
      <c r="I76" s="233"/>
      <c r="J76" s="233"/>
      <c r="K76" s="233"/>
      <c r="L76" s="233"/>
      <c r="M76" s="233"/>
      <c r="N76" s="233"/>
      <c r="O76" s="233"/>
      <c r="P76" s="233"/>
      <c r="Q76" s="234"/>
      <c r="R76" t="str">
        <f t="shared" si="6"/>
        <v>R15</v>
      </c>
      <c r="S76" s="189">
        <f t="shared" si="7"/>
        <v>4007975.34</v>
      </c>
      <c r="T76" s="189">
        <f t="shared" si="8"/>
        <v>2877414.09</v>
      </c>
      <c r="V76" t="str">
        <f t="shared" si="9"/>
        <v>R15</v>
      </c>
      <c r="W76" s="190">
        <f t="shared" si="10"/>
        <v>1</v>
      </c>
    </row>
    <row r="77" spans="2:23" x14ac:dyDescent="0.3">
      <c r="B77" s="232"/>
      <c r="C77" s="233"/>
      <c r="D77" s="233"/>
      <c r="E77" s="233"/>
      <c r="F77" s="233"/>
      <c r="G77" s="233"/>
      <c r="H77" s="233"/>
      <c r="I77" s="233"/>
      <c r="J77" s="233"/>
      <c r="K77" s="233"/>
      <c r="L77" s="233"/>
      <c r="M77" s="233"/>
      <c r="N77" s="233"/>
      <c r="O77" s="233"/>
      <c r="P77" s="233"/>
      <c r="Q77" s="234"/>
      <c r="R77" t="str">
        <f t="shared" si="6"/>
        <v>R16</v>
      </c>
      <c r="S77" s="189">
        <f t="shared" si="7"/>
        <v>33676239.579999998</v>
      </c>
      <c r="T77" s="189">
        <f t="shared" si="8"/>
        <v>31498579.789999999</v>
      </c>
      <c r="V77" t="str">
        <f t="shared" si="9"/>
        <v>R16</v>
      </c>
      <c r="W77" s="190">
        <f t="shared" si="10"/>
        <v>4</v>
      </c>
    </row>
    <row r="78" spans="2:23" x14ac:dyDescent="0.3">
      <c r="B78" s="232"/>
      <c r="C78" s="233"/>
      <c r="D78" s="233"/>
      <c r="E78" s="233"/>
      <c r="F78" s="233"/>
      <c r="G78" s="233"/>
      <c r="H78" s="233"/>
      <c r="I78" s="233"/>
      <c r="J78" s="233"/>
      <c r="K78" s="233"/>
      <c r="L78" s="233"/>
      <c r="M78" s="233"/>
      <c r="N78" s="233"/>
      <c r="O78" s="233"/>
      <c r="P78" s="233"/>
      <c r="Q78" s="234"/>
    </row>
    <row r="79" spans="2:23" x14ac:dyDescent="0.3">
      <c r="B79" s="232"/>
      <c r="C79" s="233"/>
      <c r="D79" s="233"/>
      <c r="E79" s="233"/>
      <c r="F79" s="233"/>
      <c r="G79" s="233"/>
      <c r="H79" s="233"/>
      <c r="I79" s="233"/>
      <c r="J79" s="233"/>
      <c r="K79" s="233"/>
      <c r="L79" s="233"/>
      <c r="M79" s="233"/>
      <c r="N79" s="233"/>
      <c r="O79" s="233"/>
      <c r="P79" s="233"/>
      <c r="Q79" s="234"/>
    </row>
    <row r="80" spans="2:23" x14ac:dyDescent="0.3">
      <c r="B80" s="232"/>
      <c r="C80" s="233"/>
      <c r="D80" s="233"/>
      <c r="E80" s="233"/>
      <c r="F80" s="233"/>
      <c r="G80" s="233"/>
      <c r="H80" s="233"/>
      <c r="I80" s="233"/>
      <c r="J80" s="233"/>
      <c r="K80" s="233"/>
      <c r="L80" s="233"/>
      <c r="M80" s="233"/>
      <c r="N80" s="233"/>
      <c r="O80" s="233"/>
      <c r="P80" s="233"/>
      <c r="Q80" s="234"/>
      <c r="R80" t="s">
        <v>730</v>
      </c>
      <c r="S80" t="s">
        <v>763</v>
      </c>
      <c r="T80" t="s">
        <v>732</v>
      </c>
    </row>
    <row r="81" spans="2:20" x14ac:dyDescent="0.3">
      <c r="B81" s="232"/>
      <c r="C81" s="233"/>
      <c r="D81" s="233"/>
      <c r="E81" s="233"/>
      <c r="F81" s="233"/>
      <c r="G81" s="233"/>
      <c r="H81" s="233"/>
      <c r="I81" s="233"/>
      <c r="J81" s="233"/>
      <c r="K81" s="233"/>
      <c r="L81" s="233"/>
      <c r="M81" s="233"/>
      <c r="N81" s="233"/>
      <c r="O81" s="233"/>
      <c r="P81" s="233"/>
      <c r="Q81" s="234"/>
      <c r="R81" t="str" cm="1">
        <f t="array" ref="R81">TEXT(INDEX($D$54:$O$54,ROW()-80),"mmm/aa")</f>
        <v>jan/26</v>
      </c>
      <c r="S81" cm="1">
        <f t="array" ref="S81">INDEX($D$55:$O$55,ROW()-80)</f>
        <v>3534915.7199999997</v>
      </c>
      <c r="T81" cm="1">
        <f t="array" ref="T81">INDEX($D$56:$O$56,ROW()-80)</f>
        <v>3534915.7199999997</v>
      </c>
    </row>
    <row r="82" spans="2:20" x14ac:dyDescent="0.3">
      <c r="B82" s="232"/>
      <c r="C82" s="233"/>
      <c r="D82" s="233"/>
      <c r="E82" s="233"/>
      <c r="F82" s="233"/>
      <c r="G82" s="233"/>
      <c r="H82" s="233"/>
      <c r="I82" s="233"/>
      <c r="J82" s="233"/>
      <c r="K82" s="233"/>
      <c r="L82" s="233"/>
      <c r="M82" s="233"/>
      <c r="N82" s="233"/>
      <c r="O82" s="233"/>
      <c r="P82" s="233"/>
      <c r="Q82" s="234"/>
      <c r="R82" t="str" cm="1">
        <f t="array" ref="R82">TEXT(INDEX($D$54:$O$54,ROW()-80),"mmm/aa")</f>
        <v>fev/26</v>
      </c>
      <c r="S82" cm="1">
        <f t="array" ref="S82">INDEX($D$55:$O$55,ROW()-80)</f>
        <v>2981245.91</v>
      </c>
      <c r="T82" cm="1">
        <f t="array" ref="T82">INDEX($D$56:$O$56,ROW()-80)</f>
        <v>6516161.6299999999</v>
      </c>
    </row>
    <row r="83" spans="2:20" x14ac:dyDescent="0.3">
      <c r="B83" s="232"/>
      <c r="C83" s="233"/>
      <c r="D83" s="233"/>
      <c r="E83" s="233"/>
      <c r="F83" s="233"/>
      <c r="G83" s="233"/>
      <c r="H83" s="233"/>
      <c r="I83" s="233"/>
      <c r="J83" s="233"/>
      <c r="K83" s="233"/>
      <c r="L83" s="233"/>
      <c r="M83" s="233"/>
      <c r="N83" s="233"/>
      <c r="O83" s="233"/>
      <c r="P83" s="233"/>
      <c r="Q83" s="234"/>
      <c r="R83" t="str" cm="1">
        <f t="array" ref="R83">TEXT(INDEX($D$54:$O$54,ROW()-80),"mmm/aa")</f>
        <v>mar/26</v>
      </c>
      <c r="S83" cm="1">
        <f t="array" ref="S83">INDEX($D$55:$O$55,ROW()-80)</f>
        <v>3402627.2600000002</v>
      </c>
      <c r="T83" cm="1">
        <f t="array" ref="T83">INDEX($D$56:$O$56,ROW()-80)</f>
        <v>9918788.8900000006</v>
      </c>
    </row>
    <row r="84" spans="2:20" x14ac:dyDescent="0.3">
      <c r="B84" s="232"/>
      <c r="C84" s="233"/>
      <c r="D84" s="233"/>
      <c r="E84" s="233"/>
      <c r="F84" s="233"/>
      <c r="G84" s="233"/>
      <c r="H84" s="233"/>
      <c r="I84" s="233"/>
      <c r="J84" s="233"/>
      <c r="K84" s="233"/>
      <c r="L84" s="233"/>
      <c r="M84" s="233"/>
      <c r="N84" s="233"/>
      <c r="O84" s="233"/>
      <c r="P84" s="233"/>
      <c r="Q84" s="234"/>
      <c r="R84" t="str" cm="1">
        <f t="array" ref="R84">TEXT(INDEX($D$54:$O$54,ROW()-80),"mmm/aa")</f>
        <v>abr/26</v>
      </c>
      <c r="S84" cm="1">
        <f t="array" ref="S84">INDEX($D$55:$O$55,ROW()-80)</f>
        <v>10882185.16</v>
      </c>
      <c r="T84" cm="1">
        <f t="array" ref="T84">INDEX($D$56:$O$56,ROW()-80)</f>
        <v>20800974.050000001</v>
      </c>
    </row>
    <row r="85" spans="2:20" x14ac:dyDescent="0.3">
      <c r="B85" s="232"/>
      <c r="C85" s="233"/>
      <c r="D85" s="233"/>
      <c r="E85" s="233"/>
      <c r="F85" s="233"/>
      <c r="G85" s="233"/>
      <c r="H85" s="233"/>
      <c r="I85" s="233"/>
      <c r="J85" s="233"/>
      <c r="K85" s="233"/>
      <c r="L85" s="233"/>
      <c r="M85" s="233"/>
      <c r="N85" s="233"/>
      <c r="O85" s="233"/>
      <c r="P85" s="233"/>
      <c r="Q85" s="234"/>
      <c r="R85" t="str" cm="1">
        <f t="array" ref="R85">TEXT(INDEX($D$54:$O$54,ROW()-80),"mmm/aa")</f>
        <v>mai/26</v>
      </c>
      <c r="S85" cm="1">
        <f t="array" ref="S85">INDEX($D$55:$O$55,ROW()-80)</f>
        <v>17981314.699999999</v>
      </c>
      <c r="T85" cm="1">
        <f t="array" ref="T85">INDEX($D$56:$O$56,ROW()-80)</f>
        <v>38782288.75</v>
      </c>
    </row>
    <row r="86" spans="2:20" x14ac:dyDescent="0.3">
      <c r="B86" s="232"/>
      <c r="C86" s="233"/>
      <c r="D86" s="233"/>
      <c r="E86" s="233"/>
      <c r="F86" s="233"/>
      <c r="G86" s="233"/>
      <c r="H86" s="233"/>
      <c r="I86" s="233"/>
      <c r="J86" s="233"/>
      <c r="K86" s="233"/>
      <c r="L86" s="233"/>
      <c r="M86" s="233"/>
      <c r="N86" s="233"/>
      <c r="O86" s="233"/>
      <c r="P86" s="233"/>
      <c r="Q86" s="234"/>
      <c r="R86" t="str" cm="1">
        <f t="array" ref="R86">TEXT(INDEX($D$54:$O$54,ROW()-80),"mmm/aa")</f>
        <v>jun/26</v>
      </c>
      <c r="S86" cm="1">
        <f t="array" ref="S86">INDEX($D$55:$O$55,ROW()-80)</f>
        <v>15396883.77</v>
      </c>
      <c r="T86" cm="1">
        <f t="array" ref="T86">INDEX($D$56:$O$56,ROW()-80)</f>
        <v>54179172.519999996</v>
      </c>
    </row>
    <row r="87" spans="2:20" x14ac:dyDescent="0.3">
      <c r="B87" s="232"/>
      <c r="C87" s="233"/>
      <c r="D87" s="233"/>
      <c r="E87" s="233"/>
      <c r="F87" s="233"/>
      <c r="G87" s="233"/>
      <c r="H87" s="233"/>
      <c r="I87" s="233"/>
      <c r="J87" s="233"/>
      <c r="K87" s="233"/>
      <c r="L87" s="233"/>
      <c r="M87" s="233"/>
      <c r="N87" s="233"/>
      <c r="O87" s="233"/>
      <c r="P87" s="233"/>
      <c r="Q87" s="234"/>
      <c r="R87" t="str" cm="1">
        <f t="array" ref="R87">TEXT(INDEX($D$54:$O$54,ROW()-80),"mmm/aa")</f>
        <v>jul/26</v>
      </c>
      <c r="S87" cm="1">
        <f t="array" ref="S87">INDEX($D$55:$O$55,ROW()-80)</f>
        <v>3801023.8</v>
      </c>
      <c r="T87" cm="1">
        <f t="array" ref="T87">INDEX($D$56:$O$56,ROW()-80)</f>
        <v>57980196.319999993</v>
      </c>
    </row>
    <row r="88" spans="2:20" x14ac:dyDescent="0.3">
      <c r="B88" s="232"/>
      <c r="C88" s="233"/>
      <c r="D88" s="233"/>
      <c r="E88" s="233"/>
      <c r="F88" s="233"/>
      <c r="G88" s="233"/>
      <c r="H88" s="233"/>
      <c r="I88" s="233"/>
      <c r="J88" s="233"/>
      <c r="K88" s="233"/>
      <c r="L88" s="233"/>
      <c r="M88" s="233"/>
      <c r="N88" s="233"/>
      <c r="O88" s="233"/>
      <c r="P88" s="233"/>
      <c r="Q88" s="234"/>
      <c r="R88" t="str" cm="1">
        <f t="array" ref="R88">TEXT(INDEX($D$54:$O$54,ROW()-80),"mmm/aa")</f>
        <v>ago/26</v>
      </c>
      <c r="S88" cm="1">
        <f t="array" ref="S88">INDEX($D$55:$O$55,ROW()-80)</f>
        <v>4876867.1500000004</v>
      </c>
      <c r="T88" cm="1">
        <f t="array" ref="T88">INDEX($D$56:$O$56,ROW()-80)</f>
        <v>62857063.469999991</v>
      </c>
    </row>
    <row r="89" spans="2:20" x14ac:dyDescent="0.3">
      <c r="B89" s="232"/>
      <c r="C89" s="233"/>
      <c r="D89" s="233"/>
      <c r="E89" s="233"/>
      <c r="F89" s="233"/>
      <c r="G89" s="233"/>
      <c r="H89" s="233"/>
      <c r="I89" s="233"/>
      <c r="J89" s="233"/>
      <c r="K89" s="233"/>
      <c r="L89" s="233"/>
      <c r="M89" s="233"/>
      <c r="N89" s="233"/>
      <c r="O89" s="233"/>
      <c r="P89" s="233"/>
      <c r="Q89" s="234"/>
      <c r="R89" t="str" cm="1">
        <f t="array" ref="R89">TEXT(INDEX($D$54:$O$54,ROW()-80),"mmm/aa")</f>
        <v>set/26</v>
      </c>
      <c r="S89" cm="1">
        <f t="array" ref="S89">INDEX($D$55:$O$55,ROW()-80)</f>
        <v>0</v>
      </c>
      <c r="T89" cm="1">
        <f t="array" ref="T89">INDEX($D$56:$O$56,ROW()-80)</f>
        <v>62857063.469999991</v>
      </c>
    </row>
    <row r="90" spans="2:20" x14ac:dyDescent="0.3">
      <c r="B90" s="232"/>
      <c r="C90" s="233"/>
      <c r="D90" s="233"/>
      <c r="E90" s="233"/>
      <c r="F90" s="233"/>
      <c r="G90" s="233"/>
      <c r="H90" s="233"/>
      <c r="I90" s="233"/>
      <c r="J90" s="233"/>
      <c r="K90" s="233"/>
      <c r="L90" s="233"/>
      <c r="M90" s="233"/>
      <c r="N90" s="233"/>
      <c r="O90" s="233"/>
      <c r="P90" s="233"/>
      <c r="Q90" s="234"/>
      <c r="R90" t="str" cm="1">
        <f t="array" ref="R90">TEXT(INDEX($D$54:$O$54,ROW()-80),"mmm/aa")</f>
        <v>out/26</v>
      </c>
      <c r="S90" cm="1">
        <f t="array" ref="S90">INDEX($D$55:$O$55,ROW()-80)</f>
        <v>0</v>
      </c>
      <c r="T90" cm="1">
        <f t="array" ref="T90">INDEX($D$56:$O$56,ROW()-80)</f>
        <v>62857063.469999991</v>
      </c>
    </row>
    <row r="91" spans="2:20" x14ac:dyDescent="0.3">
      <c r="B91" s="232"/>
      <c r="C91" s="233"/>
      <c r="D91" s="233"/>
      <c r="E91" s="233"/>
      <c r="F91" s="233"/>
      <c r="G91" s="233"/>
      <c r="H91" s="233"/>
      <c r="I91" s="233"/>
      <c r="J91" s="233"/>
      <c r="K91" s="233"/>
      <c r="L91" s="233"/>
      <c r="M91" s="233"/>
      <c r="N91" s="233"/>
      <c r="O91" s="233"/>
      <c r="P91" s="233"/>
      <c r="Q91" s="234"/>
      <c r="R91" t="str" cm="1">
        <f t="array" ref="R91">TEXT(INDEX($D$54:$O$54,ROW()-80),"mmm/aa")</f>
        <v>nov/26</v>
      </c>
      <c r="S91" cm="1">
        <f t="array" ref="S91">INDEX($D$55:$O$55,ROW()-80)</f>
        <v>0</v>
      </c>
      <c r="T91" cm="1">
        <f t="array" ref="T91">INDEX($D$56:$O$56,ROW()-80)</f>
        <v>62857063.469999991</v>
      </c>
    </row>
    <row r="92" spans="2:20" x14ac:dyDescent="0.3">
      <c r="B92" s="232"/>
      <c r="C92" s="233"/>
      <c r="D92" s="233"/>
      <c r="E92" s="233"/>
      <c r="F92" s="233"/>
      <c r="G92" s="233"/>
      <c r="H92" s="233"/>
      <c r="I92" s="233"/>
      <c r="J92" s="233"/>
      <c r="K92" s="233"/>
      <c r="L92" s="233"/>
      <c r="M92" s="233"/>
      <c r="N92" s="233"/>
      <c r="O92" s="233"/>
      <c r="P92" s="233"/>
      <c r="Q92" s="234"/>
      <c r="R92" t="str" cm="1">
        <f t="array" ref="R92">TEXT(INDEX($D$54:$O$54,ROW()-80),"mmm/aa")</f>
        <v>dez/26</v>
      </c>
      <c r="S92" cm="1">
        <f t="array" ref="S92">INDEX($D$55:$O$55,ROW()-80)</f>
        <v>0</v>
      </c>
      <c r="T92" cm="1">
        <f t="array" ref="T92">INDEX($D$56:$O$56,ROW()-80)</f>
        <v>62857063.469999991</v>
      </c>
    </row>
    <row r="93" spans="2:20" x14ac:dyDescent="0.3">
      <c r="B93" s="232"/>
      <c r="C93" s="233"/>
      <c r="D93" s="233"/>
      <c r="E93" s="233"/>
      <c r="F93" s="233"/>
      <c r="G93" s="233"/>
      <c r="H93" s="233"/>
      <c r="I93" s="233"/>
      <c r="J93" s="233"/>
      <c r="K93" s="233"/>
      <c r="L93" s="233"/>
      <c r="M93" s="233"/>
      <c r="N93" s="233"/>
      <c r="O93" s="233"/>
      <c r="P93" s="233"/>
      <c r="Q93" s="234"/>
    </row>
    <row r="94" spans="2:20" x14ac:dyDescent="0.3">
      <c r="B94" s="232"/>
      <c r="C94" s="233"/>
      <c r="D94" s="233"/>
      <c r="E94" s="233"/>
      <c r="F94" s="233"/>
      <c r="G94" s="233"/>
      <c r="H94" s="233"/>
      <c r="I94" s="233"/>
      <c r="J94" s="233"/>
      <c r="K94" s="233"/>
      <c r="L94" s="233"/>
      <c r="M94" s="233"/>
      <c r="N94" s="233"/>
      <c r="O94" s="233"/>
      <c r="P94" s="233"/>
      <c r="Q94" s="234"/>
    </row>
    <row r="95" spans="2:20" x14ac:dyDescent="0.3">
      <c r="B95" s="232"/>
      <c r="C95" s="233"/>
      <c r="D95" s="233"/>
      <c r="E95" s="233"/>
      <c r="F95" s="233"/>
      <c r="G95" s="233"/>
      <c r="H95" s="233"/>
      <c r="I95" s="233"/>
      <c r="J95" s="233"/>
      <c r="K95" s="233"/>
      <c r="L95" s="233"/>
      <c r="M95" s="233"/>
      <c r="N95" s="233"/>
      <c r="O95" s="233"/>
      <c r="P95" s="233"/>
      <c r="Q95" s="234"/>
    </row>
    <row r="96" spans="2:20" x14ac:dyDescent="0.3">
      <c r="B96" s="232"/>
      <c r="C96" s="233"/>
      <c r="D96" s="233"/>
      <c r="E96" s="233"/>
      <c r="F96" s="233"/>
      <c r="G96" s="233"/>
      <c r="H96" s="233"/>
      <c r="I96" s="233"/>
      <c r="J96" s="233"/>
      <c r="K96" s="233"/>
      <c r="L96" s="233"/>
      <c r="M96" s="233"/>
      <c r="N96" s="233"/>
      <c r="O96" s="233"/>
      <c r="P96" s="233"/>
      <c r="Q96" s="234"/>
    </row>
    <row r="97" spans="2:17" x14ac:dyDescent="0.3">
      <c r="B97" s="232"/>
      <c r="C97" s="233"/>
      <c r="D97" s="233"/>
      <c r="E97" s="233"/>
      <c r="F97" s="233"/>
      <c r="G97" s="233"/>
      <c r="H97" s="233"/>
      <c r="I97" s="233"/>
      <c r="J97" s="233"/>
      <c r="K97" s="233"/>
      <c r="L97" s="233"/>
      <c r="M97" s="233"/>
      <c r="N97" s="233"/>
      <c r="O97" s="233"/>
      <c r="P97" s="233"/>
      <c r="Q97" s="234"/>
    </row>
    <row r="98" spans="2:17" x14ac:dyDescent="0.3">
      <c r="B98" s="232"/>
      <c r="C98" s="233"/>
      <c r="D98" s="233"/>
      <c r="E98" s="233"/>
      <c r="F98" s="233"/>
      <c r="G98" s="233"/>
      <c r="H98" s="233"/>
      <c r="I98" s="233"/>
      <c r="J98" s="233"/>
      <c r="K98" s="233"/>
      <c r="L98" s="233"/>
      <c r="M98" s="233"/>
      <c r="N98" s="233"/>
      <c r="O98" s="233"/>
      <c r="P98" s="233"/>
      <c r="Q98" s="234"/>
    </row>
    <row r="99" spans="2:17" x14ac:dyDescent="0.3">
      <c r="B99" s="232"/>
      <c r="C99" s="233"/>
      <c r="D99" s="233"/>
      <c r="E99" s="233"/>
      <c r="F99" s="233"/>
      <c r="G99" s="233"/>
      <c r="H99" s="233"/>
      <c r="I99" s="233"/>
      <c r="J99" s="233"/>
      <c r="K99" s="233"/>
      <c r="L99" s="233"/>
      <c r="M99" s="233"/>
      <c r="N99" s="233"/>
      <c r="O99" s="233"/>
      <c r="P99" s="233"/>
      <c r="Q99" s="234"/>
    </row>
    <row r="100" spans="2:17" x14ac:dyDescent="0.3">
      <c r="B100" s="232"/>
      <c r="C100" s="233"/>
      <c r="D100" s="233"/>
      <c r="E100" s="233"/>
      <c r="F100" s="233"/>
      <c r="G100" s="233"/>
      <c r="H100" s="233"/>
      <c r="I100" s="233"/>
      <c r="J100" s="233"/>
      <c r="K100" s="233"/>
      <c r="L100" s="233"/>
      <c r="M100" s="233"/>
      <c r="N100" s="233"/>
      <c r="O100" s="233"/>
      <c r="P100" s="233"/>
      <c r="Q100" s="234"/>
    </row>
    <row r="101" spans="2:17" x14ac:dyDescent="0.3">
      <c r="B101" s="232"/>
      <c r="C101" s="233"/>
      <c r="D101" s="233"/>
      <c r="E101" s="233"/>
      <c r="F101" s="233"/>
      <c r="G101" s="233"/>
      <c r="H101" s="233"/>
      <c r="I101" s="233"/>
      <c r="J101" s="233"/>
      <c r="K101" s="233"/>
      <c r="L101" s="233"/>
      <c r="M101" s="233"/>
      <c r="N101" s="233"/>
      <c r="O101" s="233"/>
      <c r="P101" s="233"/>
      <c r="Q101" s="234"/>
    </row>
    <row r="102" spans="2:17" x14ac:dyDescent="0.3">
      <c r="B102" s="232"/>
      <c r="C102" s="233"/>
      <c r="D102" s="233"/>
      <c r="E102" s="233"/>
      <c r="F102" s="233"/>
      <c r="G102" s="233"/>
      <c r="H102" s="233"/>
      <c r="I102" s="233"/>
      <c r="J102" s="233"/>
      <c r="K102" s="233"/>
      <c r="L102" s="233"/>
      <c r="M102" s="233"/>
      <c r="N102" s="233"/>
      <c r="O102" s="233"/>
      <c r="P102" s="233"/>
      <c r="Q102" s="234"/>
    </row>
    <row r="103" spans="2:17" x14ac:dyDescent="0.3">
      <c r="B103" s="232"/>
      <c r="C103" s="233"/>
      <c r="D103" s="233"/>
      <c r="E103" s="233"/>
      <c r="F103" s="233"/>
      <c r="G103" s="233"/>
      <c r="H103" s="233"/>
      <c r="I103" s="233"/>
      <c r="J103" s="233"/>
      <c r="K103" s="233"/>
      <c r="L103" s="233"/>
      <c r="M103" s="233"/>
      <c r="N103" s="233"/>
      <c r="O103" s="233"/>
      <c r="P103" s="233"/>
      <c r="Q103" s="234"/>
    </row>
    <row r="104" spans="2:17" x14ac:dyDescent="0.3">
      <c r="B104" s="232"/>
      <c r="C104" s="233"/>
      <c r="D104" s="233"/>
      <c r="E104" s="233"/>
      <c r="F104" s="233"/>
      <c r="G104" s="233"/>
      <c r="H104" s="233"/>
      <c r="I104" s="233"/>
      <c r="J104" s="233"/>
      <c r="K104" s="233"/>
      <c r="L104" s="233"/>
      <c r="M104" s="233"/>
      <c r="N104" s="233"/>
      <c r="O104" s="233"/>
      <c r="P104" s="233"/>
      <c r="Q104" s="234"/>
    </row>
    <row r="105" spans="2:17" x14ac:dyDescent="0.3">
      <c r="B105" s="232"/>
      <c r="C105" s="233"/>
      <c r="D105" s="233"/>
      <c r="E105" s="233"/>
      <c r="F105" s="233"/>
      <c r="G105" s="233"/>
      <c r="H105" s="233"/>
      <c r="I105" s="233"/>
      <c r="J105" s="233"/>
      <c r="K105" s="233"/>
      <c r="L105" s="233"/>
      <c r="M105" s="233"/>
      <c r="N105" s="233"/>
      <c r="O105" s="233"/>
      <c r="P105" s="233"/>
      <c r="Q105" s="234"/>
    </row>
    <row r="106" spans="2:17" x14ac:dyDescent="0.3">
      <c r="B106" s="232"/>
      <c r="C106" s="233"/>
      <c r="D106" s="233"/>
      <c r="E106" s="233"/>
      <c r="F106" s="233"/>
      <c r="G106" s="233"/>
      <c r="H106" s="233"/>
      <c r="I106" s="233"/>
      <c r="J106" s="233"/>
      <c r="K106" s="233"/>
      <c r="L106" s="233"/>
      <c r="M106" s="233"/>
      <c r="N106" s="233"/>
      <c r="O106" s="233"/>
      <c r="P106" s="233"/>
      <c r="Q106" s="234"/>
    </row>
    <row r="107" spans="2:17" x14ac:dyDescent="0.3">
      <c r="B107" s="232"/>
      <c r="C107" s="233"/>
      <c r="D107" s="233"/>
      <c r="E107" s="233"/>
      <c r="F107" s="233"/>
      <c r="G107" s="233"/>
      <c r="H107" s="233"/>
      <c r="I107" s="233"/>
      <c r="J107" s="233"/>
      <c r="K107" s="233"/>
      <c r="L107" s="233"/>
      <c r="M107" s="233"/>
      <c r="N107" s="233"/>
      <c r="O107" s="233"/>
      <c r="P107" s="233"/>
      <c r="Q107" s="234"/>
    </row>
    <row r="108" spans="2:17" x14ac:dyDescent="0.3">
      <c r="B108" s="232"/>
      <c r="C108" s="233"/>
      <c r="D108" s="233"/>
      <c r="E108" s="233"/>
      <c r="F108" s="233"/>
      <c r="G108" s="233"/>
      <c r="H108" s="233"/>
      <c r="I108" s="233"/>
      <c r="J108" s="233"/>
      <c r="K108" s="233"/>
      <c r="L108" s="233"/>
      <c r="M108" s="233"/>
      <c r="N108" s="233"/>
      <c r="O108" s="233"/>
      <c r="P108" s="233"/>
      <c r="Q108" s="234"/>
    </row>
    <row r="109" spans="2:17" x14ac:dyDescent="0.3">
      <c r="B109" s="232"/>
      <c r="C109" s="233"/>
      <c r="D109" s="233"/>
      <c r="E109" s="233"/>
      <c r="F109" s="233"/>
      <c r="G109" s="233"/>
      <c r="H109" s="233"/>
      <c r="I109" s="233"/>
      <c r="J109" s="233"/>
      <c r="K109" s="233"/>
      <c r="L109" s="233"/>
      <c r="M109" s="233"/>
      <c r="N109" s="233"/>
      <c r="O109" s="233"/>
      <c r="P109" s="233"/>
      <c r="Q109" s="234"/>
    </row>
    <row r="110" spans="2:17" x14ac:dyDescent="0.3">
      <c r="B110" s="232"/>
      <c r="C110" s="233"/>
      <c r="D110" s="233"/>
      <c r="E110" s="233"/>
      <c r="F110" s="233"/>
      <c r="G110" s="233"/>
      <c r="H110" s="233"/>
      <c r="I110" s="233"/>
      <c r="J110" s="233"/>
      <c r="K110" s="233"/>
      <c r="L110" s="233"/>
      <c r="M110" s="233"/>
      <c r="N110" s="233"/>
      <c r="O110" s="233"/>
      <c r="P110" s="233"/>
      <c r="Q110" s="234"/>
    </row>
    <row r="111" spans="2:17" x14ac:dyDescent="0.3">
      <c r="B111" s="232"/>
      <c r="C111" s="233"/>
      <c r="D111" s="233"/>
      <c r="E111" s="233"/>
      <c r="F111" s="233"/>
      <c r="G111" s="233"/>
      <c r="H111" s="233"/>
      <c r="I111" s="233"/>
      <c r="J111" s="233"/>
      <c r="K111" s="233"/>
      <c r="L111" s="233"/>
      <c r="M111" s="233"/>
      <c r="N111" s="233"/>
      <c r="O111" s="233"/>
      <c r="P111" s="233"/>
      <c r="Q111" s="234"/>
    </row>
    <row r="112" spans="2:17" x14ac:dyDescent="0.3">
      <c r="B112" s="232"/>
      <c r="C112" s="233"/>
      <c r="D112" s="233"/>
      <c r="E112" s="233"/>
      <c r="F112" s="233"/>
      <c r="G112" s="233"/>
      <c r="H112" s="233"/>
      <c r="I112" s="233"/>
      <c r="J112" s="233"/>
      <c r="K112" s="233"/>
      <c r="L112" s="233"/>
      <c r="M112" s="233"/>
      <c r="N112" s="233"/>
      <c r="O112" s="233"/>
      <c r="P112" s="233"/>
      <c r="Q112" s="234"/>
    </row>
    <row r="113" spans="2:17" x14ac:dyDescent="0.3">
      <c r="B113" s="232"/>
      <c r="C113" s="233"/>
      <c r="D113" s="233"/>
      <c r="E113" s="233"/>
      <c r="F113" s="233"/>
      <c r="G113" s="233"/>
      <c r="H113" s="233"/>
      <c r="I113" s="233"/>
      <c r="J113" s="233"/>
      <c r="K113" s="233"/>
      <c r="L113" s="233"/>
      <c r="M113" s="233"/>
      <c r="N113" s="233"/>
      <c r="O113" s="233"/>
      <c r="P113" s="233"/>
      <c r="Q113" s="234"/>
    </row>
    <row r="114" spans="2:17" x14ac:dyDescent="0.3">
      <c r="B114" s="232"/>
      <c r="C114" s="233"/>
      <c r="D114" s="233"/>
      <c r="E114" s="233"/>
      <c r="F114" s="233"/>
      <c r="G114" s="233"/>
      <c r="H114" s="233"/>
      <c r="I114" s="233"/>
      <c r="J114" s="233"/>
      <c r="K114" s="233"/>
      <c r="L114" s="233"/>
      <c r="M114" s="233"/>
      <c r="N114" s="233"/>
      <c r="O114" s="233"/>
      <c r="P114" s="233"/>
      <c r="Q114" s="234"/>
    </row>
    <row r="115" spans="2:17" ht="16.2" thickBot="1" x14ac:dyDescent="0.35">
      <c r="B115" s="298"/>
      <c r="C115" s="299"/>
      <c r="D115" s="299"/>
      <c r="E115" s="299"/>
      <c r="F115" s="299"/>
      <c r="G115" s="299"/>
      <c r="H115" s="299"/>
      <c r="I115" s="299"/>
      <c r="J115" s="299"/>
      <c r="K115" s="299"/>
      <c r="L115" s="299"/>
      <c r="M115" s="299"/>
      <c r="N115" s="299"/>
      <c r="O115" s="299"/>
      <c r="P115" s="299"/>
      <c r="Q115" s="300"/>
    </row>
    <row r="116" spans="2:17" x14ac:dyDescent="0.3">
      <c r="B116" s="94"/>
      <c r="C116" s="94"/>
      <c r="D116" s="94"/>
      <c r="E116" s="94"/>
      <c r="F116" s="94"/>
      <c r="G116" s="94"/>
      <c r="H116" s="94"/>
      <c r="I116" s="94"/>
      <c r="J116" s="94"/>
      <c r="K116" s="94"/>
      <c r="L116" s="94"/>
      <c r="M116" s="94"/>
    </row>
    <row r="117" spans="2:17" x14ac:dyDescent="0.3"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</row>
    <row r="118" spans="2:17" x14ac:dyDescent="0.3">
      <c r="B118" s="94"/>
      <c r="C118" s="94"/>
      <c r="D118" s="94"/>
      <c r="E118" s="94"/>
      <c r="F118" s="94"/>
      <c r="G118" s="94"/>
      <c r="H118" s="94"/>
      <c r="I118" s="94"/>
      <c r="J118" s="94"/>
      <c r="K118" s="94"/>
      <c r="L118" s="94"/>
      <c r="M118" s="94"/>
    </row>
    <row r="119" spans="2:17" x14ac:dyDescent="0.3">
      <c r="B119" s="94"/>
      <c r="C119" s="94"/>
      <c r="D119" s="94"/>
      <c r="E119" s="94"/>
      <c r="F119" s="94"/>
      <c r="G119" s="94"/>
      <c r="H119" s="94"/>
      <c r="I119" s="94"/>
      <c r="J119" s="94"/>
      <c r="K119" s="94"/>
      <c r="L119" s="94"/>
      <c r="M119" s="94"/>
    </row>
    <row r="120" spans="2:17" x14ac:dyDescent="0.3">
      <c r="B120" s="94"/>
      <c r="C120" s="94"/>
      <c r="D120" s="94"/>
      <c r="E120" s="94"/>
      <c r="F120" s="94"/>
      <c r="G120" s="94"/>
      <c r="H120" s="94"/>
      <c r="I120" s="94"/>
      <c r="J120" s="94"/>
      <c r="K120" s="94"/>
      <c r="L120" s="94"/>
      <c r="M120" s="94"/>
    </row>
    <row r="121" spans="2:17" x14ac:dyDescent="0.3">
      <c r="B121" s="94"/>
      <c r="C121" s="94"/>
      <c r="D121" s="94"/>
      <c r="E121" s="94"/>
      <c r="F121" s="94"/>
      <c r="G121" s="94"/>
      <c r="H121" s="94"/>
      <c r="I121" s="94"/>
      <c r="J121" s="94"/>
      <c r="K121" s="94"/>
      <c r="L121" s="94"/>
      <c r="M121" s="94"/>
    </row>
    <row r="122" spans="2:17" x14ac:dyDescent="0.3">
      <c r="B122" s="94"/>
      <c r="C122" s="94"/>
      <c r="D122" s="94"/>
      <c r="E122" s="94"/>
      <c r="F122" s="94"/>
      <c r="G122" s="94"/>
      <c r="H122" s="94"/>
      <c r="I122" s="94"/>
      <c r="J122" s="94"/>
      <c r="K122" s="94"/>
      <c r="L122" s="94"/>
      <c r="M122" s="94"/>
    </row>
    <row r="123" spans="2:17" x14ac:dyDescent="0.3">
      <c r="B123" s="94"/>
      <c r="C123" s="94"/>
      <c r="D123" s="94"/>
      <c r="E123" s="94"/>
      <c r="F123" s="94"/>
      <c r="G123" s="94"/>
      <c r="H123" s="94"/>
      <c r="I123" s="94"/>
      <c r="J123" s="94"/>
      <c r="K123" s="94"/>
      <c r="L123" s="94"/>
      <c r="M123" s="94"/>
    </row>
    <row r="124" spans="2:17" x14ac:dyDescent="0.3">
      <c r="B124" s="94"/>
      <c r="C124" s="94"/>
      <c r="D124" s="94"/>
      <c r="E124" s="94"/>
      <c r="F124" s="94"/>
      <c r="G124" s="94"/>
      <c r="H124" s="94"/>
      <c r="I124" s="94"/>
      <c r="J124" s="94"/>
      <c r="K124" s="94"/>
      <c r="L124" s="94"/>
      <c r="M124" s="94"/>
    </row>
    <row r="125" spans="2:17" x14ac:dyDescent="0.3">
      <c r="B125" s="94"/>
      <c r="C125" s="94"/>
      <c r="D125" s="94"/>
      <c r="E125" s="94"/>
      <c r="F125" s="94"/>
      <c r="G125" s="94"/>
      <c r="H125" s="94"/>
      <c r="I125" s="94"/>
      <c r="J125" s="94"/>
      <c r="K125" s="94"/>
      <c r="L125" s="94"/>
      <c r="M125" s="94"/>
    </row>
    <row r="126" spans="2:17" x14ac:dyDescent="0.3">
      <c r="B126" s="94"/>
      <c r="C126" s="94"/>
      <c r="D126" s="94"/>
      <c r="E126" s="94"/>
      <c r="F126" s="94"/>
      <c r="G126" s="94"/>
      <c r="H126" s="94"/>
      <c r="I126" s="94"/>
      <c r="J126" s="94"/>
      <c r="K126" s="94"/>
      <c r="L126" s="94"/>
      <c r="M126" s="94"/>
    </row>
    <row r="127" spans="2:17" x14ac:dyDescent="0.3">
      <c r="B127" s="94"/>
      <c r="C127" s="94"/>
      <c r="D127" s="94"/>
      <c r="E127" s="94"/>
      <c r="F127" s="94"/>
      <c r="G127" s="94"/>
      <c r="H127" s="94"/>
      <c r="I127" s="94"/>
      <c r="J127" s="94"/>
      <c r="K127" s="94"/>
      <c r="L127" s="94"/>
      <c r="M127" s="94"/>
    </row>
    <row r="128" spans="2:17" x14ac:dyDescent="0.3">
      <c r="B128" s="94"/>
      <c r="C128" s="94"/>
      <c r="D128" s="94"/>
      <c r="E128" s="94"/>
      <c r="F128" s="94"/>
      <c r="G128" s="94"/>
      <c r="H128" s="94"/>
      <c r="I128" s="94"/>
      <c r="J128" s="94"/>
      <c r="K128" s="94"/>
      <c r="L128" s="94"/>
      <c r="M128" s="94"/>
    </row>
    <row r="129" spans="2:13" x14ac:dyDescent="0.3">
      <c r="B129" s="94"/>
      <c r="C129" s="94"/>
      <c r="D129" s="94"/>
      <c r="E129" s="94"/>
      <c r="F129" s="94"/>
      <c r="G129" s="94"/>
      <c r="H129" s="94"/>
      <c r="I129" s="94"/>
      <c r="J129" s="94"/>
      <c r="K129" s="94"/>
      <c r="L129" s="94"/>
      <c r="M129" s="94"/>
    </row>
    <row r="130" spans="2:13" x14ac:dyDescent="0.3">
      <c r="B130" s="94"/>
      <c r="C130" s="94"/>
      <c r="D130" s="94"/>
      <c r="E130" s="94"/>
      <c r="F130" s="94"/>
      <c r="G130" s="94"/>
      <c r="H130" s="94"/>
      <c r="I130" s="94"/>
      <c r="J130" s="94"/>
      <c r="K130" s="94"/>
      <c r="L130" s="94"/>
      <c r="M130" s="94"/>
    </row>
    <row r="131" spans="2:13" x14ac:dyDescent="0.3">
      <c r="B131" s="94"/>
      <c r="C131" s="94"/>
      <c r="D131" s="94"/>
      <c r="E131" s="94"/>
      <c r="F131" s="94"/>
      <c r="G131" s="94"/>
      <c r="H131" s="94"/>
      <c r="I131" s="94"/>
      <c r="J131" s="94"/>
      <c r="K131" s="94"/>
      <c r="L131" s="94"/>
      <c r="M131" s="94"/>
    </row>
    <row r="132" spans="2:13" x14ac:dyDescent="0.3">
      <c r="B132" s="94"/>
      <c r="C132" s="94"/>
      <c r="D132" s="94"/>
      <c r="E132" s="94"/>
      <c r="F132" s="94"/>
      <c r="G132" s="94"/>
      <c r="H132" s="94"/>
      <c r="I132" s="94"/>
      <c r="J132" s="94"/>
      <c r="K132" s="94"/>
      <c r="L132" s="94"/>
      <c r="M132" s="94"/>
    </row>
    <row r="133" spans="2:13" x14ac:dyDescent="0.3">
      <c r="B133" s="94"/>
      <c r="C133" s="94"/>
      <c r="D133" s="94"/>
      <c r="E133" s="94"/>
      <c r="F133" s="94"/>
      <c r="G133" s="94"/>
      <c r="H133" s="94"/>
      <c r="I133" s="94"/>
      <c r="J133" s="94"/>
      <c r="K133" s="94"/>
      <c r="L133" s="94"/>
      <c r="M133" s="94"/>
    </row>
    <row r="134" spans="2:13" x14ac:dyDescent="0.3">
      <c r="B134" s="94"/>
      <c r="C134" s="94"/>
      <c r="D134" s="94"/>
      <c r="E134" s="94"/>
      <c r="F134" s="94"/>
      <c r="G134" s="94"/>
      <c r="H134" s="94"/>
      <c r="I134" s="94"/>
      <c r="J134" s="94"/>
      <c r="K134" s="94"/>
      <c r="L134" s="94"/>
      <c r="M134" s="94"/>
    </row>
    <row r="135" spans="2:13" x14ac:dyDescent="0.3">
      <c r="B135" s="94"/>
      <c r="C135" s="94"/>
      <c r="D135" s="94"/>
      <c r="E135" s="94"/>
      <c r="F135" s="94"/>
      <c r="G135" s="94"/>
      <c r="H135" s="94"/>
      <c r="I135" s="94"/>
      <c r="J135" s="94"/>
      <c r="K135" s="94"/>
      <c r="L135" s="94"/>
      <c r="M135" s="94"/>
    </row>
    <row r="136" spans="2:13" x14ac:dyDescent="0.3">
      <c r="B136" s="94"/>
      <c r="C136" s="94"/>
      <c r="D136" s="94"/>
      <c r="E136" s="94"/>
      <c r="F136" s="94"/>
      <c r="G136" s="94"/>
      <c r="H136" s="94"/>
      <c r="I136" s="94"/>
      <c r="J136" s="94"/>
      <c r="K136" s="94"/>
      <c r="L136" s="94"/>
      <c r="M136" s="94"/>
    </row>
    <row r="137" spans="2:13" x14ac:dyDescent="0.3">
      <c r="B137" s="94"/>
      <c r="C137" s="94"/>
      <c r="D137" s="94"/>
      <c r="E137" s="94"/>
      <c r="F137" s="94"/>
      <c r="G137" s="94"/>
      <c r="H137" s="94"/>
      <c r="I137" s="94"/>
      <c r="J137" s="94"/>
      <c r="K137" s="94"/>
      <c r="L137" s="94"/>
      <c r="M137" s="94"/>
    </row>
    <row r="138" spans="2:13" x14ac:dyDescent="0.3">
      <c r="B138" s="94"/>
      <c r="C138" s="94"/>
      <c r="D138" s="94"/>
      <c r="E138" s="94"/>
      <c r="F138" s="94"/>
      <c r="G138" s="94"/>
      <c r="H138" s="94"/>
      <c r="I138" s="94"/>
      <c r="J138" s="94"/>
      <c r="K138" s="94"/>
      <c r="L138" s="94"/>
      <c r="M138" s="94"/>
    </row>
    <row r="139" spans="2:13" x14ac:dyDescent="0.3">
      <c r="B139" s="94"/>
      <c r="C139" s="94"/>
      <c r="D139" s="94"/>
      <c r="E139" s="94"/>
      <c r="F139" s="94"/>
      <c r="G139" s="94"/>
      <c r="H139" s="94"/>
      <c r="I139" s="94"/>
      <c r="J139" s="94"/>
      <c r="K139" s="94"/>
      <c r="L139" s="94"/>
      <c r="M139" s="94"/>
    </row>
    <row r="140" spans="2:13" x14ac:dyDescent="0.3">
      <c r="B140" s="94"/>
      <c r="C140" s="94"/>
      <c r="D140" s="94"/>
      <c r="E140" s="94"/>
      <c r="F140" s="94"/>
      <c r="G140" s="94"/>
      <c r="H140" s="94"/>
      <c r="I140" s="94"/>
      <c r="J140" s="94"/>
      <c r="K140" s="94"/>
      <c r="L140" s="94"/>
      <c r="M140" s="94"/>
    </row>
    <row r="141" spans="2:13" x14ac:dyDescent="0.3">
      <c r="B141" s="94"/>
      <c r="C141" s="94"/>
      <c r="D141" s="94"/>
      <c r="E141" s="94"/>
      <c r="F141" s="94"/>
      <c r="G141" s="94"/>
      <c r="H141" s="94"/>
      <c r="I141" s="94"/>
      <c r="J141" s="94"/>
      <c r="K141" s="94"/>
      <c r="L141" s="94"/>
      <c r="M141" s="94"/>
    </row>
    <row r="142" spans="2:13" x14ac:dyDescent="0.3">
      <c r="B142" s="94"/>
      <c r="C142" s="94"/>
      <c r="D142" s="94"/>
      <c r="E142" s="94"/>
      <c r="F142" s="94"/>
      <c r="G142" s="94"/>
      <c r="H142" s="94"/>
      <c r="I142" s="94"/>
      <c r="J142" s="94"/>
      <c r="K142" s="94"/>
      <c r="L142" s="94"/>
      <c r="M142" s="94"/>
    </row>
    <row r="143" spans="2:13" x14ac:dyDescent="0.3">
      <c r="B143" s="94"/>
      <c r="C143" s="94"/>
      <c r="D143" s="94"/>
      <c r="E143" s="94"/>
      <c r="F143" s="94"/>
      <c r="G143" s="94"/>
      <c r="H143" s="94"/>
      <c r="I143" s="94"/>
      <c r="J143" s="94"/>
      <c r="K143" s="94"/>
      <c r="L143" s="94"/>
      <c r="M143" s="94"/>
    </row>
    <row r="144" spans="2:13" x14ac:dyDescent="0.3">
      <c r="B144" s="94"/>
      <c r="C144" s="94"/>
      <c r="D144" s="94"/>
      <c r="E144" s="94"/>
      <c r="F144" s="94"/>
      <c r="G144" s="94"/>
      <c r="H144" s="94"/>
      <c r="I144" s="94"/>
      <c r="J144" s="94"/>
      <c r="K144" s="94"/>
      <c r="L144" s="94"/>
      <c r="M144" s="94"/>
    </row>
    <row r="145" spans="2:13" x14ac:dyDescent="0.3">
      <c r="B145" s="94"/>
      <c r="C145" s="94"/>
      <c r="D145" s="94"/>
      <c r="E145" s="94"/>
      <c r="F145" s="94"/>
      <c r="G145" s="94"/>
      <c r="H145" s="94"/>
      <c r="I145" s="94"/>
      <c r="J145" s="94"/>
      <c r="K145" s="94"/>
      <c r="L145" s="94"/>
      <c r="M145" s="94"/>
    </row>
    <row r="146" spans="2:13" x14ac:dyDescent="0.3">
      <c r="B146" s="94"/>
      <c r="C146" s="94"/>
      <c r="D146" s="94"/>
      <c r="E146" s="94"/>
      <c r="F146" s="94"/>
      <c r="G146" s="94"/>
      <c r="H146" s="94"/>
      <c r="I146" s="94"/>
      <c r="J146" s="94"/>
      <c r="K146" s="94"/>
      <c r="L146" s="94"/>
      <c r="M146" s="94"/>
    </row>
    <row r="147" spans="2:13" x14ac:dyDescent="0.3">
      <c r="B147" s="94"/>
      <c r="C147" s="94"/>
      <c r="D147" s="94"/>
      <c r="E147" s="94"/>
      <c r="F147" s="94"/>
      <c r="G147" s="94"/>
      <c r="H147" s="94"/>
      <c r="I147" s="94"/>
      <c r="J147" s="94"/>
      <c r="K147" s="94"/>
      <c r="L147" s="94"/>
      <c r="M147" s="94"/>
    </row>
    <row r="148" spans="2:13" x14ac:dyDescent="0.3">
      <c r="B148" s="94"/>
      <c r="C148" s="94"/>
      <c r="D148" s="94"/>
      <c r="E148" s="94"/>
      <c r="F148" s="94"/>
      <c r="G148" s="94"/>
      <c r="H148" s="94"/>
      <c r="I148" s="94"/>
      <c r="J148" s="94"/>
      <c r="K148" s="94"/>
      <c r="L148" s="94"/>
      <c r="M148" s="94"/>
    </row>
    <row r="149" spans="2:13" x14ac:dyDescent="0.3">
      <c r="B149" s="94"/>
      <c r="C149" s="94"/>
      <c r="D149" s="94"/>
      <c r="E149" s="94"/>
      <c r="F149" s="94"/>
      <c r="G149" s="94"/>
      <c r="H149" s="94"/>
      <c r="I149" s="94"/>
      <c r="J149" s="94"/>
      <c r="K149" s="94"/>
      <c r="L149" s="94"/>
      <c r="M149" s="94"/>
    </row>
    <row r="150" spans="2:13" x14ac:dyDescent="0.3">
      <c r="B150" s="94"/>
      <c r="C150" s="94"/>
      <c r="D150" s="94"/>
      <c r="E150" s="94"/>
      <c r="F150" s="94"/>
      <c r="G150" s="94"/>
      <c r="H150" s="94"/>
      <c r="I150" s="94"/>
      <c r="J150" s="94"/>
      <c r="K150" s="94"/>
      <c r="L150" s="94"/>
      <c r="M150" s="94"/>
    </row>
    <row r="151" spans="2:13" x14ac:dyDescent="0.3">
      <c r="B151" s="94"/>
      <c r="C151" s="94"/>
      <c r="D151" s="94"/>
      <c r="E151" s="94"/>
      <c r="F151" s="94"/>
      <c r="G151" s="94"/>
      <c r="H151" s="94"/>
      <c r="I151" s="94"/>
      <c r="J151" s="94"/>
      <c r="K151" s="94"/>
      <c r="L151" s="94"/>
      <c r="M151" s="94"/>
    </row>
    <row r="152" spans="2:13" x14ac:dyDescent="0.3">
      <c r="B152" s="94"/>
      <c r="C152" s="94"/>
      <c r="D152" s="94"/>
      <c r="E152" s="94"/>
      <c r="F152" s="94"/>
      <c r="G152" s="94"/>
      <c r="H152" s="94"/>
      <c r="I152" s="94"/>
      <c r="J152" s="94"/>
      <c r="K152" s="94"/>
      <c r="L152" s="94"/>
      <c r="M152" s="94"/>
    </row>
    <row r="153" spans="2:13" x14ac:dyDescent="0.3">
      <c r="B153" s="94"/>
      <c r="C153" s="94"/>
      <c r="D153" s="94"/>
      <c r="E153" s="94"/>
      <c r="F153" s="94"/>
      <c r="G153" s="94"/>
      <c r="H153" s="94"/>
      <c r="I153" s="94"/>
      <c r="J153" s="94"/>
      <c r="K153" s="94"/>
      <c r="L153" s="94"/>
      <c r="M153" s="94"/>
    </row>
    <row r="154" spans="2:13" x14ac:dyDescent="0.3">
      <c r="B154" s="94"/>
      <c r="C154" s="94"/>
      <c r="D154" s="94"/>
      <c r="E154" s="94"/>
      <c r="F154" s="94"/>
      <c r="G154" s="94"/>
      <c r="H154" s="94"/>
      <c r="I154" s="94"/>
      <c r="J154" s="94"/>
      <c r="K154" s="94"/>
      <c r="L154" s="94"/>
      <c r="M154" s="94"/>
    </row>
    <row r="155" spans="2:13" x14ac:dyDescent="0.3">
      <c r="B155" s="94"/>
      <c r="C155" s="94"/>
      <c r="D155" s="94"/>
      <c r="E155" s="94"/>
      <c r="F155" s="94"/>
      <c r="G155" s="94"/>
      <c r="H155" s="94"/>
      <c r="I155" s="94"/>
      <c r="J155" s="94"/>
      <c r="K155" s="94"/>
      <c r="L155" s="94"/>
      <c r="M155" s="94"/>
    </row>
    <row r="156" spans="2:13" x14ac:dyDescent="0.3">
      <c r="B156" s="94"/>
      <c r="C156" s="94"/>
      <c r="D156" s="94"/>
      <c r="E156" s="94"/>
      <c r="F156" s="94"/>
      <c r="G156" s="94"/>
      <c r="H156" s="94"/>
      <c r="I156" s="94"/>
      <c r="J156" s="94"/>
      <c r="K156" s="94"/>
      <c r="L156" s="94"/>
      <c r="M156" s="94"/>
    </row>
    <row r="157" spans="2:13" x14ac:dyDescent="0.3">
      <c r="B157" s="94"/>
      <c r="C157" s="94"/>
      <c r="D157" s="94"/>
      <c r="E157" s="94"/>
      <c r="F157" s="94"/>
      <c r="G157" s="94"/>
      <c r="H157" s="94"/>
      <c r="I157" s="94"/>
      <c r="J157" s="94"/>
      <c r="K157" s="94"/>
      <c r="L157" s="94"/>
      <c r="M157" s="94"/>
    </row>
    <row r="158" spans="2:13" x14ac:dyDescent="0.3">
      <c r="B158" s="94"/>
      <c r="C158" s="94"/>
      <c r="D158" s="94"/>
      <c r="E158" s="94"/>
      <c r="F158" s="94"/>
      <c r="G158" s="94"/>
      <c r="H158" s="94"/>
      <c r="I158" s="94"/>
      <c r="J158" s="94"/>
      <c r="K158" s="94"/>
      <c r="L158" s="94"/>
      <c r="M158" s="94"/>
    </row>
    <row r="159" spans="2:13" x14ac:dyDescent="0.3">
      <c r="B159" s="94"/>
      <c r="C159" s="94"/>
      <c r="D159" s="94"/>
      <c r="E159" s="94"/>
      <c r="F159" s="94"/>
      <c r="G159" s="94"/>
      <c r="H159" s="94"/>
      <c r="I159" s="94"/>
      <c r="J159" s="94"/>
      <c r="K159" s="94"/>
      <c r="L159" s="94"/>
      <c r="M159" s="94"/>
    </row>
    <row r="160" spans="2:13" x14ac:dyDescent="0.3">
      <c r="B160" s="94"/>
      <c r="C160" s="94"/>
      <c r="D160" s="94"/>
      <c r="E160" s="94"/>
      <c r="F160" s="94"/>
      <c r="G160" s="94"/>
      <c r="H160" s="94"/>
      <c r="I160" s="94"/>
      <c r="J160" s="94"/>
      <c r="K160" s="94"/>
      <c r="L160" s="94"/>
      <c r="M160" s="94"/>
    </row>
    <row r="161" spans="2:13" x14ac:dyDescent="0.3">
      <c r="B161" s="94"/>
      <c r="C161" s="94"/>
      <c r="D161" s="94"/>
      <c r="E161" s="94"/>
      <c r="F161" s="94"/>
      <c r="G161" s="94"/>
      <c r="H161" s="94"/>
      <c r="I161" s="94"/>
      <c r="J161" s="94"/>
      <c r="K161" s="94"/>
      <c r="L161" s="94"/>
      <c r="M161" s="94"/>
    </row>
    <row r="162" spans="2:13" x14ac:dyDescent="0.3">
      <c r="B162" s="94"/>
      <c r="C162" s="94"/>
      <c r="D162" s="94"/>
      <c r="E162" s="94"/>
      <c r="F162" s="94"/>
      <c r="G162" s="94"/>
      <c r="H162" s="94"/>
      <c r="I162" s="94"/>
      <c r="J162" s="94"/>
      <c r="K162" s="94"/>
      <c r="L162" s="94"/>
      <c r="M162" s="94"/>
    </row>
    <row r="163" spans="2:13" x14ac:dyDescent="0.3">
      <c r="B163" s="94"/>
      <c r="C163" s="94"/>
      <c r="D163" s="94"/>
      <c r="E163" s="94"/>
      <c r="F163" s="94"/>
      <c r="G163" s="94"/>
      <c r="H163" s="94"/>
      <c r="I163" s="94"/>
      <c r="J163" s="94"/>
      <c r="K163" s="94"/>
      <c r="L163" s="94"/>
      <c r="M163" s="94"/>
    </row>
    <row r="164" spans="2:13" x14ac:dyDescent="0.3">
      <c r="B164" s="94"/>
      <c r="C164" s="94"/>
      <c r="D164" s="94"/>
      <c r="E164" s="94"/>
      <c r="F164" s="94"/>
      <c r="G164" s="94"/>
      <c r="H164" s="94"/>
      <c r="I164" s="94"/>
      <c r="J164" s="94"/>
      <c r="K164" s="94"/>
      <c r="L164" s="94"/>
      <c r="M164" s="94"/>
    </row>
    <row r="165" spans="2:13" x14ac:dyDescent="0.3">
      <c r="B165" s="94"/>
      <c r="C165" s="94"/>
      <c r="D165" s="94"/>
      <c r="E165" s="94"/>
      <c r="F165" s="94"/>
      <c r="G165" s="94"/>
      <c r="H165" s="94"/>
      <c r="I165" s="94"/>
      <c r="J165" s="94"/>
      <c r="K165" s="94"/>
      <c r="L165" s="94"/>
      <c r="M165" s="94"/>
    </row>
    <row r="166" spans="2:13" x14ac:dyDescent="0.3">
      <c r="B166" s="94"/>
      <c r="C166" s="94"/>
      <c r="D166" s="94"/>
      <c r="E166" s="94"/>
      <c r="F166" s="94"/>
      <c r="G166" s="94"/>
      <c r="H166" s="94"/>
      <c r="I166" s="94"/>
      <c r="J166" s="94"/>
      <c r="K166" s="94"/>
      <c r="L166" s="94"/>
      <c r="M166" s="94"/>
    </row>
    <row r="167" spans="2:13" x14ac:dyDescent="0.3">
      <c r="B167" s="94"/>
      <c r="C167" s="94"/>
      <c r="D167" s="94"/>
      <c r="E167" s="94"/>
      <c r="F167" s="94"/>
      <c r="G167" s="94"/>
      <c r="H167" s="94"/>
      <c r="I167" s="94"/>
      <c r="J167" s="94"/>
      <c r="K167" s="94"/>
      <c r="L167" s="94"/>
      <c r="M167" s="94"/>
    </row>
    <row r="168" spans="2:13" x14ac:dyDescent="0.3">
      <c r="B168" s="94"/>
      <c r="C168" s="94"/>
      <c r="D168" s="94"/>
      <c r="E168" s="94"/>
      <c r="F168" s="94"/>
      <c r="G168" s="94"/>
      <c r="H168" s="94"/>
      <c r="I168" s="94"/>
      <c r="J168" s="94"/>
      <c r="K168" s="94"/>
      <c r="L168" s="94"/>
      <c r="M168" s="94"/>
    </row>
    <row r="169" spans="2:13" x14ac:dyDescent="0.3">
      <c r="B169" s="94"/>
      <c r="C169" s="94"/>
      <c r="D169" s="94"/>
      <c r="E169" s="94"/>
      <c r="F169" s="94"/>
      <c r="G169" s="94"/>
      <c r="H169" s="94"/>
      <c r="I169" s="94"/>
      <c r="J169" s="94"/>
      <c r="K169" s="94"/>
      <c r="L169" s="94"/>
      <c r="M169" s="94"/>
    </row>
    <row r="170" spans="2:13" x14ac:dyDescent="0.3">
      <c r="B170" s="94"/>
      <c r="C170" s="94"/>
      <c r="D170" s="94"/>
      <c r="E170" s="94"/>
      <c r="F170" s="94"/>
      <c r="G170" s="94"/>
      <c r="H170" s="94"/>
      <c r="I170" s="94"/>
      <c r="J170" s="94"/>
      <c r="K170" s="94"/>
      <c r="L170" s="94"/>
      <c r="M170" s="94"/>
    </row>
    <row r="171" spans="2:13" x14ac:dyDescent="0.3">
      <c r="B171" s="94"/>
      <c r="C171" s="94"/>
      <c r="D171" s="94"/>
      <c r="E171" s="94"/>
      <c r="F171" s="94"/>
      <c r="G171" s="94"/>
      <c r="H171" s="94"/>
      <c r="I171" s="94"/>
      <c r="J171" s="94"/>
      <c r="K171" s="94"/>
      <c r="L171" s="94"/>
      <c r="M171" s="94"/>
    </row>
    <row r="172" spans="2:13" x14ac:dyDescent="0.3">
      <c r="B172" s="94"/>
      <c r="C172" s="94"/>
      <c r="D172" s="94"/>
      <c r="E172" s="94"/>
      <c r="F172" s="94"/>
      <c r="G172" s="94"/>
      <c r="H172" s="94"/>
      <c r="I172" s="94"/>
      <c r="J172" s="94"/>
      <c r="K172" s="94"/>
      <c r="L172" s="94"/>
      <c r="M172" s="94"/>
    </row>
    <row r="173" spans="2:13" x14ac:dyDescent="0.3">
      <c r="B173" s="94"/>
      <c r="C173" s="94"/>
      <c r="D173" s="94"/>
      <c r="E173" s="94"/>
      <c r="F173" s="94"/>
      <c r="G173" s="94"/>
      <c r="H173" s="94"/>
      <c r="I173" s="94"/>
      <c r="J173" s="94"/>
      <c r="K173" s="94"/>
      <c r="L173" s="94"/>
      <c r="M173" s="94"/>
    </row>
    <row r="174" spans="2:13" x14ac:dyDescent="0.3">
      <c r="B174" s="94"/>
      <c r="C174" s="94"/>
      <c r="D174" s="94"/>
      <c r="E174" s="94"/>
      <c r="F174" s="94"/>
      <c r="G174" s="94"/>
      <c r="H174" s="94"/>
      <c r="I174" s="94"/>
      <c r="J174" s="94"/>
      <c r="K174" s="94"/>
      <c r="L174" s="94"/>
      <c r="M174" s="94"/>
    </row>
    <row r="175" spans="2:13" x14ac:dyDescent="0.3">
      <c r="B175" s="94"/>
      <c r="C175" s="94"/>
      <c r="D175" s="94"/>
      <c r="E175" s="94"/>
      <c r="F175" s="94"/>
      <c r="G175" s="94"/>
      <c r="H175" s="94"/>
      <c r="I175" s="94"/>
      <c r="J175" s="94"/>
      <c r="K175" s="94"/>
      <c r="L175" s="94"/>
      <c r="M175" s="94"/>
    </row>
    <row r="176" spans="2:13" x14ac:dyDescent="0.3">
      <c r="B176" s="94"/>
      <c r="C176" s="94"/>
      <c r="D176" s="94"/>
      <c r="E176" s="94"/>
      <c r="F176" s="94"/>
      <c r="G176" s="94"/>
      <c r="H176" s="94"/>
      <c r="I176" s="94"/>
      <c r="J176" s="94"/>
      <c r="K176" s="94"/>
      <c r="L176" s="94"/>
      <c r="M176" s="94"/>
    </row>
    <row r="177" spans="2:13" x14ac:dyDescent="0.3">
      <c r="B177" s="94"/>
      <c r="C177" s="94"/>
      <c r="D177" s="94"/>
      <c r="E177" s="94"/>
      <c r="F177" s="94"/>
      <c r="G177" s="94"/>
      <c r="H177" s="94"/>
      <c r="I177" s="94"/>
      <c r="J177" s="94"/>
      <c r="K177" s="94"/>
      <c r="L177" s="94"/>
      <c r="M177" s="94"/>
    </row>
    <row r="178" spans="2:13" x14ac:dyDescent="0.3">
      <c r="B178" s="94"/>
      <c r="C178" s="94"/>
      <c r="D178" s="94"/>
      <c r="E178" s="94"/>
      <c r="F178" s="94"/>
      <c r="G178" s="94"/>
      <c r="H178" s="94"/>
      <c r="I178" s="94"/>
      <c r="J178" s="94"/>
      <c r="K178" s="94"/>
      <c r="L178" s="94"/>
      <c r="M178" s="94"/>
    </row>
    <row r="179" spans="2:13" x14ac:dyDescent="0.3">
      <c r="B179" s="94"/>
      <c r="C179" s="94"/>
      <c r="D179" s="94"/>
      <c r="E179" s="94"/>
      <c r="F179" s="94"/>
      <c r="G179" s="94"/>
      <c r="H179" s="94"/>
      <c r="I179" s="94"/>
      <c r="J179" s="94"/>
      <c r="K179" s="94"/>
      <c r="L179" s="94"/>
      <c r="M179" s="94"/>
    </row>
    <row r="180" spans="2:13" x14ac:dyDescent="0.3">
      <c r="B180" s="94"/>
      <c r="C180" s="94"/>
      <c r="D180" s="94"/>
      <c r="E180" s="94"/>
      <c r="F180" s="94"/>
      <c r="G180" s="94"/>
      <c r="H180" s="94"/>
      <c r="I180" s="94"/>
      <c r="J180" s="94"/>
      <c r="K180" s="94"/>
      <c r="L180" s="94"/>
      <c r="M180" s="94"/>
    </row>
    <row r="181" spans="2:13" x14ac:dyDescent="0.3">
      <c r="B181" s="94"/>
      <c r="C181" s="94"/>
      <c r="D181" s="94"/>
      <c r="E181" s="94"/>
      <c r="F181" s="94"/>
      <c r="G181" s="94"/>
      <c r="H181" s="94"/>
      <c r="I181" s="94"/>
      <c r="J181" s="94"/>
      <c r="K181" s="94"/>
      <c r="L181" s="94"/>
      <c r="M181" s="94"/>
    </row>
    <row r="182" spans="2:13" x14ac:dyDescent="0.3">
      <c r="B182" s="94"/>
      <c r="C182" s="94"/>
      <c r="D182" s="94"/>
      <c r="E182" s="94"/>
      <c r="F182" s="94"/>
      <c r="G182" s="94"/>
      <c r="H182" s="94"/>
      <c r="I182" s="94"/>
      <c r="J182" s="94"/>
      <c r="K182" s="94"/>
      <c r="L182" s="94"/>
      <c r="M182" s="94"/>
    </row>
    <row r="183" spans="2:13" x14ac:dyDescent="0.3">
      <c r="B183" s="94"/>
      <c r="C183" s="94"/>
      <c r="D183" s="94"/>
      <c r="E183" s="94"/>
      <c r="F183" s="94"/>
      <c r="G183" s="94"/>
      <c r="H183" s="94"/>
      <c r="I183" s="94"/>
      <c r="J183" s="94"/>
      <c r="K183" s="94"/>
      <c r="L183" s="94"/>
      <c r="M183" s="94"/>
    </row>
    <row r="184" spans="2:13" x14ac:dyDescent="0.3">
      <c r="B184" s="94"/>
      <c r="C184" s="94"/>
      <c r="D184" s="94"/>
      <c r="E184" s="94"/>
      <c r="F184" s="94"/>
      <c r="G184" s="94"/>
      <c r="H184" s="94"/>
      <c r="I184" s="94"/>
      <c r="J184" s="94"/>
      <c r="K184" s="94"/>
      <c r="L184" s="94"/>
      <c r="M184" s="94"/>
    </row>
    <row r="185" spans="2:13" x14ac:dyDescent="0.3">
      <c r="B185" s="94"/>
      <c r="C185" s="94"/>
      <c r="D185" s="94"/>
      <c r="E185" s="94"/>
      <c r="F185" s="94"/>
      <c r="G185" s="94"/>
      <c r="H185" s="94"/>
      <c r="I185" s="94"/>
      <c r="J185" s="94"/>
      <c r="K185" s="94"/>
      <c r="L185" s="94"/>
      <c r="M185" s="94"/>
    </row>
    <row r="186" spans="2:13" x14ac:dyDescent="0.3">
      <c r="B186" s="94"/>
      <c r="C186" s="94"/>
      <c r="D186" s="94"/>
      <c r="E186" s="94"/>
      <c r="F186" s="94"/>
      <c r="G186" s="94"/>
      <c r="H186" s="94"/>
      <c r="I186" s="94"/>
      <c r="J186" s="94"/>
      <c r="K186" s="94"/>
      <c r="L186" s="94"/>
      <c r="M186" s="94"/>
    </row>
    <row r="187" spans="2:13" x14ac:dyDescent="0.3">
      <c r="B187" s="94"/>
      <c r="C187" s="94"/>
      <c r="D187" s="94"/>
      <c r="E187" s="94"/>
      <c r="F187" s="94"/>
      <c r="G187" s="94"/>
      <c r="H187" s="94"/>
      <c r="I187" s="94"/>
      <c r="J187" s="94"/>
      <c r="K187" s="94"/>
      <c r="L187" s="94"/>
      <c r="M187" s="94"/>
    </row>
    <row r="188" spans="2:13" x14ac:dyDescent="0.3">
      <c r="B188" s="94"/>
      <c r="C188" s="94"/>
      <c r="D188" s="94"/>
      <c r="E188" s="94"/>
      <c r="F188" s="94"/>
      <c r="G188" s="94"/>
      <c r="H188" s="94"/>
      <c r="I188" s="94"/>
      <c r="J188" s="94"/>
      <c r="K188" s="94"/>
      <c r="L188" s="94"/>
      <c r="M188" s="94"/>
    </row>
    <row r="189" spans="2:13" x14ac:dyDescent="0.3">
      <c r="B189" s="94"/>
      <c r="C189" s="94"/>
      <c r="D189" s="94"/>
      <c r="E189" s="94"/>
      <c r="F189" s="94"/>
      <c r="G189" s="94"/>
      <c r="H189" s="94"/>
      <c r="I189" s="94"/>
      <c r="J189" s="94"/>
      <c r="K189" s="94"/>
      <c r="L189" s="94"/>
      <c r="M189" s="94"/>
    </row>
    <row r="190" spans="2:13" x14ac:dyDescent="0.3">
      <c r="B190" s="94"/>
      <c r="C190" s="94"/>
      <c r="D190" s="94"/>
      <c r="E190" s="94"/>
      <c r="F190" s="94"/>
      <c r="G190" s="94"/>
      <c r="H190" s="94"/>
      <c r="I190" s="94"/>
      <c r="J190" s="94"/>
      <c r="K190" s="94"/>
      <c r="L190" s="94"/>
      <c r="M190" s="94"/>
    </row>
    <row r="191" spans="2:13" x14ac:dyDescent="0.3">
      <c r="B191" s="94"/>
      <c r="C191" s="94"/>
      <c r="D191" s="94"/>
      <c r="E191" s="94"/>
      <c r="F191" s="94"/>
      <c r="G191" s="94"/>
      <c r="H191" s="94"/>
      <c r="I191" s="94"/>
      <c r="J191" s="94"/>
      <c r="K191" s="94"/>
      <c r="L191" s="94"/>
      <c r="M191" s="94"/>
    </row>
    <row r="192" spans="2:13" x14ac:dyDescent="0.3">
      <c r="B192" s="94"/>
      <c r="C192" s="94"/>
      <c r="D192" s="94"/>
      <c r="E192" s="94"/>
      <c r="F192" s="94"/>
      <c r="G192" s="94"/>
      <c r="H192" s="94"/>
      <c r="I192" s="94"/>
      <c r="J192" s="94"/>
      <c r="K192" s="94"/>
      <c r="L192" s="94"/>
      <c r="M192" s="94"/>
    </row>
    <row r="193" spans="2:13" x14ac:dyDescent="0.3">
      <c r="B193" s="94"/>
      <c r="C193" s="94"/>
      <c r="D193" s="94"/>
      <c r="E193" s="94"/>
      <c r="F193" s="94"/>
      <c r="G193" s="94"/>
      <c r="H193" s="94"/>
      <c r="I193" s="94"/>
      <c r="J193" s="94"/>
      <c r="K193" s="94"/>
      <c r="L193" s="94"/>
      <c r="M193" s="94"/>
    </row>
    <row r="194" spans="2:13" x14ac:dyDescent="0.3">
      <c r="B194" s="94"/>
      <c r="C194" s="94"/>
      <c r="D194" s="94"/>
      <c r="E194" s="94"/>
      <c r="F194" s="94"/>
      <c r="G194" s="94"/>
      <c r="H194" s="94"/>
      <c r="I194" s="94"/>
      <c r="J194" s="94"/>
      <c r="K194" s="94"/>
      <c r="L194" s="94"/>
      <c r="M194" s="94"/>
    </row>
    <row r="195" spans="2:13" x14ac:dyDescent="0.3">
      <c r="B195" s="94"/>
      <c r="C195" s="94"/>
      <c r="D195" s="94"/>
      <c r="E195" s="94"/>
      <c r="F195" s="94"/>
      <c r="G195" s="94"/>
      <c r="H195" s="94"/>
      <c r="I195" s="94"/>
      <c r="J195" s="94"/>
      <c r="K195" s="94"/>
      <c r="L195" s="94"/>
      <c r="M195" s="94"/>
    </row>
    <row r="196" spans="2:13" x14ac:dyDescent="0.3">
      <c r="B196" s="94"/>
      <c r="C196" s="94"/>
      <c r="D196" s="94"/>
      <c r="E196" s="94"/>
      <c r="F196" s="94"/>
      <c r="G196" s="94"/>
      <c r="H196" s="94"/>
      <c r="I196" s="94"/>
      <c r="J196" s="94"/>
      <c r="K196" s="94"/>
      <c r="L196" s="94"/>
      <c r="M196" s="94"/>
    </row>
    <row r="197" spans="2:13" x14ac:dyDescent="0.3">
      <c r="B197" s="94"/>
      <c r="C197" s="94"/>
      <c r="D197" s="94"/>
      <c r="E197" s="94"/>
      <c r="F197" s="94"/>
      <c r="G197" s="94"/>
      <c r="H197" s="94"/>
      <c r="I197" s="94"/>
      <c r="J197" s="94"/>
      <c r="K197" s="94"/>
      <c r="L197" s="94"/>
      <c r="M197" s="94"/>
    </row>
    <row r="198" spans="2:13" x14ac:dyDescent="0.3">
      <c r="B198" s="94"/>
      <c r="C198" s="94"/>
      <c r="D198" s="94"/>
      <c r="E198" s="94"/>
      <c r="F198" s="94"/>
      <c r="G198" s="94"/>
      <c r="H198" s="94"/>
      <c r="I198" s="94"/>
      <c r="J198" s="94"/>
      <c r="K198" s="94"/>
      <c r="L198" s="94"/>
      <c r="M198" s="94"/>
    </row>
    <row r="199" spans="2:13" x14ac:dyDescent="0.3">
      <c r="B199" s="94"/>
      <c r="C199" s="94"/>
      <c r="D199" s="94"/>
      <c r="E199" s="94"/>
      <c r="F199" s="94"/>
      <c r="G199" s="94"/>
      <c r="H199" s="94"/>
      <c r="I199" s="94"/>
      <c r="J199" s="94"/>
      <c r="K199" s="94"/>
      <c r="L199" s="94"/>
      <c r="M199" s="94"/>
    </row>
    <row r="200" spans="2:13" x14ac:dyDescent="0.3">
      <c r="B200" s="94"/>
      <c r="C200" s="94"/>
      <c r="D200" s="94"/>
      <c r="E200" s="94"/>
      <c r="F200" s="94"/>
      <c r="G200" s="94"/>
      <c r="H200" s="94"/>
      <c r="I200" s="94"/>
      <c r="J200" s="94"/>
      <c r="K200" s="94"/>
      <c r="L200" s="94"/>
      <c r="M200" s="94"/>
    </row>
    <row r="201" spans="2:13" x14ac:dyDescent="0.3">
      <c r="B201" s="94"/>
      <c r="C201" s="94"/>
      <c r="D201" s="94"/>
      <c r="E201" s="94"/>
      <c r="F201" s="94"/>
      <c r="G201" s="94"/>
      <c r="H201" s="94"/>
      <c r="I201" s="94"/>
      <c r="J201" s="94"/>
      <c r="K201" s="94"/>
      <c r="L201" s="94"/>
      <c r="M201" s="94"/>
    </row>
    <row r="202" spans="2:13" x14ac:dyDescent="0.3">
      <c r="B202" s="94"/>
      <c r="C202" s="94"/>
      <c r="D202" s="94"/>
      <c r="E202" s="94"/>
      <c r="F202" s="94"/>
      <c r="G202" s="94"/>
      <c r="H202" s="94"/>
      <c r="I202" s="94"/>
      <c r="J202" s="94"/>
      <c r="K202" s="94"/>
      <c r="L202" s="94"/>
      <c r="M202" s="94"/>
    </row>
    <row r="203" spans="2:13" x14ac:dyDescent="0.3">
      <c r="B203" s="94"/>
      <c r="C203" s="94"/>
      <c r="D203" s="94"/>
      <c r="E203" s="94"/>
      <c r="F203" s="94"/>
      <c r="G203" s="94"/>
      <c r="H203" s="94"/>
      <c r="I203" s="94"/>
      <c r="J203" s="94"/>
      <c r="K203" s="94"/>
      <c r="L203" s="94"/>
      <c r="M203" s="94"/>
    </row>
    <row r="204" spans="2:13" x14ac:dyDescent="0.3">
      <c r="B204" s="94"/>
      <c r="C204" s="94"/>
      <c r="D204" s="94"/>
      <c r="E204" s="94"/>
      <c r="F204" s="94"/>
      <c r="G204" s="94"/>
      <c r="H204" s="94"/>
      <c r="I204" s="94"/>
      <c r="J204" s="94"/>
      <c r="K204" s="94"/>
      <c r="L204" s="94"/>
      <c r="M204" s="94"/>
    </row>
    <row r="205" spans="2:13" x14ac:dyDescent="0.3">
      <c r="B205" s="94"/>
      <c r="C205" s="94"/>
      <c r="D205" s="94"/>
      <c r="E205" s="94"/>
      <c r="F205" s="94"/>
      <c r="G205" s="94"/>
      <c r="H205" s="94"/>
      <c r="I205" s="94"/>
      <c r="J205" s="94"/>
      <c r="K205" s="94"/>
      <c r="L205" s="94"/>
      <c r="M205" s="94"/>
    </row>
    <row r="206" spans="2:13" x14ac:dyDescent="0.3">
      <c r="B206" s="94"/>
      <c r="C206" s="94"/>
      <c r="D206" s="94"/>
      <c r="E206" s="94"/>
      <c r="F206" s="94"/>
      <c r="G206" s="94"/>
      <c r="H206" s="94"/>
      <c r="I206" s="94"/>
      <c r="J206" s="94"/>
      <c r="K206" s="94"/>
      <c r="L206" s="94"/>
      <c r="M206" s="94"/>
    </row>
    <row r="207" spans="2:13" x14ac:dyDescent="0.3">
      <c r="B207" s="94"/>
      <c r="C207" s="94"/>
      <c r="D207" s="94"/>
      <c r="E207" s="94"/>
      <c r="F207" s="94"/>
      <c r="G207" s="94"/>
      <c r="H207" s="94"/>
      <c r="I207" s="94"/>
      <c r="J207" s="94"/>
      <c r="K207" s="94"/>
      <c r="L207" s="94"/>
      <c r="M207" s="94"/>
    </row>
    <row r="208" spans="2:13" x14ac:dyDescent="0.3">
      <c r="B208" s="94"/>
      <c r="C208" s="94"/>
      <c r="D208" s="94"/>
      <c r="E208" s="94"/>
      <c r="F208" s="94"/>
      <c r="G208" s="94"/>
      <c r="H208" s="94"/>
      <c r="I208" s="94"/>
      <c r="J208" s="94"/>
      <c r="K208" s="94"/>
      <c r="L208" s="94"/>
      <c r="M208" s="94"/>
    </row>
    <row r="209" spans="2:13" x14ac:dyDescent="0.3">
      <c r="B209" s="94"/>
      <c r="C209" s="94"/>
      <c r="D209" s="94"/>
      <c r="E209" s="94"/>
      <c r="F209" s="94"/>
      <c r="G209" s="94"/>
      <c r="H209" s="94"/>
      <c r="I209" s="94"/>
      <c r="J209" s="94"/>
      <c r="K209" s="94"/>
      <c r="L209" s="94"/>
      <c r="M209" s="94"/>
    </row>
    <row r="210" spans="2:13" x14ac:dyDescent="0.3">
      <c r="B210" s="94"/>
      <c r="C210" s="94"/>
      <c r="D210" s="94"/>
      <c r="E210" s="94"/>
      <c r="F210" s="94"/>
      <c r="G210" s="94"/>
      <c r="H210" s="94"/>
      <c r="I210" s="94"/>
      <c r="J210" s="94"/>
      <c r="K210" s="94"/>
      <c r="L210" s="94"/>
      <c r="M210" s="94"/>
    </row>
    <row r="211" spans="2:13" x14ac:dyDescent="0.3">
      <c r="B211" s="94"/>
      <c r="C211" s="94"/>
      <c r="D211" s="94"/>
      <c r="E211" s="94"/>
      <c r="F211" s="94"/>
      <c r="G211" s="94"/>
      <c r="H211" s="94"/>
      <c r="I211" s="94"/>
      <c r="J211" s="94"/>
      <c r="K211" s="94"/>
      <c r="L211" s="94"/>
      <c r="M211" s="94"/>
    </row>
    <row r="212" spans="2:13" x14ac:dyDescent="0.3">
      <c r="B212" s="94"/>
      <c r="C212" s="94"/>
      <c r="D212" s="94"/>
      <c r="E212" s="94"/>
      <c r="F212" s="94"/>
      <c r="G212" s="94"/>
      <c r="H212" s="94"/>
      <c r="I212" s="94"/>
      <c r="J212" s="94"/>
      <c r="K212" s="94"/>
      <c r="L212" s="94"/>
      <c r="M212" s="94"/>
    </row>
    <row r="213" spans="2:13" x14ac:dyDescent="0.3">
      <c r="B213" s="94"/>
      <c r="C213" s="94"/>
      <c r="D213" s="94"/>
      <c r="E213" s="94"/>
      <c r="F213" s="94"/>
      <c r="G213" s="94"/>
      <c r="H213" s="94"/>
      <c r="I213" s="94"/>
      <c r="J213" s="94"/>
      <c r="K213" s="94"/>
      <c r="L213" s="94"/>
      <c r="M213" s="94"/>
    </row>
    <row r="214" spans="2:13" x14ac:dyDescent="0.3">
      <c r="B214" s="94"/>
      <c r="C214" s="94"/>
      <c r="D214" s="94"/>
      <c r="E214" s="94"/>
      <c r="F214" s="94"/>
      <c r="G214" s="94"/>
      <c r="H214" s="94"/>
      <c r="I214" s="94"/>
      <c r="J214" s="94"/>
      <c r="K214" s="94"/>
      <c r="L214" s="94"/>
      <c r="M214" s="94"/>
    </row>
    <row r="215" spans="2:13" x14ac:dyDescent="0.3">
      <c r="B215" s="94"/>
      <c r="C215" s="94"/>
      <c r="D215" s="94"/>
      <c r="E215" s="94"/>
      <c r="F215" s="94"/>
      <c r="G215" s="94"/>
      <c r="H215" s="94"/>
      <c r="I215" s="94"/>
      <c r="J215" s="94"/>
      <c r="K215" s="94"/>
      <c r="L215" s="94"/>
      <c r="M215" s="94"/>
    </row>
    <row r="216" spans="2:13" x14ac:dyDescent="0.3">
      <c r="B216" s="94"/>
      <c r="C216" s="94"/>
      <c r="D216" s="94"/>
      <c r="E216" s="94"/>
      <c r="F216" s="94"/>
      <c r="G216" s="94"/>
      <c r="H216" s="94"/>
      <c r="I216" s="94"/>
      <c r="J216" s="94"/>
      <c r="K216" s="94"/>
      <c r="L216" s="94"/>
      <c r="M216" s="94"/>
    </row>
    <row r="217" spans="2:13" x14ac:dyDescent="0.3">
      <c r="B217" s="94"/>
      <c r="C217" s="94"/>
      <c r="D217" s="94"/>
      <c r="E217" s="94"/>
      <c r="F217" s="94"/>
      <c r="G217" s="94"/>
      <c r="H217" s="94"/>
      <c r="I217" s="94"/>
      <c r="J217" s="94"/>
      <c r="K217" s="94"/>
      <c r="L217" s="94"/>
      <c r="M217" s="94"/>
    </row>
    <row r="218" spans="2:13" x14ac:dyDescent="0.3">
      <c r="B218" s="94"/>
      <c r="C218" s="94"/>
      <c r="D218" s="94"/>
      <c r="E218" s="94"/>
      <c r="F218" s="94"/>
      <c r="G218" s="94"/>
      <c r="H218" s="94"/>
      <c r="I218" s="94"/>
      <c r="J218" s="94"/>
      <c r="K218" s="94"/>
      <c r="L218" s="94"/>
      <c r="M218" s="94"/>
    </row>
    <row r="219" spans="2:13" x14ac:dyDescent="0.3">
      <c r="B219" s="94"/>
      <c r="C219" s="94"/>
      <c r="D219" s="94"/>
      <c r="E219" s="94"/>
      <c r="F219" s="94"/>
      <c r="G219" s="94"/>
      <c r="H219" s="94"/>
      <c r="I219" s="94"/>
      <c r="J219" s="94"/>
      <c r="K219" s="94"/>
      <c r="L219" s="94"/>
      <c r="M219" s="94"/>
    </row>
    <row r="220" spans="2:13" x14ac:dyDescent="0.3">
      <c r="B220" s="94"/>
      <c r="C220" s="94"/>
      <c r="D220" s="94"/>
      <c r="E220" s="94"/>
      <c r="F220" s="94"/>
      <c r="G220" s="94"/>
      <c r="H220" s="94"/>
      <c r="I220" s="94"/>
      <c r="J220" s="94"/>
      <c r="K220" s="94"/>
      <c r="L220" s="94"/>
      <c r="M220" s="94"/>
    </row>
    <row r="221" spans="2:13" x14ac:dyDescent="0.3">
      <c r="B221" s="94"/>
      <c r="C221" s="94"/>
      <c r="D221" s="94"/>
      <c r="E221" s="94"/>
      <c r="F221" s="94"/>
      <c r="G221" s="94"/>
      <c r="H221" s="94"/>
      <c r="I221" s="94"/>
      <c r="J221" s="94"/>
      <c r="K221" s="94"/>
      <c r="L221" s="94"/>
      <c r="M221" s="94"/>
    </row>
    <row r="222" spans="2:13" x14ac:dyDescent="0.3">
      <c r="B222" s="94"/>
      <c r="C222" s="94"/>
      <c r="D222" s="94"/>
      <c r="E222" s="94"/>
      <c r="F222" s="94"/>
      <c r="G222" s="94"/>
      <c r="H222" s="94"/>
      <c r="I222" s="94"/>
      <c r="J222" s="94"/>
      <c r="K222" s="94"/>
      <c r="L222" s="94"/>
      <c r="M222" s="94"/>
    </row>
    <row r="223" spans="2:13" x14ac:dyDescent="0.3">
      <c r="B223" s="94"/>
      <c r="C223" s="94"/>
      <c r="D223" s="94"/>
      <c r="E223" s="94"/>
      <c r="F223" s="94"/>
      <c r="G223" s="94"/>
      <c r="H223" s="94"/>
      <c r="I223" s="94"/>
      <c r="J223" s="94"/>
      <c r="K223" s="94"/>
      <c r="L223" s="94"/>
      <c r="M223" s="94"/>
    </row>
    <row r="224" spans="2:13" x14ac:dyDescent="0.3">
      <c r="B224" s="94"/>
      <c r="C224" s="94"/>
      <c r="D224" s="94"/>
      <c r="E224" s="94"/>
      <c r="F224" s="94"/>
      <c r="G224" s="94"/>
      <c r="H224" s="94"/>
      <c r="I224" s="94"/>
      <c r="J224" s="94"/>
      <c r="K224" s="94"/>
      <c r="L224" s="94"/>
      <c r="M224" s="94"/>
    </row>
    <row r="225" spans="2:13" x14ac:dyDescent="0.3">
      <c r="B225" s="94"/>
      <c r="C225" s="94"/>
      <c r="D225" s="94"/>
      <c r="E225" s="94"/>
      <c r="F225" s="94"/>
      <c r="G225" s="94"/>
      <c r="H225" s="94"/>
      <c r="I225" s="94"/>
      <c r="J225" s="94"/>
      <c r="K225" s="94"/>
      <c r="L225" s="94"/>
      <c r="M225" s="94"/>
    </row>
    <row r="226" spans="2:13" x14ac:dyDescent="0.3">
      <c r="B226" s="94"/>
      <c r="C226" s="94"/>
      <c r="D226" s="94"/>
      <c r="E226" s="94"/>
      <c r="F226" s="94"/>
      <c r="G226" s="94"/>
      <c r="H226" s="94"/>
      <c r="I226" s="94"/>
      <c r="J226" s="94"/>
      <c r="K226" s="94"/>
      <c r="L226" s="94"/>
      <c r="M226" s="94"/>
    </row>
    <row r="227" spans="2:13" x14ac:dyDescent="0.3">
      <c r="B227" s="94"/>
      <c r="C227" s="94"/>
      <c r="D227" s="94"/>
      <c r="E227" s="94"/>
      <c r="F227" s="94"/>
      <c r="G227" s="94"/>
      <c r="H227" s="94"/>
      <c r="I227" s="94"/>
      <c r="J227" s="94"/>
      <c r="K227" s="94"/>
      <c r="L227" s="94"/>
      <c r="M227" s="94"/>
    </row>
    <row r="228" spans="2:13" x14ac:dyDescent="0.3">
      <c r="B228" s="94"/>
      <c r="C228" s="94"/>
      <c r="D228" s="94"/>
      <c r="E228" s="94"/>
      <c r="F228" s="94"/>
      <c r="G228" s="94"/>
      <c r="H228" s="94"/>
      <c r="I228" s="94"/>
      <c r="J228" s="94"/>
      <c r="K228" s="94"/>
      <c r="L228" s="94"/>
      <c r="M228" s="94"/>
    </row>
  </sheetData>
  <mergeCells count="44">
    <mergeCell ref="B104:Q106"/>
    <mergeCell ref="B107:Q109"/>
    <mergeCell ref="B110:Q112"/>
    <mergeCell ref="B113:Q115"/>
    <mergeCell ref="B89:Q91"/>
    <mergeCell ref="B92:Q94"/>
    <mergeCell ref="B95:Q97"/>
    <mergeCell ref="B98:Q100"/>
    <mergeCell ref="B101:Q103"/>
    <mergeCell ref="B74:Q76"/>
    <mergeCell ref="B77:Q79"/>
    <mergeCell ref="B80:Q82"/>
    <mergeCell ref="B83:Q85"/>
    <mergeCell ref="B86:Q88"/>
    <mergeCell ref="B18:Q20"/>
    <mergeCell ref="B21:Q23"/>
    <mergeCell ref="B65:Q67"/>
    <mergeCell ref="B68:Q70"/>
    <mergeCell ref="B71:Q73"/>
    <mergeCell ref="C24:K24"/>
    <mergeCell ref="C53:O53"/>
    <mergeCell ref="B59:Q61"/>
    <mergeCell ref="B47:Q49"/>
    <mergeCell ref="B50:Q52"/>
    <mergeCell ref="B33:Q35"/>
    <mergeCell ref="B36:Q38"/>
    <mergeCell ref="C39:H39"/>
    <mergeCell ref="C32:D32"/>
    <mergeCell ref="B2:Q2"/>
    <mergeCell ref="B3:Q3"/>
    <mergeCell ref="J6:P6"/>
    <mergeCell ref="J7:L7"/>
    <mergeCell ref="J8:L8"/>
    <mergeCell ref="B4:Q5"/>
    <mergeCell ref="C6:G6"/>
    <mergeCell ref="J14:L14"/>
    <mergeCell ref="J15:L15"/>
    <mergeCell ref="J16:L16"/>
    <mergeCell ref="J17:L17"/>
    <mergeCell ref="J9:L9"/>
    <mergeCell ref="J10:L10"/>
    <mergeCell ref="J11:L11"/>
    <mergeCell ref="J12:L12"/>
    <mergeCell ref="J13:L13"/>
  </mergeCells>
  <pageMargins left="0.511811024" right="0.511811024" top="0.78740157499999996" bottom="0.78740157499999996" header="0.31496062000000002" footer="0.31496062000000002"/>
  <ignoredErrors>
    <ignoredError sqref="E28:I28" formula="1"/>
  </ignoredErrors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7E8F3-6528-4395-AEB1-74DD7338EE14}">
  <sheetPr codeName="Planilha2"/>
  <dimension ref="A1:N55"/>
  <sheetViews>
    <sheetView zoomScale="85" zoomScaleNormal="85" workbookViewId="0">
      <pane xSplit="1" ySplit="3" topLeftCell="B37" activePane="bottomRight" state="frozen"/>
      <selection pane="topRight" activeCell="B1" sqref="B1"/>
      <selection pane="bottomLeft" activeCell="A4" sqref="A4"/>
      <selection pane="bottomRight" activeCell="M45" sqref="M45"/>
    </sheetView>
  </sheetViews>
  <sheetFormatPr defaultRowHeight="15.6" x14ac:dyDescent="0.3"/>
  <cols>
    <col min="1" max="1" width="3.796875" customWidth="1"/>
    <col min="2" max="2" width="9.765625E-2" customWidth="1"/>
    <col min="3" max="3" width="10.19921875" customWidth="1"/>
    <col min="4" max="4" width="17.09765625" customWidth="1"/>
    <col min="5" max="5" width="9.3984375" customWidth="1"/>
    <col min="6" max="6" width="12.19921875" bestFit="1" customWidth="1"/>
    <col min="7" max="7" width="18.69921875" customWidth="1"/>
    <col min="8" max="8" width="10.8984375" customWidth="1"/>
    <col min="9" max="9" width="56.19921875" customWidth="1"/>
    <col min="10" max="10" width="28.19921875" customWidth="1"/>
    <col min="11" max="11" width="17.5" bestFit="1" customWidth="1"/>
    <col min="12" max="12" width="16" bestFit="1" customWidth="1"/>
    <col min="13" max="13" width="68.59765625" customWidth="1"/>
  </cols>
  <sheetData>
    <row r="1" spans="1:14" ht="16.2" thickBot="1" x14ac:dyDescent="0.35"/>
    <row r="2" spans="1:14" ht="45.6" customHeight="1" thickBot="1" x14ac:dyDescent="0.35">
      <c r="B2" s="301" t="s">
        <v>41</v>
      </c>
      <c r="C2" s="302"/>
      <c r="D2" s="302"/>
      <c r="E2" s="302"/>
      <c r="F2" s="302"/>
      <c r="G2" s="302"/>
      <c r="H2" s="302"/>
      <c r="I2" s="302"/>
      <c r="J2" s="302"/>
      <c r="K2" s="302"/>
      <c r="L2" s="302"/>
      <c r="M2" s="303"/>
    </row>
    <row r="3" spans="1:14" ht="54.6" customHeight="1" thickBot="1" x14ac:dyDescent="0.4">
      <c r="A3" s="1"/>
      <c r="B3" s="24" t="s">
        <v>3</v>
      </c>
      <c r="C3" s="25" t="s">
        <v>4</v>
      </c>
      <c r="D3" s="25" t="s">
        <v>5</v>
      </c>
      <c r="E3" s="25" t="s">
        <v>6</v>
      </c>
      <c r="F3" s="25" t="s">
        <v>7</v>
      </c>
      <c r="G3" s="25" t="s">
        <v>40</v>
      </c>
      <c r="H3" s="25" t="s">
        <v>8</v>
      </c>
      <c r="I3" s="25" t="s">
        <v>0</v>
      </c>
      <c r="J3" s="25" t="s">
        <v>9</v>
      </c>
      <c r="K3" s="25" t="s">
        <v>1</v>
      </c>
      <c r="L3" s="25" t="s">
        <v>10</v>
      </c>
      <c r="M3" s="23" t="s">
        <v>46</v>
      </c>
      <c r="N3" s="2"/>
    </row>
    <row r="4" spans="1:14" ht="118.8" x14ac:dyDescent="0.35">
      <c r="A4" s="1"/>
      <c r="B4" s="29">
        <f>'REGIÃO 01 - HISTÓRICO'!B4</f>
        <v>1</v>
      </c>
      <c r="C4" s="28" t="s">
        <v>20</v>
      </c>
      <c r="D4" s="27" t="str">
        <f>_xlfn.XLOOKUP(tbResumoR01[[#This Row],[REGIÃO]],tbRegioes[Código Região],tbRegioes[Contrato],"")</f>
        <v>040.2024</v>
      </c>
      <c r="E4" s="26">
        <f>'REGIÃO 01 - HISTÓRICO'!C4</f>
        <v>73</v>
      </c>
      <c r="F4" s="88" t="s">
        <v>59</v>
      </c>
      <c r="G4" s="182" t="str">
        <f>'REGIÃO 01 - HISTÓRICO'!D4</f>
        <v>jan/fev</v>
      </c>
      <c r="H4" s="8">
        <v>3</v>
      </c>
      <c r="I4" s="83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TO-010 - TRECHO ARAGUATINS - ENTR. TO-201</v>
      </c>
      <c r="J4" s="85" t="s">
        <v>25</v>
      </c>
      <c r="K4" s="9">
        <f>'REGIÃO 01 - HISTÓRICO'!E4</f>
        <v>24585.62</v>
      </c>
      <c r="L4" s="8" t="str">
        <f>'REGIÃO 01 - HISTÓRICO'!I4</f>
        <v>Cancelada</v>
      </c>
      <c r="M4" s="34" t="s">
        <v>65</v>
      </c>
      <c r="N4" s="2"/>
    </row>
    <row r="5" spans="1:14" ht="66" x14ac:dyDescent="0.35">
      <c r="A5" s="1"/>
      <c r="B5" s="29">
        <f>'REGIÃO 01 - HISTÓRICO'!B5</f>
        <v>2</v>
      </c>
      <c r="C5" s="27" t="s">
        <v>20</v>
      </c>
      <c r="D5" s="27" t="str">
        <f>_xlfn.XLOOKUP(tbResumoR01[[#This Row],[REGIÃO]],tbRegioes[Código Região],tbRegioes[Contrato],"")</f>
        <v>040.2024</v>
      </c>
      <c r="E5" s="26">
        <f>'REGIÃO 01 - HISTÓRICO'!C5</f>
        <v>74</v>
      </c>
      <c r="F5" s="88" t="s">
        <v>59</v>
      </c>
      <c r="G5" s="182" t="str">
        <f>'REGIÃO 01 - HISTÓRICO'!D5</f>
        <v>jan/fev</v>
      </c>
      <c r="H5" s="8">
        <v>4</v>
      </c>
      <c r="I5" s="83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TO-010 - TRECHO BURITI DO TOCANTINS (ENTR. TO-201) - SÃO SEBASTIÃO DO TOCANTINS</v>
      </c>
      <c r="J5" s="85" t="s">
        <v>25</v>
      </c>
      <c r="K5" s="9">
        <f>'REGIÃO 01 - HISTÓRICO'!E5</f>
        <v>5454.88</v>
      </c>
      <c r="L5" s="8" t="str">
        <f>'REGIÃO 01 - HISTÓRICO'!I5</f>
        <v>Cancelada</v>
      </c>
      <c r="M5" s="34" t="s">
        <v>66</v>
      </c>
      <c r="N5" s="2"/>
    </row>
    <row r="6" spans="1:14" ht="31.2" x14ac:dyDescent="0.35">
      <c r="A6" s="1"/>
      <c r="B6" s="29">
        <f>'REGIÃO 01 - HISTÓRICO'!B6</f>
        <v>3</v>
      </c>
      <c r="C6" s="27" t="s">
        <v>20</v>
      </c>
      <c r="D6" s="27" t="str">
        <f>_xlfn.XLOOKUP(tbResumoR01[[#This Row],[REGIÃO]],tbRegioes[Código Região],tbRegioes[Contrato],"")</f>
        <v>040.2024</v>
      </c>
      <c r="E6" s="26">
        <f>'REGIÃO 01 - HISTÓRICO'!C6</f>
        <v>75</v>
      </c>
      <c r="F6" s="88" t="s">
        <v>59</v>
      </c>
      <c r="G6" s="182" t="str">
        <f>'REGIÃO 01 - HISTÓRICO'!D6</f>
        <v>jan/fev</v>
      </c>
      <c r="H6" s="8">
        <v>6</v>
      </c>
      <c r="I6" s="83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TO-126 - TRECHO MAURILÂNDIA - TOCANTINÓPOLIS</v>
      </c>
      <c r="J6" s="85" t="s">
        <v>674</v>
      </c>
      <c r="K6" s="9">
        <f>'REGIÃO 01 - HISTÓRICO'!E6</f>
        <v>106795.11</v>
      </c>
      <c r="L6" s="8" t="str">
        <f>'REGIÃO 01 - HISTÓRICO'!I6</f>
        <v>Concluída</v>
      </c>
      <c r="M6" s="34"/>
      <c r="N6" s="2"/>
    </row>
    <row r="7" spans="1:14" ht="31.2" x14ac:dyDescent="0.35">
      <c r="A7" s="1"/>
      <c r="B7" s="29">
        <f>'REGIÃO 01 - HISTÓRICO'!B7</f>
        <v>4</v>
      </c>
      <c r="C7" s="27" t="s">
        <v>20</v>
      </c>
      <c r="D7" s="27" t="str">
        <f>_xlfn.XLOOKUP(tbResumoR01[[#This Row],[REGIÃO]],tbRegioes[Código Região],tbRegioes[Contrato],"")</f>
        <v>040.2024</v>
      </c>
      <c r="E7" s="26">
        <f>'REGIÃO 01 - HISTÓRICO'!C7</f>
        <v>76</v>
      </c>
      <c r="F7" s="88" t="s">
        <v>59</v>
      </c>
      <c r="G7" s="182" t="str">
        <f>'REGIÃO 01 - HISTÓRICO'!D7</f>
        <v>jan/fev</v>
      </c>
      <c r="H7" s="8">
        <v>9</v>
      </c>
      <c r="I7" s="83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TO-126 - TRECHO SUMAUMA - SÍTIO NOVO DO TOCANTINS</v>
      </c>
      <c r="J7" s="85" t="s">
        <v>674</v>
      </c>
      <c r="K7" s="9">
        <f>'REGIÃO 01 - HISTÓRICO'!E7</f>
        <v>258027.71</v>
      </c>
      <c r="L7" s="8" t="str">
        <f>'REGIÃO 01 - HISTÓRICO'!I7</f>
        <v>Concluída</v>
      </c>
      <c r="M7" s="34"/>
      <c r="N7" s="2"/>
    </row>
    <row r="8" spans="1:14" ht="31.2" x14ac:dyDescent="0.35">
      <c r="A8" s="1"/>
      <c r="B8" s="29">
        <f>'REGIÃO 01 - HISTÓRICO'!B8</f>
        <v>5</v>
      </c>
      <c r="C8" s="27" t="s">
        <v>20</v>
      </c>
      <c r="D8" s="27" t="str">
        <f>_xlfn.XLOOKUP(tbResumoR01[[#This Row],[REGIÃO]],tbRegioes[Código Região],tbRegioes[Contrato],"")</f>
        <v>040.2024</v>
      </c>
      <c r="E8" s="26">
        <f>'REGIÃO 01 - HISTÓRICO'!C8</f>
        <v>77</v>
      </c>
      <c r="F8" s="88" t="s">
        <v>59</v>
      </c>
      <c r="G8" s="182" t="str">
        <f>'REGIÃO 01 - HISTÓRICO'!D8</f>
        <v>jan/fev</v>
      </c>
      <c r="H8" s="8">
        <v>18</v>
      </c>
      <c r="I8" s="83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TO-201 - TRECHO AUGUSTINÓPOLIS - BURITI DO TOCANTINS</v>
      </c>
      <c r="J8" s="85" t="s">
        <v>25</v>
      </c>
      <c r="K8" s="9">
        <f>'REGIÃO 01 - HISTÓRICO'!E8</f>
        <v>23817.42</v>
      </c>
      <c r="L8" s="8" t="str">
        <f>'REGIÃO 01 - HISTÓRICO'!I8</f>
        <v>Concluída</v>
      </c>
      <c r="M8" s="34"/>
      <c r="N8" s="2"/>
    </row>
    <row r="9" spans="1:14" ht="52.8" x14ac:dyDescent="0.35">
      <c r="A9" s="1"/>
      <c r="B9" s="29">
        <f>'REGIÃO 01 - HISTÓRICO'!B9</f>
        <v>6</v>
      </c>
      <c r="C9" s="27" t="s">
        <v>20</v>
      </c>
      <c r="D9" s="27" t="str">
        <f>_xlfn.XLOOKUP(tbResumoR01[[#This Row],[REGIÃO]],tbRegioes[Código Região],tbRegioes[Contrato],"")</f>
        <v>040.2024</v>
      </c>
      <c r="E9" s="26">
        <f>'REGIÃO 01 - HISTÓRICO'!C9</f>
        <v>78</v>
      </c>
      <c r="F9" s="88" t="s">
        <v>59</v>
      </c>
      <c r="G9" s="182" t="str">
        <f>'REGIÃO 01 - HISTÓRICO'!D9</f>
        <v>jan/fev</v>
      </c>
      <c r="H9" s="8">
        <v>19</v>
      </c>
      <c r="I9" s="83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TO-201 - TRECHO BURITI DO TOCANTINS - ESPERANTINA</v>
      </c>
      <c r="J9" s="85" t="s">
        <v>25</v>
      </c>
      <c r="K9" s="9">
        <f>'REGIÃO 01 - HISTÓRICO'!E9</f>
        <v>25192.71</v>
      </c>
      <c r="L9" s="8" t="str">
        <f>'REGIÃO 01 - HISTÓRICO'!I9</f>
        <v>Cancelada</v>
      </c>
      <c r="M9" s="34" t="s">
        <v>67</v>
      </c>
      <c r="N9" s="2"/>
    </row>
    <row r="10" spans="1:14" ht="52.8" x14ac:dyDescent="0.35">
      <c r="A10" s="1"/>
      <c r="B10" s="29">
        <f>'REGIÃO 01 - HISTÓRICO'!B10</f>
        <v>7</v>
      </c>
      <c r="C10" s="27" t="s">
        <v>20</v>
      </c>
      <c r="D10" s="27" t="str">
        <f>_xlfn.XLOOKUP(tbResumoR01[[#This Row],[REGIÃO]],tbRegioes[Código Região],tbRegioes[Contrato],"")</f>
        <v>040.2024</v>
      </c>
      <c r="E10" s="26">
        <f>'REGIÃO 01 - HISTÓRICO'!C10</f>
        <v>79</v>
      </c>
      <c r="F10" s="88" t="s">
        <v>59</v>
      </c>
      <c r="G10" s="182" t="str">
        <f>'REGIÃO 01 - HISTÓRICO'!D10</f>
        <v>jan/fev</v>
      </c>
      <c r="H10" s="8">
        <v>28</v>
      </c>
      <c r="I10" s="83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TO-403 - TRECHO SAMPAIO - ENTR. TO-404 (ITAÚBA)</v>
      </c>
      <c r="J10" s="85" t="s">
        <v>25</v>
      </c>
      <c r="K10" s="9">
        <f>'REGIÃO 01 - HISTÓRICO'!E10</f>
        <v>5117.6000000000004</v>
      </c>
      <c r="L10" s="8" t="str">
        <f>'REGIÃO 01 - HISTÓRICO'!I10</f>
        <v>Cancelada</v>
      </c>
      <c r="M10" s="34" t="s">
        <v>68</v>
      </c>
      <c r="N10" s="2"/>
    </row>
    <row r="11" spans="1:14" ht="52.8" x14ac:dyDescent="0.35">
      <c r="A11" s="1"/>
      <c r="B11" s="29">
        <f>'REGIÃO 01 - HISTÓRICO'!B11</f>
        <v>8</v>
      </c>
      <c r="C11" s="27" t="s">
        <v>20</v>
      </c>
      <c r="D11" s="27" t="str">
        <f>_xlfn.XLOOKUP(tbResumoR01[[#This Row],[REGIÃO]],tbRegioes[Código Região],tbRegioes[Contrato],"")</f>
        <v>040.2024</v>
      </c>
      <c r="E11" s="26">
        <f>'REGIÃO 01 - HISTÓRICO'!C11</f>
        <v>80</v>
      </c>
      <c r="F11" s="88" t="s">
        <v>59</v>
      </c>
      <c r="G11" s="182" t="str">
        <f>'REGIÃO 01 - HISTÓRICO'!D11</f>
        <v>jan/fev</v>
      </c>
      <c r="H11" s="8">
        <v>30</v>
      </c>
      <c r="I11" s="83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 xml:space="preserve">RODOVIA TO-404 - TRECHO AUGUSTINÓPOLIS - PRAIA NORTE </v>
      </c>
      <c r="J11" s="85" t="s">
        <v>25</v>
      </c>
      <c r="K11" s="9">
        <f>'REGIÃO 01 - HISTÓRICO'!E11</f>
        <v>7101.51</v>
      </c>
      <c r="L11" s="8" t="str">
        <f>'REGIÃO 01 - HISTÓRICO'!I11</f>
        <v>Cancelada</v>
      </c>
      <c r="M11" s="34" t="s">
        <v>69</v>
      </c>
      <c r="N11" s="2"/>
    </row>
    <row r="12" spans="1:14" ht="52.8" x14ac:dyDescent="0.35">
      <c r="A12" s="1"/>
      <c r="B12" s="29">
        <f>'REGIÃO 01 - HISTÓRICO'!B12</f>
        <v>9</v>
      </c>
      <c r="C12" s="27" t="s">
        <v>20</v>
      </c>
      <c r="D12" s="27" t="str">
        <f>_xlfn.XLOOKUP(tbResumoR01[[#This Row],[REGIÃO]],tbRegioes[Código Região],tbRegioes[Contrato],"")</f>
        <v>040.2024</v>
      </c>
      <c r="E12" s="26">
        <f>'REGIÃO 01 - HISTÓRICO'!C12</f>
        <v>81</v>
      </c>
      <c r="F12" s="88" t="s">
        <v>59</v>
      </c>
      <c r="G12" s="182" t="str">
        <f>'REGIÃO 01 - HISTÓRICO'!D12</f>
        <v>jan/fev</v>
      </c>
      <c r="H12" s="8">
        <v>32</v>
      </c>
      <c r="I12" s="83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TO-407 - TRECHO CARRASCO BONITO - ENTR. TO-201 (POVOADO CENTRO DOS FIRMINOS)</v>
      </c>
      <c r="J12" s="85" t="s">
        <v>25</v>
      </c>
      <c r="K12" s="9">
        <f>'REGIÃO 01 - HISTÓRICO'!E12</f>
        <v>4515.03</v>
      </c>
      <c r="L12" s="8" t="str">
        <f>'REGIÃO 01 - HISTÓRICO'!I12</f>
        <v>Cancelada</v>
      </c>
      <c r="M12" s="34" t="s">
        <v>69</v>
      </c>
      <c r="N12" s="2"/>
    </row>
    <row r="13" spans="1:14" ht="93.6" x14ac:dyDescent="0.3">
      <c r="B13" s="31">
        <f>'REGIÃO 01 - HISTÓRICO'!B13</f>
        <v>10</v>
      </c>
      <c r="C13" s="27" t="s">
        <v>20</v>
      </c>
      <c r="D13" s="27" t="str">
        <f>_xlfn.XLOOKUP(tbResumoR01[[#This Row],[REGIÃO]],tbRegioes[Código Região],tbRegioes[Contrato],"")</f>
        <v>040.2024</v>
      </c>
      <c r="E13" s="26">
        <f>'REGIÃO 01 - HISTÓRICO'!C13</f>
        <v>82</v>
      </c>
      <c r="F13" s="88" t="s">
        <v>60</v>
      </c>
      <c r="G13" s="182" t="str">
        <f>'REGIÃO 01 - HISTÓRICO'!D13</f>
        <v>fev/mar</v>
      </c>
      <c r="H13" s="8">
        <v>3</v>
      </c>
      <c r="I13" s="83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TO-010 - TRECHO ARAGUATINS - ENTR. TO-201</v>
      </c>
      <c r="J13" s="85" t="s">
        <v>676</v>
      </c>
      <c r="K13" s="9">
        <f>'REGIÃO 01 - HISTÓRICO'!E13</f>
        <v>57882.09</v>
      </c>
      <c r="L13" s="8" t="str">
        <f>'REGIÃO 01 - HISTÓRICO'!I13</f>
        <v>Concluída</v>
      </c>
      <c r="M13" s="34"/>
    </row>
    <row r="14" spans="1:14" ht="93.6" x14ac:dyDescent="0.3">
      <c r="B14" s="31">
        <f>'REGIÃO 01 - HISTÓRICO'!B14</f>
        <v>11</v>
      </c>
      <c r="C14" s="27" t="s">
        <v>20</v>
      </c>
      <c r="D14" s="27" t="str">
        <f>_xlfn.XLOOKUP(tbResumoR01[[#This Row],[REGIÃO]],tbRegioes[Código Região],tbRegioes[Contrato],"")</f>
        <v>040.2024</v>
      </c>
      <c r="E14" s="26">
        <f>'REGIÃO 01 - HISTÓRICO'!C14</f>
        <v>83</v>
      </c>
      <c r="F14" s="88" t="s">
        <v>60</v>
      </c>
      <c r="G14" s="182" t="str">
        <f>'REGIÃO 01 - HISTÓRICO'!D14</f>
        <v>fev/mar</v>
      </c>
      <c r="H14" s="8">
        <v>8</v>
      </c>
      <c r="I14" s="83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 xml:space="preserve">RODOVIA TO-126 - TRECHO SÍTIO NOVO DO TOCANTINS - ITAGUATINS </v>
      </c>
      <c r="J14" s="85" t="s">
        <v>676</v>
      </c>
      <c r="K14" s="9">
        <f>'REGIÃO 01 - HISTÓRICO'!E14</f>
        <v>63229.36</v>
      </c>
      <c r="L14" s="8" t="str">
        <f>'REGIÃO 01 - HISTÓRICO'!I14</f>
        <v>Concluída</v>
      </c>
      <c r="M14" s="34"/>
    </row>
    <row r="15" spans="1:14" ht="93.6" x14ac:dyDescent="0.3">
      <c r="B15" s="33">
        <f>'REGIÃO 01 - HISTÓRICO'!B15</f>
        <v>12</v>
      </c>
      <c r="C15" s="27" t="s">
        <v>20</v>
      </c>
      <c r="D15" s="27" t="str">
        <f>_xlfn.XLOOKUP(tbResumoR01[[#This Row],[REGIÃO]],tbRegioes[Código Região],tbRegioes[Contrato],"")</f>
        <v>040.2024</v>
      </c>
      <c r="E15" s="26">
        <f>'REGIÃO 01 - HISTÓRICO'!C15</f>
        <v>84</v>
      </c>
      <c r="F15" s="88" t="s">
        <v>61</v>
      </c>
      <c r="G15" s="182" t="str">
        <f>'REGIÃO 01 - HISTÓRICO'!D15</f>
        <v>mar/abr/mai</v>
      </c>
      <c r="H15" s="8">
        <v>6</v>
      </c>
      <c r="I15" s="83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TO-126 - TRECHO MAURILÂNDIA - TOCANTINÓPOLIS</v>
      </c>
      <c r="J15" s="85" t="s">
        <v>677</v>
      </c>
      <c r="K15" s="9">
        <f>'REGIÃO 01 - HISTÓRICO'!E15</f>
        <v>939704.7</v>
      </c>
      <c r="L15" s="8" t="str">
        <f>'REGIÃO 01 - HISTÓRICO'!I15</f>
        <v>Concluída</v>
      </c>
      <c r="M15" s="34"/>
    </row>
    <row r="16" spans="1:14" ht="31.2" x14ac:dyDescent="0.3">
      <c r="B16" s="33">
        <f>'REGIÃO 01 - HISTÓRICO'!B16</f>
        <v>13</v>
      </c>
      <c r="C16" s="27" t="s">
        <v>20</v>
      </c>
      <c r="D16" s="27" t="str">
        <f>_xlfn.XLOOKUP(tbResumoR01[[#This Row],[REGIÃO]],tbRegioes[Código Região],tbRegioes[Contrato],"")</f>
        <v>040.2024</v>
      </c>
      <c r="E16" s="26">
        <f>'REGIÃO 01 - HISTÓRICO'!C16</f>
        <v>85</v>
      </c>
      <c r="F16" s="88" t="s">
        <v>60</v>
      </c>
      <c r="G16" s="182" t="str">
        <f>'REGIÃO 01 - HISTÓRICO'!D16</f>
        <v>fev/mar</v>
      </c>
      <c r="H16" s="8">
        <v>30</v>
      </c>
      <c r="I16" s="83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 xml:space="preserve">RODOVIA TO-404 - TRECHO AUGUSTINÓPOLIS - PRAIA NORTE </v>
      </c>
      <c r="J16" s="85" t="s">
        <v>674</v>
      </c>
      <c r="K16" s="9">
        <f>'REGIÃO 01 - HISTÓRICO'!E16</f>
        <v>44604.3</v>
      </c>
      <c r="L16" s="8" t="str">
        <f>'REGIÃO 01 - HISTÓRICO'!I16</f>
        <v>Concluída</v>
      </c>
      <c r="M16" s="34"/>
    </row>
    <row r="17" spans="2:13" ht="31.2" x14ac:dyDescent="0.3">
      <c r="B17" s="33">
        <f>'REGIÃO 01 - HISTÓRICO'!B17</f>
        <v>14</v>
      </c>
      <c r="C17" s="27" t="s">
        <v>20</v>
      </c>
      <c r="D17" s="27" t="str">
        <f>_xlfn.XLOOKUP(tbResumoR01[[#This Row],[REGIÃO]],tbRegioes[Código Região],tbRegioes[Contrato],"")</f>
        <v>040.2024</v>
      </c>
      <c r="E17" s="26">
        <f>'REGIÃO 01 - HISTÓRICO'!C17</f>
        <v>86</v>
      </c>
      <c r="F17" s="88" t="s">
        <v>60</v>
      </c>
      <c r="G17" s="182" t="str">
        <f>'REGIÃO 01 - HISTÓRICO'!D17</f>
        <v>fev/mar</v>
      </c>
      <c r="H17" s="8">
        <v>32</v>
      </c>
      <c r="I17" s="83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TO-407 - TRECHO CARRASCO BONITO - ENTR. TO-201 (POVOADO CENTRO DOS FIRMINOS)</v>
      </c>
      <c r="J17" s="85" t="s">
        <v>674</v>
      </c>
      <c r="K17" s="9">
        <f>'REGIÃO 01 - HISTÓRICO'!E17</f>
        <v>98929.18</v>
      </c>
      <c r="L17" s="8" t="str">
        <f>'REGIÃO 01 - HISTÓRICO'!I17</f>
        <v>Concluída</v>
      </c>
      <c r="M17" s="34"/>
    </row>
    <row r="18" spans="2:13" ht="31.2" x14ac:dyDescent="0.3">
      <c r="B18" s="33">
        <f>'REGIÃO 01 - HISTÓRICO'!B18</f>
        <v>15</v>
      </c>
      <c r="C18" s="27" t="s">
        <v>20</v>
      </c>
      <c r="D18" s="27" t="str">
        <f>_xlfn.XLOOKUP(tbResumoR01[[#This Row],[REGIÃO]],tbRegioes[Código Região],tbRegioes[Contrato],"")</f>
        <v>040.2024</v>
      </c>
      <c r="E18" s="26">
        <f>'REGIÃO 01 - HISTÓRICO'!C18</f>
        <v>87</v>
      </c>
      <c r="F18" s="88" t="s">
        <v>60</v>
      </c>
      <c r="G18" s="182" t="str">
        <f>'REGIÃO 01 - HISTÓRICO'!D18</f>
        <v>fev/mar</v>
      </c>
      <c r="H18" s="8">
        <v>28</v>
      </c>
      <c r="I18" s="83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TO-403 - TRECHO SAMPAIO - ENTR. TO-404 (ITAÚBA)</v>
      </c>
      <c r="J18" s="85" t="s">
        <v>674</v>
      </c>
      <c r="K18" s="9">
        <f>'REGIÃO 01 - HISTÓRICO'!E18</f>
        <v>59454.06</v>
      </c>
      <c r="L18" s="8" t="str">
        <f>'REGIÃO 01 - HISTÓRICO'!I18</f>
        <v>Concluída</v>
      </c>
      <c r="M18" s="34"/>
    </row>
    <row r="19" spans="2:13" ht="93.6" x14ac:dyDescent="0.3">
      <c r="B19" s="33">
        <f>'REGIÃO 01 - HISTÓRICO'!B19</f>
        <v>16</v>
      </c>
      <c r="C19" s="27" t="s">
        <v>20</v>
      </c>
      <c r="D19" s="27" t="str">
        <f>_xlfn.XLOOKUP(tbResumoR01[[#This Row],[REGIÃO]],tbRegioes[Código Região],tbRegioes[Contrato],"")</f>
        <v>040.2024</v>
      </c>
      <c r="E19" s="26">
        <f>'REGIÃO 01 - HISTÓRICO'!C19</f>
        <v>88</v>
      </c>
      <c r="F19" s="88" t="s">
        <v>60</v>
      </c>
      <c r="G19" s="182" t="str">
        <f>'REGIÃO 01 - HISTÓRICO'!D19</f>
        <v>fev/mar</v>
      </c>
      <c r="H19" s="8">
        <v>18</v>
      </c>
      <c r="I19" s="83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TO-201 - TRECHO AUGUSTINÓPOLIS - BURITI DO TOCANTINS</v>
      </c>
      <c r="J19" s="85" t="s">
        <v>676</v>
      </c>
      <c r="K19" s="9">
        <f>'REGIÃO 01 - HISTÓRICO'!E19</f>
        <v>70697.67</v>
      </c>
      <c r="L19" s="8" t="str">
        <f>'REGIÃO 01 - HISTÓRICO'!I19</f>
        <v>Concluída</v>
      </c>
      <c r="M19" s="34"/>
    </row>
    <row r="20" spans="2:13" ht="62.4" x14ac:dyDescent="0.3">
      <c r="B20" s="33">
        <f>'REGIÃO 01 - HISTÓRICO'!B20</f>
        <v>17</v>
      </c>
      <c r="C20" s="27" t="s">
        <v>20</v>
      </c>
      <c r="D20" s="27" t="str">
        <f>_xlfn.XLOOKUP(tbResumoR01[[#This Row],[REGIÃO]],tbRegioes[Código Região],tbRegioes[Contrato],"")</f>
        <v>040.2024</v>
      </c>
      <c r="E20" s="26">
        <f>'REGIÃO 01 - HISTÓRICO'!C20</f>
        <v>89</v>
      </c>
      <c r="F20" s="88" t="s">
        <v>60</v>
      </c>
      <c r="G20" s="182" t="str">
        <f>'REGIÃO 01 - HISTÓRICO'!D20</f>
        <v>fev/mar/abr</v>
      </c>
      <c r="H20" s="8">
        <v>31</v>
      </c>
      <c r="I20" s="83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TO-405 - TRECHO AXIXÁ DO TOCANTINS - ENTR. BR-230</v>
      </c>
      <c r="J20" s="85" t="s">
        <v>679</v>
      </c>
      <c r="K20" s="9">
        <f>'REGIÃO 01 - HISTÓRICO'!E20</f>
        <v>1001920.42</v>
      </c>
      <c r="L20" s="8" t="str">
        <f>'REGIÃO 01 - HISTÓRICO'!I20</f>
        <v>Concluída</v>
      </c>
      <c r="M20" s="34"/>
    </row>
    <row r="21" spans="2:13" ht="31.2" x14ac:dyDescent="0.3">
      <c r="B21" s="33">
        <f>'REGIÃO 01 - HISTÓRICO'!B21</f>
        <v>18</v>
      </c>
      <c r="C21" s="27" t="s">
        <v>20</v>
      </c>
      <c r="D21" s="27" t="str">
        <f>_xlfn.XLOOKUP(tbResumoR01[[#This Row],[REGIÃO]],tbRegioes[Código Região],tbRegioes[Contrato],"")</f>
        <v>040.2024</v>
      </c>
      <c r="E21" s="26">
        <f>'REGIÃO 01 - HISTÓRICO'!C21</f>
        <v>90</v>
      </c>
      <c r="F21" s="88" t="s">
        <v>60</v>
      </c>
      <c r="G21" s="182" t="str">
        <f>'REGIÃO 01 - HISTÓRICO'!D21</f>
        <v>fev</v>
      </c>
      <c r="H21" s="8">
        <v>14</v>
      </c>
      <c r="I21" s="83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TO-201 - TRECHO DIV. TO-MA - SÃO MIGUEL DO TOCANTINS</v>
      </c>
      <c r="J21" s="85" t="s">
        <v>25</v>
      </c>
      <c r="K21" s="9">
        <f>'REGIÃO 01 - HISTÓRICO'!E21</f>
        <v>9398.09</v>
      </c>
      <c r="L21" s="8" t="str">
        <f>'REGIÃO 01 - HISTÓRICO'!I21</f>
        <v>Concluída</v>
      </c>
      <c r="M21" s="34"/>
    </row>
    <row r="22" spans="2:13" ht="31.2" x14ac:dyDescent="0.3">
      <c r="B22" s="33">
        <f>'REGIÃO 01 - HISTÓRICO'!B22</f>
        <v>19</v>
      </c>
      <c r="C22" s="27" t="s">
        <v>20</v>
      </c>
      <c r="D22" s="27" t="str">
        <f>_xlfn.XLOOKUP(tbResumoR01[[#This Row],[REGIÃO]],tbRegioes[Código Região],tbRegioes[Contrato],"")</f>
        <v>040.2024</v>
      </c>
      <c r="E22" s="26">
        <f>'REGIÃO 01 - HISTÓRICO'!C22</f>
        <v>91</v>
      </c>
      <c r="F22" s="88" t="s">
        <v>60</v>
      </c>
      <c r="G22" s="182" t="str">
        <f>'REGIÃO 01 - HISTÓRICO'!D22</f>
        <v>fev</v>
      </c>
      <c r="H22" s="8">
        <v>15</v>
      </c>
      <c r="I22" s="83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TO-201 - TRECHO SÃO MIGUEL DO TOCANTINS - SÍTIO NOVO DO TOCANTINS</v>
      </c>
      <c r="J22" s="85" t="s">
        <v>25</v>
      </c>
      <c r="K22" s="9">
        <f>'REGIÃO 01 - HISTÓRICO'!E22</f>
        <v>4299.09</v>
      </c>
      <c r="L22" s="8" t="str">
        <f>'REGIÃO 01 - HISTÓRICO'!I22</f>
        <v>Concluída</v>
      </c>
      <c r="M22" s="34"/>
    </row>
    <row r="23" spans="2:13" ht="62.4" x14ac:dyDescent="0.3">
      <c r="B23" s="33">
        <f>'REGIÃO 01 - HISTÓRICO'!B23</f>
        <v>20</v>
      </c>
      <c r="C23" s="27" t="s">
        <v>20</v>
      </c>
      <c r="D23" s="27" t="str">
        <f>_xlfn.XLOOKUP(tbResumoR01[[#This Row],[REGIÃO]],tbRegioes[Código Região],tbRegioes[Contrato],"")</f>
        <v>040.2024</v>
      </c>
      <c r="E23" s="26">
        <f>'REGIÃO 01 - HISTÓRICO'!C23</f>
        <v>92</v>
      </c>
      <c r="F23" s="88" t="s">
        <v>60</v>
      </c>
      <c r="G23" s="182" t="str">
        <f>'REGIÃO 01 - HISTÓRICO'!D23</f>
        <v>fev/mar</v>
      </c>
      <c r="H23" s="8">
        <v>19</v>
      </c>
      <c r="I23" s="83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TO-201 - TRECHO BURITI DO TOCANTINS - ESPERANTINA</v>
      </c>
      <c r="J23" s="85" t="s">
        <v>680</v>
      </c>
      <c r="K23" s="9">
        <f>'REGIÃO 01 - HISTÓRICO'!E23</f>
        <v>108698.75</v>
      </c>
      <c r="L23" s="8" t="str">
        <f>'REGIÃO 01 - HISTÓRICO'!I23</f>
        <v>Concluída</v>
      </c>
      <c r="M23" s="34"/>
    </row>
    <row r="24" spans="2:13" ht="31.2" x14ac:dyDescent="0.3">
      <c r="B24" s="33">
        <f>'REGIÃO 01 - HISTÓRICO'!B24</f>
        <v>21</v>
      </c>
      <c r="C24" s="27" t="s">
        <v>20</v>
      </c>
      <c r="D24" s="27" t="str">
        <f>_xlfn.XLOOKUP(tbResumoR01[[#This Row],[REGIÃO]],tbRegioes[Código Região],tbRegioes[Contrato],"")</f>
        <v>040.2024</v>
      </c>
      <c r="E24" s="26">
        <f>'REGIÃO 01 - HISTÓRICO'!C24</f>
        <v>93</v>
      </c>
      <c r="F24" s="88" t="s">
        <v>61</v>
      </c>
      <c r="G24" s="182" t="str">
        <f>'REGIÃO 01 - HISTÓRICO'!D24</f>
        <v>mar</v>
      </c>
      <c r="H24" s="8">
        <v>9</v>
      </c>
      <c r="I24" s="83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TO-126 - TRECHO SUMAUMA - SÍTIO NOVO DO TOCANTINS</v>
      </c>
      <c r="J24" s="85" t="s">
        <v>25</v>
      </c>
      <c r="K24" s="9">
        <f>'REGIÃO 01 - HISTÓRICO'!E24</f>
        <v>8499.9599999999991</v>
      </c>
      <c r="L24" s="8" t="str">
        <f>'REGIÃO 01 - HISTÓRICO'!I24</f>
        <v>Concluída</v>
      </c>
      <c r="M24" s="34"/>
    </row>
    <row r="25" spans="2:13" ht="46.8" x14ac:dyDescent="0.3">
      <c r="B25" s="33">
        <f>'REGIÃO 01 - HISTÓRICO'!B25</f>
        <v>22</v>
      </c>
      <c r="C25" s="27" t="s">
        <v>20</v>
      </c>
      <c r="D25" s="27" t="str">
        <f>_xlfn.XLOOKUP(tbResumoR01[[#This Row],[REGIÃO]],tbRegioes[Código Região],tbRegioes[Contrato],"")</f>
        <v>040.2024</v>
      </c>
      <c r="E25" s="26">
        <f>'REGIÃO 01 - HISTÓRICO'!C25</f>
        <v>94</v>
      </c>
      <c r="F25" s="88" t="s">
        <v>62</v>
      </c>
      <c r="G25" s="182" t="str">
        <f>'REGIÃO 01 - HISTÓRICO'!D25</f>
        <v>abr/mai</v>
      </c>
      <c r="H25" s="8">
        <v>1</v>
      </c>
      <c r="I25" s="83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TO-010 - TRECHO ANANÁS - ENTR. BR-230</v>
      </c>
      <c r="J25" s="85" t="s">
        <v>681</v>
      </c>
      <c r="K25" s="9">
        <f>'REGIÃO 01 - HISTÓRICO'!E25</f>
        <v>492080.23</v>
      </c>
      <c r="L25" s="8" t="str">
        <f>'REGIÃO 01 - HISTÓRICO'!I25</f>
        <v>Concluída</v>
      </c>
      <c r="M25" s="34"/>
    </row>
    <row r="26" spans="2:13" x14ac:dyDescent="0.3">
      <c r="B26" s="33">
        <f>'REGIÃO 01 - HISTÓRICO'!B26</f>
        <v>23</v>
      </c>
      <c r="C26" s="27" t="s">
        <v>20</v>
      </c>
      <c r="D26" s="27" t="str">
        <f>_xlfn.XLOOKUP(tbResumoR01[[#This Row],[REGIÃO]],tbRegioes[Código Região],tbRegioes[Contrato],"")</f>
        <v>040.2024</v>
      </c>
      <c r="E26" s="26">
        <f>'REGIÃO 01 - HISTÓRICO'!C26</f>
        <v>95</v>
      </c>
      <c r="F26" s="88" t="s">
        <v>61</v>
      </c>
      <c r="G26" s="182" t="str">
        <f>'REGIÃO 01 - HISTÓRICO'!D26</f>
        <v>mar/abr/mai</v>
      </c>
      <c r="H26" s="8">
        <v>3</v>
      </c>
      <c r="I26" s="83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TO-010 - TRECHO ARAGUATINS - ENTR. TO-201</v>
      </c>
      <c r="J26" s="85" t="s">
        <v>25</v>
      </c>
      <c r="K26" s="9">
        <f>'REGIÃO 01 - HISTÓRICO'!E26</f>
        <v>25088.79</v>
      </c>
      <c r="L26" s="8" t="str">
        <f>'REGIÃO 01 - HISTÓRICO'!I26</f>
        <v>Concluída</v>
      </c>
      <c r="M26" s="34"/>
    </row>
    <row r="27" spans="2:13" ht="31.2" x14ac:dyDescent="0.3">
      <c r="B27" s="33">
        <f>'REGIÃO 01 - HISTÓRICO'!B27</f>
        <v>24</v>
      </c>
      <c r="C27" s="27" t="s">
        <v>20</v>
      </c>
      <c r="D27" s="27" t="str">
        <f>_xlfn.XLOOKUP(tbResumoR01[[#This Row],[REGIÃO]],tbRegioes[Código Região],tbRegioes[Contrato],"")</f>
        <v>040.2024</v>
      </c>
      <c r="E27" s="26">
        <f>'REGIÃO 01 - HISTÓRICO'!C27</f>
        <v>96</v>
      </c>
      <c r="F27" s="88" t="s">
        <v>61</v>
      </c>
      <c r="G27" s="182" t="str">
        <f>'REGIÃO 01 - HISTÓRICO'!D27</f>
        <v>mar/abr/mai</v>
      </c>
      <c r="H27" s="8">
        <v>4</v>
      </c>
      <c r="I27" s="83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TO-010 - TRECHO BURITI DO TOCANTINS (ENTR. TO-201) - SÃO SEBASTIÃO DO TOCANTINS</v>
      </c>
      <c r="J27" s="85" t="s">
        <v>25</v>
      </c>
      <c r="K27" s="9">
        <f>'REGIÃO 01 - HISTÓRICO'!E27</f>
        <v>6244.46</v>
      </c>
      <c r="L27" s="8" t="str">
        <f>'REGIÃO 01 - HISTÓRICO'!I27</f>
        <v>Concluída</v>
      </c>
      <c r="M27" s="34"/>
    </row>
    <row r="28" spans="2:13" ht="31.2" x14ac:dyDescent="0.3">
      <c r="B28" s="33">
        <f>'REGIÃO 01 - HISTÓRICO'!B28</f>
        <v>25</v>
      </c>
      <c r="C28" s="27" t="s">
        <v>20</v>
      </c>
      <c r="D28" s="27" t="str">
        <f>_xlfn.XLOOKUP(tbResumoR01[[#This Row],[REGIÃO]],tbRegioes[Código Região],tbRegioes[Contrato],"")</f>
        <v>040.2024</v>
      </c>
      <c r="E28" s="26">
        <f>'REGIÃO 01 - HISTÓRICO'!C28</f>
        <v>97</v>
      </c>
      <c r="F28" s="88" t="s">
        <v>61</v>
      </c>
      <c r="G28" s="182" t="str">
        <f>'REGIÃO 01 - HISTÓRICO'!D28</f>
        <v>mar/abr</v>
      </c>
      <c r="H28" s="8">
        <v>17</v>
      </c>
      <c r="I28" s="83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TO-201 - TRECHO AXIXÁ DO TOCANTINS - AUGUSTINÓPOLIS</v>
      </c>
      <c r="J28" s="85" t="s">
        <v>25</v>
      </c>
      <c r="K28" s="9">
        <f>'REGIÃO 01 - HISTÓRICO'!E28</f>
        <v>12096.07</v>
      </c>
      <c r="L28" s="8" t="str">
        <f>'REGIÃO 01 - HISTÓRICO'!I28</f>
        <v>Concluída</v>
      </c>
      <c r="M28" s="34"/>
    </row>
    <row r="29" spans="2:13" ht="31.2" x14ac:dyDescent="0.3">
      <c r="B29" s="33">
        <f>'REGIÃO 01 - HISTÓRICO'!B29</f>
        <v>26</v>
      </c>
      <c r="C29" s="27" t="s">
        <v>20</v>
      </c>
      <c r="D29" s="27" t="str">
        <f>_xlfn.XLOOKUP(tbResumoR01[[#This Row],[REGIÃO]],tbRegioes[Código Região],tbRegioes[Contrato],"")</f>
        <v>040.2024</v>
      </c>
      <c r="E29" s="26">
        <f>'REGIÃO 01 - HISTÓRICO'!C29</f>
        <v>98</v>
      </c>
      <c r="F29" s="88" t="s">
        <v>61</v>
      </c>
      <c r="G29" s="182" t="str">
        <f>'REGIÃO 01 - HISTÓRICO'!D29</f>
        <v>mar/abr</v>
      </c>
      <c r="H29" s="8">
        <v>28</v>
      </c>
      <c r="I29" s="83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TO-403 - TRECHO SAMPAIO - ENTR. TO-404 (ITAÚBA)</v>
      </c>
      <c r="J29" s="85" t="s">
        <v>25</v>
      </c>
      <c r="K29" s="9">
        <f>'REGIÃO 01 - HISTÓRICO'!E29</f>
        <v>5467.21</v>
      </c>
      <c r="L29" s="8" t="str">
        <f>'REGIÃO 01 - HISTÓRICO'!I29</f>
        <v>Concluída</v>
      </c>
      <c r="M29" s="34"/>
    </row>
    <row r="30" spans="2:13" ht="46.8" x14ac:dyDescent="0.3">
      <c r="B30" s="33">
        <f>'REGIÃO 01 - HISTÓRICO'!B30</f>
        <v>27</v>
      </c>
      <c r="C30" s="27" t="s">
        <v>20</v>
      </c>
      <c r="D30" s="27" t="str">
        <f>_xlfn.XLOOKUP(tbResumoR01[[#This Row],[REGIÃO]],tbRegioes[Código Região],tbRegioes[Contrato],"")</f>
        <v>040.2024</v>
      </c>
      <c r="E30" s="26">
        <f>'REGIÃO 01 - HISTÓRICO'!C30</f>
        <v>99</v>
      </c>
      <c r="F30" s="88" t="s">
        <v>61</v>
      </c>
      <c r="G30" s="182" t="str">
        <f>'REGIÃO 01 - HISTÓRICO'!D30</f>
        <v>mar/abr</v>
      </c>
      <c r="H30" s="8">
        <v>33</v>
      </c>
      <c r="I30" s="83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TO-409 - TRECHO MAURILÂNDIA - ENTR. TO-134</v>
      </c>
      <c r="J30" s="85" t="s">
        <v>683</v>
      </c>
      <c r="K30" s="9">
        <f>'REGIÃO 01 - HISTÓRICO'!E30</f>
        <v>145484.01999999999</v>
      </c>
      <c r="L30" s="8" t="str">
        <f>'REGIÃO 01 - HISTÓRICO'!I30</f>
        <v>Concluída</v>
      </c>
      <c r="M30" s="34"/>
    </row>
    <row r="31" spans="2:13" ht="62.4" x14ac:dyDescent="0.3">
      <c r="B31" s="33">
        <f>'REGIÃO 01 - HISTÓRICO'!B31</f>
        <v>28</v>
      </c>
      <c r="C31" s="27" t="s">
        <v>20</v>
      </c>
      <c r="D31" s="27" t="str">
        <f>_xlfn.XLOOKUP(tbResumoR01[[#This Row],[REGIÃO]],tbRegioes[Código Região],tbRegioes[Contrato],"")</f>
        <v>040.2024</v>
      </c>
      <c r="E31" s="26">
        <f>'REGIÃO 01 - HISTÓRICO'!C31</f>
        <v>100</v>
      </c>
      <c r="F31" s="88" t="s">
        <v>61</v>
      </c>
      <c r="G31" s="182" t="str">
        <f>'REGIÃO 01 - HISTÓRICO'!D31</f>
        <v>mar/abr</v>
      </c>
      <c r="H31" s="8">
        <v>7</v>
      </c>
      <c r="I31" s="83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TO-126 - TRECHO ITAGUATINS - MAURILÂNDIA DO TOCANTINS</v>
      </c>
      <c r="J31" s="85" t="s">
        <v>684</v>
      </c>
      <c r="K31" s="9">
        <f>'REGIÃO 01 - HISTÓRICO'!E31</f>
        <v>70828.509999999995</v>
      </c>
      <c r="L31" s="8" t="str">
        <f>'REGIÃO 01 - HISTÓRICO'!I31</f>
        <v>Concluída</v>
      </c>
      <c r="M31" s="34"/>
    </row>
    <row r="32" spans="2:13" ht="78" x14ac:dyDescent="0.3">
      <c r="B32" s="33">
        <f>'REGIÃO 01 - HISTÓRICO'!B32</f>
        <v>29</v>
      </c>
      <c r="C32" s="27" t="s">
        <v>20</v>
      </c>
      <c r="D32" s="27" t="str">
        <f>_xlfn.XLOOKUP(tbResumoR01[[#This Row],[REGIÃO]],tbRegioes[Código Região],tbRegioes[Contrato],"")</f>
        <v>040.2024</v>
      </c>
      <c r="E32" s="26">
        <f>'REGIÃO 01 - HISTÓRICO'!C32</f>
        <v>101</v>
      </c>
      <c r="F32" s="88" t="s">
        <v>61</v>
      </c>
      <c r="G32" s="182" t="str">
        <f>'REGIÃO 01 - HISTÓRICO'!D32</f>
        <v>mar/abr</v>
      </c>
      <c r="H32" s="8">
        <v>18</v>
      </c>
      <c r="I32" s="83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TO-201 - TRECHO AUGUSTINÓPOLIS - BURITI DO TOCANTINS</v>
      </c>
      <c r="J32" s="85" t="s">
        <v>685</v>
      </c>
      <c r="K32" s="9">
        <f>'REGIÃO 01 - HISTÓRICO'!E32</f>
        <v>55228.23</v>
      </c>
      <c r="L32" s="8" t="str">
        <f>'REGIÃO 01 - HISTÓRICO'!I32</f>
        <v>Concluída</v>
      </c>
      <c r="M32" s="34"/>
    </row>
    <row r="33" spans="2:13" ht="78" x14ac:dyDescent="0.3">
      <c r="B33" s="33">
        <f>'REGIÃO 01 - HISTÓRICO'!B33</f>
        <v>30</v>
      </c>
      <c r="C33" s="27" t="s">
        <v>20</v>
      </c>
      <c r="D33" s="27" t="str">
        <f>_xlfn.XLOOKUP(tbResumoR01[[#This Row],[REGIÃO]],tbRegioes[Código Região],tbRegioes[Contrato],"")</f>
        <v>040.2024</v>
      </c>
      <c r="E33" s="26">
        <f>'REGIÃO 01 - HISTÓRICO'!C33</f>
        <v>102</v>
      </c>
      <c r="F33" s="88" t="s">
        <v>61</v>
      </c>
      <c r="G33" s="182" t="str">
        <f>'REGIÃO 01 - HISTÓRICO'!D33</f>
        <v>mar/abr/mai</v>
      </c>
      <c r="H33" s="8">
        <v>19</v>
      </c>
      <c r="I33" s="83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TO-201 - TRECHO BURITI DO TOCANTINS - ESPERANTINA</v>
      </c>
      <c r="J33" s="85" t="s">
        <v>685</v>
      </c>
      <c r="K33" s="9">
        <f>'REGIÃO 01 - HISTÓRICO'!E33</f>
        <v>55549.02</v>
      </c>
      <c r="L33" s="8" t="str">
        <f>'REGIÃO 01 - HISTÓRICO'!I33</f>
        <v>Concluída</v>
      </c>
      <c r="M33" s="34"/>
    </row>
    <row r="34" spans="2:13" ht="31.2" x14ac:dyDescent="0.3">
      <c r="B34" s="33">
        <f>'REGIÃO 01 - HISTÓRICO'!B34</f>
        <v>31</v>
      </c>
      <c r="C34" s="27" t="s">
        <v>20</v>
      </c>
      <c r="D34" s="27" t="str">
        <f>_xlfn.XLOOKUP(tbResumoR01[[#This Row],[REGIÃO]],tbRegioes[Código Região],tbRegioes[Contrato],"")</f>
        <v>040.2024</v>
      </c>
      <c r="E34" s="26">
        <f>'REGIÃO 01 - HISTÓRICO'!C34</f>
        <v>103</v>
      </c>
      <c r="F34" s="85" t="s">
        <v>63</v>
      </c>
      <c r="G34" s="182" t="str">
        <f>'REGIÃO 01 - HISTÓRICO'!D34</f>
        <v>mai</v>
      </c>
      <c r="H34" s="8">
        <v>30</v>
      </c>
      <c r="I34" s="83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 xml:space="preserve">RODOVIA TO-404 - TRECHO AUGUSTINÓPOLIS - PRAIA NORTE </v>
      </c>
      <c r="J34" s="85" t="s">
        <v>25</v>
      </c>
      <c r="K34" s="9">
        <f>'REGIÃO 01 - HISTÓRICO'!E34</f>
        <v>7297.5</v>
      </c>
      <c r="L34" s="8" t="str">
        <f>'REGIÃO 01 - HISTÓRICO'!I34</f>
        <v>Concluída</v>
      </c>
      <c r="M34" s="34"/>
    </row>
    <row r="35" spans="2:13" ht="31.2" x14ac:dyDescent="0.3">
      <c r="B35" s="33">
        <f>'REGIÃO 01 - HISTÓRICO'!B35</f>
        <v>32</v>
      </c>
      <c r="C35" s="27" t="s">
        <v>20</v>
      </c>
      <c r="D35" s="27" t="str">
        <f>_xlfn.XLOOKUP(tbResumoR01[[#This Row],[REGIÃO]],tbRegioes[Código Região],tbRegioes[Contrato],"")</f>
        <v>040.2024</v>
      </c>
      <c r="E35" s="26">
        <f>'REGIÃO 01 - HISTÓRICO'!C35</f>
        <v>104</v>
      </c>
      <c r="F35" s="88" t="s">
        <v>61</v>
      </c>
      <c r="G35" s="182" t="str">
        <f>'REGIÃO 01 - HISTÓRICO'!D35</f>
        <v>mar/abr</v>
      </c>
      <c r="H35" s="8">
        <v>32</v>
      </c>
      <c r="I35" s="83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TO-407 - TRECHO CARRASCO BONITO - ENTR. TO-201 (POVOADO CENTRO DOS FIRMINOS)</v>
      </c>
      <c r="J35" s="85" t="s">
        <v>686</v>
      </c>
      <c r="K35" s="9">
        <f>'REGIÃO 01 - HISTÓRICO'!E35</f>
        <v>193563.96</v>
      </c>
      <c r="L35" s="8" t="str">
        <f>'REGIÃO 01 - HISTÓRICO'!I35</f>
        <v>Concluída</v>
      </c>
      <c r="M35" s="34"/>
    </row>
    <row r="36" spans="2:13" ht="31.2" x14ac:dyDescent="0.3">
      <c r="B36" s="31">
        <f>'REGIÃO 01 - HISTÓRICO'!B36</f>
        <v>33</v>
      </c>
      <c r="C36" s="27" t="s">
        <v>20</v>
      </c>
      <c r="D36" s="27" t="str">
        <f>_xlfn.XLOOKUP(tbResumoR01[[#This Row],[REGIÃO]],tbRegioes[Código Região],tbRegioes[Contrato],"")</f>
        <v>040.2024</v>
      </c>
      <c r="E36" s="26">
        <f>'REGIÃO 01 - HISTÓRICO'!C36</f>
        <v>105</v>
      </c>
      <c r="F36" s="88" t="s">
        <v>62</v>
      </c>
      <c r="G36" s="182" t="str">
        <f>'REGIÃO 01 - HISTÓRICO'!D36</f>
        <v>abr/mai</v>
      </c>
      <c r="H36" s="8">
        <v>18</v>
      </c>
      <c r="I36" s="83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TO-201 - TRECHO AUGUSTINÓPOLIS - BURITI DO TOCANTINS</v>
      </c>
      <c r="J36" s="85" t="s">
        <v>692</v>
      </c>
      <c r="K36" s="9">
        <f>'REGIÃO 01 - HISTÓRICO'!E36</f>
        <v>117633.13</v>
      </c>
      <c r="L36" s="8" t="str">
        <f>'REGIÃO 01 - HISTÓRICO'!I36</f>
        <v>Concluída</v>
      </c>
      <c r="M36" s="34"/>
    </row>
    <row r="37" spans="2:13" ht="31.2" x14ac:dyDescent="0.3">
      <c r="B37" s="31">
        <f>'REGIÃO 01 - HISTÓRICO'!B37</f>
        <v>34</v>
      </c>
      <c r="C37" s="27" t="s">
        <v>20</v>
      </c>
      <c r="D37" s="27" t="str">
        <f>_xlfn.XLOOKUP(tbResumoR01[[#This Row],[REGIÃO]],tbRegioes[Código Região],tbRegioes[Contrato],"")</f>
        <v>040.2024</v>
      </c>
      <c r="E37" s="26">
        <f>'REGIÃO 01 - HISTÓRICO'!C37</f>
        <v>106</v>
      </c>
      <c r="F37" s="88" t="s">
        <v>62</v>
      </c>
      <c r="G37" s="182" t="str">
        <f>'REGIÃO 01 - HISTÓRICO'!D37</f>
        <v>abr/mai</v>
      </c>
      <c r="H37" s="8">
        <v>19</v>
      </c>
      <c r="I37" s="83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TO-201 - TRECHO BURITI DO TOCANTINS - ESPERANTINA</v>
      </c>
      <c r="J37" s="85" t="s">
        <v>692</v>
      </c>
      <c r="K37" s="9">
        <f>'REGIÃO 01 - HISTÓRICO'!E37</f>
        <v>78359.03</v>
      </c>
      <c r="L37" s="8" t="str">
        <f>'REGIÃO 01 - HISTÓRICO'!I37</f>
        <v>Concluída</v>
      </c>
      <c r="M37" s="34"/>
    </row>
    <row r="38" spans="2:13" ht="158.4" x14ac:dyDescent="0.3">
      <c r="B38" s="31">
        <f>'REGIÃO 01 - HISTÓRICO'!B38</f>
        <v>35</v>
      </c>
      <c r="C38" s="27" t="s">
        <v>20</v>
      </c>
      <c r="D38" s="27" t="str">
        <f>_xlfn.XLOOKUP(tbResumoR01[[#This Row],[REGIÃO]],tbRegioes[Código Região],tbRegioes[Contrato],"")</f>
        <v>040.2024</v>
      </c>
      <c r="E38" s="26">
        <f>'REGIÃO 01 - HISTÓRICO'!C38</f>
        <v>107</v>
      </c>
      <c r="F38" s="85" t="s">
        <v>63</v>
      </c>
      <c r="G38" s="182" t="str">
        <f>'REGIÃO 01 - HISTÓRICO'!D38</f>
        <v>mai/jun/jul</v>
      </c>
      <c r="H38" s="8">
        <v>22</v>
      </c>
      <c r="I38" s="83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TO-210 - TRECHO ENTR. TO-010 - DIVISA TO-PA (VILA ANTONINA)</v>
      </c>
      <c r="J38" s="85" t="s">
        <v>681</v>
      </c>
      <c r="K38" s="9">
        <f>'REGIÃO 01 - HISTÓRICO'!E38</f>
        <v>75733.13</v>
      </c>
      <c r="L38" s="8" t="str">
        <f>'REGIÃO 01 - HISTÓRICO'!I38</f>
        <v>Cancelada</v>
      </c>
      <c r="M38" s="34" t="s">
        <v>694</v>
      </c>
    </row>
    <row r="39" spans="2:13" ht="46.8" x14ac:dyDescent="0.3">
      <c r="B39" s="31">
        <f>'REGIÃO 01 - HISTÓRICO'!B39</f>
        <v>36</v>
      </c>
      <c r="C39" s="27" t="s">
        <v>20</v>
      </c>
      <c r="D39" s="27" t="str">
        <f>_xlfn.XLOOKUP(tbResumoR01[[#This Row],[REGIÃO]],tbRegioes[Código Região],tbRegioes[Contrato],"")</f>
        <v>040.2024</v>
      </c>
      <c r="E39" s="26">
        <f>'REGIÃO 01 - HISTÓRICO'!C39</f>
        <v>108</v>
      </c>
      <c r="F39" s="88" t="s">
        <v>62</v>
      </c>
      <c r="G39" s="182" t="str">
        <f>'REGIÃO 01 - HISTÓRICO'!D39</f>
        <v>abr/mai/jun</v>
      </c>
      <c r="H39" s="8">
        <v>25</v>
      </c>
      <c r="I39" s="83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TO-210 - TRECHO TOCANTINÓPOLIS - NAZARÉ</v>
      </c>
      <c r="J39" s="85" t="s">
        <v>681</v>
      </c>
      <c r="K39" s="9">
        <f>'REGIÃO 01 - HISTÓRICO'!E39</f>
        <v>484231.65</v>
      </c>
      <c r="L39" s="8" t="str">
        <f>'REGIÃO 01 - HISTÓRICO'!I39</f>
        <v>Concluída</v>
      </c>
      <c r="M39" s="34"/>
    </row>
    <row r="40" spans="2:13" x14ac:dyDescent="0.3">
      <c r="B40" s="31">
        <f>'REGIÃO 01 - HISTÓRICO'!B40</f>
        <v>37</v>
      </c>
      <c r="C40" s="27" t="s">
        <v>20</v>
      </c>
      <c r="D40" s="27" t="str">
        <f>_xlfn.XLOOKUP(tbResumoR01[[#This Row],[REGIÃO]],tbRegioes[Código Região],tbRegioes[Contrato],"")</f>
        <v>040.2024</v>
      </c>
      <c r="E40" s="26">
        <f>'REGIÃO 01 - HISTÓRICO'!C40</f>
        <v>109</v>
      </c>
      <c r="F40" s="88" t="s">
        <v>62</v>
      </c>
      <c r="G40" s="182" t="str">
        <f>'REGIÃO 01 - HISTÓRICO'!D40</f>
        <v>abr/mai</v>
      </c>
      <c r="H40" s="8">
        <v>2</v>
      </c>
      <c r="I40" s="83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TO-010 - TRECHO ENTR. BR-230 - ARAGUATINS</v>
      </c>
      <c r="J40" s="85" t="s">
        <v>693</v>
      </c>
      <c r="K40" s="9">
        <f>'REGIÃO 01 - HISTÓRICO'!E40</f>
        <v>139462.64000000001</v>
      </c>
      <c r="L40" s="8" t="str">
        <f>'REGIÃO 01 - HISTÓRICO'!I40</f>
        <v>Concluída</v>
      </c>
      <c r="M40" s="34"/>
    </row>
    <row r="41" spans="2:13" x14ac:dyDescent="0.3">
      <c r="B41" s="31">
        <f>'REGIÃO 01 - HISTÓRICO'!B41</f>
        <v>38</v>
      </c>
      <c r="C41" s="27" t="s">
        <v>20</v>
      </c>
      <c r="D41" s="27" t="str">
        <f>_xlfn.XLOOKUP(tbResumoR01[[#This Row],[REGIÃO]],tbRegioes[Código Região],tbRegioes[Contrato],"")</f>
        <v>040.2024</v>
      </c>
      <c r="E41" s="26">
        <f>'REGIÃO 01 - HISTÓRICO'!C41</f>
        <v>110</v>
      </c>
      <c r="F41" s="88" t="s">
        <v>62</v>
      </c>
      <c r="G41" s="182" t="str">
        <f>'REGIÃO 01 - HISTÓRICO'!D41</f>
        <v>abr/mai</v>
      </c>
      <c r="H41" s="8">
        <v>274</v>
      </c>
      <c r="I41" s="83" t="s">
        <v>670</v>
      </c>
      <c r="J41" s="85" t="s">
        <v>113</v>
      </c>
      <c r="K41" s="9">
        <f>'REGIÃO 01 - HISTÓRICO'!E41</f>
        <v>72576.039999999994</v>
      </c>
      <c r="L41" s="8" t="str">
        <f>'REGIÃO 01 - HISTÓRICO'!I41</f>
        <v>Concluída</v>
      </c>
      <c r="M41" s="34"/>
    </row>
    <row r="42" spans="2:13" ht="31.2" x14ac:dyDescent="0.3">
      <c r="B42" s="33">
        <f>'REGIÃO 01 - HISTÓRICO'!B42</f>
        <v>39</v>
      </c>
      <c r="C42" s="27" t="s">
        <v>20</v>
      </c>
      <c r="D42" s="27" t="str">
        <f>_xlfn.XLOOKUP(tbResumoR01[[#This Row],[REGIÃO]],tbRegioes[Código Região],tbRegioes[Contrato],"")</f>
        <v>040.2024</v>
      </c>
      <c r="E42" s="26">
        <f>'REGIÃO 01 - HISTÓRICO'!C42</f>
        <v>111</v>
      </c>
      <c r="F42" s="85" t="s">
        <v>63</v>
      </c>
      <c r="G42" s="182" t="str">
        <f>'REGIÃO 01 - HISTÓRICO'!D42</f>
        <v>mai/jun/jul</v>
      </c>
      <c r="H42" s="8">
        <v>4</v>
      </c>
      <c r="I42" s="83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TO-010 - TRECHO BURITI DO TOCANTINS (ENTR. TO-201) - SÃO SEBASTIÃO DO TOCANTINS</v>
      </c>
      <c r="J42" s="85" t="s">
        <v>699</v>
      </c>
      <c r="K42" s="9">
        <f>'REGIÃO 01 - HISTÓRICO'!E42</f>
        <v>41845.29</v>
      </c>
      <c r="L42" s="8" t="str">
        <f>'REGIÃO 01 - HISTÓRICO'!I42</f>
        <v>Cancelada</v>
      </c>
      <c r="M42" s="193" t="s">
        <v>821</v>
      </c>
    </row>
    <row r="43" spans="2:13" ht="31.2" x14ac:dyDescent="0.3">
      <c r="B43" s="33">
        <f>'REGIÃO 01 - HISTÓRICO'!B43</f>
        <v>40</v>
      </c>
      <c r="C43" s="27" t="s">
        <v>20</v>
      </c>
      <c r="D43" s="27" t="str">
        <f>_xlfn.XLOOKUP(tbResumoR01[[#This Row],[REGIÃO]],tbRegioes[Código Região],tbRegioes[Contrato],"")</f>
        <v>040.2024</v>
      </c>
      <c r="E43" s="26">
        <f>'REGIÃO 01 - HISTÓRICO'!C43</f>
        <v>112</v>
      </c>
      <c r="F43" s="85" t="s">
        <v>63</v>
      </c>
      <c r="G43" s="182" t="str">
        <f>'REGIÃO 01 - HISTÓRICO'!D43</f>
        <v>mai/jun</v>
      </c>
      <c r="H43" s="8">
        <v>8</v>
      </c>
      <c r="I43" s="83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 xml:space="preserve">RODOVIA TO-126 - TRECHO SÍTIO NOVO DO TOCANTINS - ITAGUATINS </v>
      </c>
      <c r="J43" s="85" t="s">
        <v>697</v>
      </c>
      <c r="K43" s="9">
        <f>'REGIÃO 01 - HISTÓRICO'!E43</f>
        <v>19855.62</v>
      </c>
      <c r="L43" s="8" t="str">
        <f>'REGIÃO 01 - HISTÓRICO'!I43</f>
        <v>Concluída</v>
      </c>
      <c r="M43" s="34"/>
    </row>
    <row r="44" spans="2:13" ht="31.2" x14ac:dyDescent="0.3">
      <c r="B44" s="33">
        <f>'REGIÃO 01 - HISTÓRICO'!B44</f>
        <v>41</v>
      </c>
      <c r="C44" s="27" t="s">
        <v>20</v>
      </c>
      <c r="D44" s="27" t="str">
        <f>_xlfn.XLOOKUP(tbResumoR01[[#This Row],[REGIÃO]],tbRegioes[Código Região],tbRegioes[Contrato],"")</f>
        <v>040.2024</v>
      </c>
      <c r="E44" s="26">
        <f>'REGIÃO 01 - HISTÓRICO'!C44</f>
        <v>113</v>
      </c>
      <c r="F44" s="85" t="s">
        <v>63</v>
      </c>
      <c r="G44" s="182" t="str">
        <f>'REGIÃO 01 - HISTÓRICO'!D44</f>
        <v>mai/jun/jul</v>
      </c>
      <c r="H44" s="8">
        <v>30</v>
      </c>
      <c r="I44" s="83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 xml:space="preserve">RODOVIA TO-404 - TRECHO AUGUSTINÓPOLIS - PRAIA NORTE </v>
      </c>
      <c r="J44" s="85" t="s">
        <v>699</v>
      </c>
      <c r="K44" s="9">
        <f>'REGIÃO 01 - HISTÓRICO'!E44</f>
        <v>34897.1</v>
      </c>
      <c r="L44" s="8" t="str">
        <f>'REGIÃO 01 - HISTÓRICO'!I44</f>
        <v>Concluída</v>
      </c>
      <c r="M44" s="34"/>
    </row>
    <row r="45" spans="2:13" ht="31.2" x14ac:dyDescent="0.3">
      <c r="B45" s="33">
        <f>'REGIÃO 01 - HISTÓRICO'!B45</f>
        <v>42</v>
      </c>
      <c r="C45" s="27" t="s">
        <v>20</v>
      </c>
      <c r="D45" s="27" t="str">
        <f>_xlfn.XLOOKUP(tbResumoR01[[#This Row],[REGIÃO]],tbRegioes[Código Região],tbRegioes[Contrato],"")</f>
        <v>040.2024</v>
      </c>
      <c r="E45" s="26">
        <f>'REGIÃO 01 - HISTÓRICO'!C45</f>
        <v>114</v>
      </c>
      <c r="F45" s="85" t="s">
        <v>63</v>
      </c>
      <c r="G45" s="182" t="str">
        <f>'REGIÃO 01 - HISTÓRICO'!D45</f>
        <v>mai/jun</v>
      </c>
      <c r="H45" s="8">
        <v>34</v>
      </c>
      <c r="I45" s="83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TO-414 - TRECHO CACHOEIRINHA - ENTR. TO-010 (TAPUIO)</v>
      </c>
      <c r="J45" s="85" t="s">
        <v>700</v>
      </c>
      <c r="K45" s="9">
        <f>'REGIÃO 01 - HISTÓRICO'!E45</f>
        <v>47508.32</v>
      </c>
      <c r="L45" s="8" t="str">
        <f>'REGIÃO 01 - HISTÓRICO'!I45</f>
        <v>Cancelada</v>
      </c>
      <c r="M45" s="34"/>
    </row>
    <row r="46" spans="2:13" ht="31.2" x14ac:dyDescent="0.3">
      <c r="B46" s="33">
        <f>'REGIÃO 01 - HISTÓRICO'!B46</f>
        <v>43</v>
      </c>
      <c r="C46" s="27" t="s">
        <v>20</v>
      </c>
      <c r="D46" s="27" t="str">
        <f>_xlfn.XLOOKUP(tbResumoR01[[#This Row],[REGIÃO]],tbRegioes[Código Região],tbRegioes[Contrato],"")</f>
        <v>040.2024</v>
      </c>
      <c r="E46" s="26">
        <f>'REGIÃO 01 - HISTÓRICO'!C46</f>
        <v>115</v>
      </c>
      <c r="F46" s="85" t="s">
        <v>64</v>
      </c>
      <c r="G46" s="182" t="str">
        <f>'REGIÃO 01 - HISTÓRICO'!D46</f>
        <v>jun/jul</v>
      </c>
      <c r="H46" s="8">
        <v>5</v>
      </c>
      <c r="I46" s="83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TO-126 - TRECHO TOCANTINÓPOLIS - ENTR. BR-230 (AGUIARNÓPOLIS)</v>
      </c>
      <c r="J46" s="85" t="s">
        <v>25</v>
      </c>
      <c r="K46" s="9">
        <f>'REGIÃO 01 - HISTÓRICO'!E46</f>
        <v>21015.919999999998</v>
      </c>
      <c r="L46" s="8" t="str">
        <f>'REGIÃO 01 - HISTÓRICO'!I46</f>
        <v>Cancelada</v>
      </c>
      <c r="M46" s="193" t="s">
        <v>821</v>
      </c>
    </row>
    <row r="47" spans="2:13" ht="145.19999999999999" x14ac:dyDescent="0.3">
      <c r="B47" s="33">
        <f>'REGIÃO 01 - HISTÓRICO'!B47</f>
        <v>44</v>
      </c>
      <c r="C47" s="27" t="s">
        <v>20</v>
      </c>
      <c r="D47" s="27" t="str">
        <f>_xlfn.XLOOKUP(tbResumoR01[[#This Row],[REGIÃO]],tbRegioes[Código Região],tbRegioes[Contrato],"")</f>
        <v>040.2024</v>
      </c>
      <c r="E47" s="26">
        <f>'REGIÃO 01 - HISTÓRICO'!C47</f>
        <v>116</v>
      </c>
      <c r="F47" s="85" t="s">
        <v>63</v>
      </c>
      <c r="G47" s="182" t="str">
        <f>'REGIÃO 01 - HISTÓRICO'!D47</f>
        <v>mai/jun/jul</v>
      </c>
      <c r="H47" s="8">
        <v>28</v>
      </c>
      <c r="I47" s="83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TO-403 - TRECHO SAMPAIO - ENTR. TO-404 (ITAÚBA)</v>
      </c>
      <c r="J47" s="85" t="s">
        <v>699</v>
      </c>
      <c r="K47" s="9">
        <f>'REGIÃO 01 - HISTÓRICO'!E47</f>
        <v>38247.14</v>
      </c>
      <c r="L47" s="8" t="str">
        <f>'REGIÃO 01 - HISTÓRICO'!I47</f>
        <v>Cancelada</v>
      </c>
      <c r="M47" s="34" t="s">
        <v>702</v>
      </c>
    </row>
    <row r="48" spans="2:13" x14ac:dyDescent="0.3">
      <c r="B48" s="33">
        <f>'REGIÃO 01 - HISTÓRICO'!B48</f>
        <v>45</v>
      </c>
      <c r="C48" s="27" t="s">
        <v>20</v>
      </c>
      <c r="D48" s="27" t="str">
        <f>_xlfn.XLOOKUP(tbResumoR01[[#This Row],[REGIÃO]],tbRegioes[Código Região],tbRegioes[Contrato],"")</f>
        <v>040.2024</v>
      </c>
      <c r="E48" s="26">
        <f>'REGIÃO 01 - HISTÓRICO'!C48</f>
        <v>117</v>
      </c>
      <c r="F48" s="85" t="s">
        <v>63</v>
      </c>
      <c r="G48" s="182" t="str">
        <f>'REGIÃO 01 - HISTÓRICO'!D48</f>
        <v>mai/jun/jul</v>
      </c>
      <c r="H48" s="8">
        <v>274</v>
      </c>
      <c r="I48" s="83" t="s">
        <v>670</v>
      </c>
      <c r="J48" s="85" t="s">
        <v>25</v>
      </c>
      <c r="K48" s="9">
        <f>'REGIÃO 01 - HISTÓRICO'!E48</f>
        <v>0</v>
      </c>
      <c r="L48" s="8" t="str">
        <f>'REGIÃO 01 - HISTÓRICO'!I48</f>
        <v>Cancelada</v>
      </c>
      <c r="M48" s="193" t="s">
        <v>821</v>
      </c>
    </row>
    <row r="49" spans="2:13" ht="31.2" x14ac:dyDescent="0.3">
      <c r="B49" s="33">
        <f>'REGIÃO 01 - HISTÓRICO'!B49</f>
        <v>46</v>
      </c>
      <c r="C49" s="27" t="s">
        <v>20</v>
      </c>
      <c r="D49" s="27" t="str">
        <f>_xlfn.XLOOKUP(tbResumoR01[[#This Row],[REGIÃO]],tbRegioes[Código Região],tbRegioes[Contrato],"")</f>
        <v>040.2024</v>
      </c>
      <c r="E49" s="26">
        <f>'REGIÃO 01 - HISTÓRICO'!C49</f>
        <v>118</v>
      </c>
      <c r="F49" s="85" t="s">
        <v>63</v>
      </c>
      <c r="G49" s="182" t="str">
        <f>'REGIÃO 01 - HISTÓRICO'!D49</f>
        <v>mai/jun/jul</v>
      </c>
      <c r="H49" s="8">
        <v>7</v>
      </c>
      <c r="I49" s="83" t="str">
        <f>IF(tbResumoR01[[#This Row],[N° TRECHO]]="","",IFERROR(INDEX('REGIÃO 01 - TRECHOS'!$F$4:$F$119,MATCH(tbResumoR01[[#This Row],[N° TRECHO]],'REGIÃO 01 - TRECHOS'!$E$4:$E$119,0)),IFERROR(INDEX('REGIÃO 02 - TRECHOS'!$F$4:$F$76,MATCH(tbResumoR01[[#This Row],[N° TRECHO]],'REGIÃO 02 - TRECHOS'!$E$4:$E$76,0)),IFERROR(INDEX('REGIÃO 03 - TRECHOS'!$F$4:$F$53,MATCH(tbResumoR01[[#This Row],[N° TRECHO]],'REGIÃO 03 - TRECHOS'!$E$4:$E$53,0)),"Trecho não cadastrado"))))</f>
        <v>RODOVIA TO-126 - TRECHO ITAGUATINS - MAURILÂNDIA DO TOCANTINS</v>
      </c>
      <c r="J49" s="85" t="s">
        <v>25</v>
      </c>
      <c r="K49" s="9">
        <f>'REGIÃO 01 - HISTÓRICO'!E49</f>
        <v>0</v>
      </c>
      <c r="L49" s="8" t="str">
        <f>'REGIÃO 01 - HISTÓRICO'!I49</f>
        <v>Cancelada</v>
      </c>
      <c r="M49" s="193" t="s">
        <v>821</v>
      </c>
    </row>
    <row r="50" spans="2:13" x14ac:dyDescent="0.3">
      <c r="B50" s="33">
        <f>'REGIÃO 01 - HISTÓRICO'!B50</f>
        <v>0</v>
      </c>
      <c r="C50" s="27"/>
      <c r="D50" s="27" t="str">
        <f>_xlfn.XLOOKUP(tbResumoR01[[#This Row],[REGIÃO]],tbRegioes[Código Região],tbRegioes[Contrato],"")</f>
        <v/>
      </c>
      <c r="E50" s="26"/>
      <c r="F50" s="85"/>
      <c r="G50" s="182"/>
      <c r="H50" s="8"/>
      <c r="I50" s="83"/>
      <c r="J50" s="85"/>
      <c r="K50" s="9"/>
      <c r="L50" s="8"/>
      <c r="M50" s="193"/>
    </row>
    <row r="51" spans="2:13" x14ac:dyDescent="0.3">
      <c r="B51" s="33">
        <f>'REGIÃO 01 - HISTÓRICO'!B51</f>
        <v>0</v>
      </c>
      <c r="C51" s="194"/>
      <c r="D51" s="195" t="str">
        <f>_xlfn.XLOOKUP(tbResumoR01[[#This Row],[REGIÃO]],tbRegioes[Código Região],tbRegioes[Contrato],"")</f>
        <v/>
      </c>
      <c r="E51" s="196"/>
      <c r="F51" s="197"/>
      <c r="G51" s="85"/>
      <c r="H51" s="198"/>
      <c r="I51" s="199"/>
      <c r="J51" s="85"/>
      <c r="K51" s="200"/>
      <c r="L51" s="201"/>
      <c r="M51" s="192"/>
    </row>
    <row r="52" spans="2:13" ht="39.6" customHeight="1" x14ac:dyDescent="0.3">
      <c r="B52" s="33">
        <f>'REGIÃO 01 - HISTÓRICO'!B51</f>
        <v>0</v>
      </c>
      <c r="C52" s="27"/>
      <c r="D52" s="27"/>
      <c r="E52" s="26"/>
      <c r="F52" s="85"/>
      <c r="G52" s="182"/>
      <c r="H52" s="8"/>
      <c r="I52" s="83"/>
      <c r="J52" s="85"/>
      <c r="K52" s="9"/>
      <c r="L52" s="8"/>
      <c r="M52" s="193"/>
    </row>
    <row r="53" spans="2:13" x14ac:dyDescent="0.3">
      <c r="B53" s="10"/>
      <c r="C53" s="10"/>
      <c r="D53" s="10"/>
      <c r="E53" s="10"/>
      <c r="F53" s="10"/>
      <c r="G53" s="10"/>
      <c r="H53" s="10"/>
    </row>
    <row r="54" spans="2:13" x14ac:dyDescent="0.3">
      <c r="B54" s="10"/>
      <c r="C54" s="10"/>
      <c r="D54" s="10"/>
      <c r="E54" s="10"/>
      <c r="F54" s="10"/>
      <c r="G54" s="10"/>
      <c r="H54" s="10"/>
    </row>
    <row r="55" spans="2:13" x14ac:dyDescent="0.3">
      <c r="B55" s="10"/>
      <c r="C55" s="10"/>
      <c r="D55" s="10"/>
      <c r="E55" s="10"/>
      <c r="F55" s="10"/>
      <c r="G55" s="10"/>
      <c r="H55" s="10"/>
    </row>
  </sheetData>
  <sheetProtection formatCells="0" formatColumns="0" formatRows="0" insertColumns="0" insertRows="0" insertHyperlinks="0" deleteColumns="0" deleteRows="0" sort="0" autoFilter="0" pivotTables="0"/>
  <mergeCells count="1">
    <mergeCell ref="B2:M2"/>
  </mergeCells>
  <phoneticPr fontId="3" type="noConversion"/>
  <dataValidations count="1">
    <dataValidation allowBlank="1" showInputMessage="1" showErrorMessage="1" sqref="D4:D52" xr:uid="{EA4C498E-E8B6-449B-A623-5B36F7421553}"/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BF2E583-3AC1-41E8-B97F-D57C493CB7A6}">
          <x14:formula1>
            <xm:f>'Tabelas Auxiliares'!$M$4:$M$11</xm:f>
          </x14:formula1>
          <xm:sqref>L4:L52</xm:sqref>
        </x14:dataValidation>
        <x14:dataValidation type="list" allowBlank="1" showInputMessage="1" showErrorMessage="1" xr:uid="{32D97924-8F61-438C-90A8-F13CC85E3030}">
          <x14:formula1>
            <xm:f>'Tabelas Auxiliares'!$B$4:$B$9</xm:f>
          </x14:formula1>
          <xm:sqref>C4:C52</xm:sqref>
        </x14:dataValidation>
        <x14:dataValidation type="list" allowBlank="1" showInputMessage="1" showErrorMessage="1" xr:uid="{CD3F6429-E18C-4362-8B35-2671FB1A58BA}">
          <x14:formula1>
            <xm:f>'Tabelas Auxiliares'!$H$3:$H$81</xm:f>
          </x14:formula1>
          <xm:sqref>J4:J52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6F898-677C-4E3B-A818-DE9F4C75BE57}">
  <sheetPr codeName="Planilha3"/>
  <dimension ref="B2:AG50"/>
  <sheetViews>
    <sheetView zoomScale="85" zoomScaleNormal="85" workbookViewId="0">
      <pane xSplit="9" ySplit="3" topLeftCell="R22" activePane="bottomRight" state="frozen"/>
      <selection pane="topRight" activeCell="J1" sqref="J1"/>
      <selection pane="bottomLeft" activeCell="A4" sqref="A4"/>
      <selection pane="bottomRight" activeCell="E50" sqref="E50"/>
    </sheetView>
  </sheetViews>
  <sheetFormatPr defaultRowHeight="15.6" x14ac:dyDescent="0.3"/>
  <cols>
    <col min="1" max="1" width="3" customWidth="1"/>
    <col min="2" max="2" width="4.19921875" style="10" hidden="1" customWidth="1"/>
    <col min="3" max="3" width="11.69921875" style="10" customWidth="1"/>
    <col min="4" max="4" width="20" style="10" customWidth="1"/>
    <col min="5" max="7" width="22.5" customWidth="1"/>
    <col min="8" max="8" width="10.59765625" customWidth="1"/>
    <col min="9" max="9" width="22.5" style="36" customWidth="1"/>
    <col min="10" max="10" width="15.8984375" style="46" customWidth="1"/>
    <col min="11" max="11" width="14.69921875" style="10" customWidth="1"/>
    <col min="12" max="12" width="15.5" style="46" customWidth="1"/>
    <col min="13" max="13" width="14.796875" style="10" customWidth="1"/>
    <col min="14" max="14" width="15.59765625" customWidth="1"/>
    <col min="15" max="15" width="14.69921875" style="10" customWidth="1"/>
    <col min="16" max="16" width="15.59765625" customWidth="1"/>
    <col min="17" max="17" width="14.69921875" customWidth="1"/>
    <col min="18" max="18" width="15.59765625" customWidth="1"/>
    <col min="19" max="19" width="14.69921875" customWidth="1"/>
    <col min="20" max="20" width="15.59765625" customWidth="1"/>
    <col min="21" max="21" width="14.69921875" customWidth="1"/>
    <col min="22" max="22" width="15.59765625" customWidth="1"/>
    <col min="23" max="23" width="14.69921875" customWidth="1"/>
    <col min="24" max="24" width="15.59765625" customWidth="1"/>
    <col min="25" max="25" width="14.69921875" customWidth="1"/>
    <col min="26" max="26" width="15.59765625" customWidth="1"/>
    <col min="27" max="27" width="14.69921875" customWidth="1"/>
    <col min="28" max="28" width="15.59765625" customWidth="1"/>
    <col min="29" max="29" width="14.69921875" customWidth="1"/>
    <col min="30" max="30" width="15.59765625" customWidth="1"/>
    <col min="31" max="31" width="14.69921875" customWidth="1"/>
    <col min="32" max="32" width="15.59765625" customWidth="1"/>
    <col min="33" max="33" width="14.69921875" customWidth="1"/>
  </cols>
  <sheetData>
    <row r="2" spans="2:33" ht="30.6" customHeight="1" x14ac:dyDescent="0.3">
      <c r="B2" s="218" t="s">
        <v>41</v>
      </c>
      <c r="C2" s="219"/>
      <c r="D2" s="219"/>
      <c r="E2" s="219"/>
      <c r="F2" s="219"/>
      <c r="G2" s="219"/>
      <c r="H2" s="219"/>
      <c r="I2" s="219"/>
      <c r="J2" s="216">
        <v>46023</v>
      </c>
      <c r="K2" s="217"/>
      <c r="L2" s="220">
        <v>46054</v>
      </c>
      <c r="M2" s="221"/>
      <c r="N2" s="222">
        <v>46082</v>
      </c>
      <c r="O2" s="223"/>
      <c r="P2" s="224">
        <v>46113</v>
      </c>
      <c r="Q2" s="225"/>
      <c r="R2" s="216">
        <v>46143</v>
      </c>
      <c r="S2" s="217"/>
      <c r="T2" s="220">
        <v>46174</v>
      </c>
      <c r="U2" s="221"/>
      <c r="V2" s="222">
        <v>46204</v>
      </c>
      <c r="W2" s="223"/>
      <c r="X2" s="224">
        <v>46235</v>
      </c>
      <c r="Y2" s="225"/>
      <c r="Z2" s="216">
        <v>46266</v>
      </c>
      <c r="AA2" s="217"/>
      <c r="AB2" s="220">
        <v>46296</v>
      </c>
      <c r="AC2" s="221"/>
      <c r="AD2" s="222">
        <v>46327</v>
      </c>
      <c r="AE2" s="223"/>
      <c r="AF2" s="224">
        <v>46357</v>
      </c>
      <c r="AG2" s="225"/>
    </row>
    <row r="3" spans="2:33" ht="31.2" x14ac:dyDescent="0.3">
      <c r="B3" s="16" t="s">
        <v>3</v>
      </c>
      <c r="C3" s="16" t="s">
        <v>6</v>
      </c>
      <c r="D3" s="16" t="s">
        <v>40</v>
      </c>
      <c r="E3" s="16" t="s">
        <v>1</v>
      </c>
      <c r="F3" s="16" t="s">
        <v>42</v>
      </c>
      <c r="G3" s="16" t="s">
        <v>43</v>
      </c>
      <c r="H3" s="16" t="s">
        <v>45</v>
      </c>
      <c r="I3" s="50" t="s">
        <v>44</v>
      </c>
      <c r="J3" s="51" t="s">
        <v>39</v>
      </c>
      <c r="K3" s="13" t="s">
        <v>10</v>
      </c>
      <c r="L3" s="11" t="s">
        <v>39</v>
      </c>
      <c r="M3" s="11" t="s">
        <v>10</v>
      </c>
      <c r="N3" s="14" t="s">
        <v>39</v>
      </c>
      <c r="O3" s="14" t="s">
        <v>10</v>
      </c>
      <c r="P3" s="15" t="s">
        <v>39</v>
      </c>
      <c r="Q3" s="15" t="s">
        <v>10</v>
      </c>
      <c r="R3" s="13" t="s">
        <v>39</v>
      </c>
      <c r="S3" s="13" t="s">
        <v>10</v>
      </c>
      <c r="T3" s="11" t="s">
        <v>39</v>
      </c>
      <c r="U3" s="11" t="s">
        <v>10</v>
      </c>
      <c r="V3" s="14" t="s">
        <v>39</v>
      </c>
      <c r="W3" s="14" t="s">
        <v>10</v>
      </c>
      <c r="X3" s="15" t="s">
        <v>39</v>
      </c>
      <c r="Y3" s="15" t="s">
        <v>10</v>
      </c>
      <c r="Z3" s="13" t="s">
        <v>39</v>
      </c>
      <c r="AA3" s="13" t="s">
        <v>10</v>
      </c>
      <c r="AB3" s="11" t="s">
        <v>39</v>
      </c>
      <c r="AC3" s="11" t="s">
        <v>10</v>
      </c>
      <c r="AD3" s="14" t="s">
        <v>39</v>
      </c>
      <c r="AE3" s="14" t="s">
        <v>10</v>
      </c>
      <c r="AF3" s="15" t="s">
        <v>39</v>
      </c>
      <c r="AG3" s="15" t="s">
        <v>10</v>
      </c>
    </row>
    <row r="4" spans="2:33" x14ac:dyDescent="0.3">
      <c r="B4" s="30">
        <f t="shared" ref="B4:B49" si="0">ROW()-ROW($B$3)</f>
        <v>1</v>
      </c>
      <c r="C4" s="86">
        <v>73</v>
      </c>
      <c r="D4" s="12" t="s">
        <v>38</v>
      </c>
      <c r="E4" s="18">
        <v>24585.62</v>
      </c>
      <c r="F4" s="18">
        <f>SUM(J4,L4,N4,P4,R4,T4,V4,X4,Z4,AB4,AD4,AF4)</f>
        <v>0</v>
      </c>
      <c r="G4" s="49">
        <f t="shared" ref="G4:G11" si="1">E4-F4</f>
        <v>24585.62</v>
      </c>
      <c r="H4" s="48">
        <f t="shared" ref="H4:H49" si="2">F4/E4</f>
        <v>0</v>
      </c>
      <c r="I4" s="89" t="str" cm="1">
        <f t="array" ref="I4">IFERROR(LOOKUP(2,1/((MOD(COLUMN($K4:$AG4),2)=1)*($K4:$AG4&lt;&gt;"-")*($K4:$AG4&lt;&gt;"")),$K4:$AG4),"-")</f>
        <v>Cancelada</v>
      </c>
      <c r="J4" s="45">
        <v>0</v>
      </c>
      <c r="K4" s="21" t="s">
        <v>31</v>
      </c>
      <c r="L4" s="45">
        <v>0</v>
      </c>
      <c r="M4" s="21" t="s">
        <v>34</v>
      </c>
      <c r="N4" s="45"/>
      <c r="O4" s="21"/>
      <c r="P4" s="45"/>
      <c r="Q4" s="21"/>
      <c r="R4" s="45"/>
      <c r="S4" s="21"/>
      <c r="T4" s="45"/>
      <c r="U4" s="21"/>
      <c r="V4" s="45"/>
      <c r="W4" s="21"/>
      <c r="X4" s="45"/>
      <c r="Y4" s="21"/>
      <c r="Z4" s="45"/>
      <c r="AA4" s="21"/>
      <c r="AB4" s="45"/>
      <c r="AC4" s="21"/>
      <c r="AD4" s="45"/>
      <c r="AE4" s="21"/>
      <c r="AF4" s="45"/>
      <c r="AG4" s="21"/>
    </row>
    <row r="5" spans="2:33" x14ac:dyDescent="0.3">
      <c r="B5" s="30">
        <f t="shared" si="0"/>
        <v>2</v>
      </c>
      <c r="C5" s="86">
        <v>74</v>
      </c>
      <c r="D5" s="12" t="s">
        <v>38</v>
      </c>
      <c r="E5" s="18">
        <v>5454.88</v>
      </c>
      <c r="F5" s="18">
        <f t="shared" ref="F5:F11" si="3">SUM(J5,L5,N5,P5,R5,T5,V5,X5,Z5,AB5,AD5,AF5)</f>
        <v>0</v>
      </c>
      <c r="G5" s="49">
        <f t="shared" si="1"/>
        <v>5454.88</v>
      </c>
      <c r="H5" s="48">
        <f t="shared" si="2"/>
        <v>0</v>
      </c>
      <c r="I5" s="89" t="str" cm="1">
        <f t="array" ref="I5">IFERROR(LOOKUP(2,1/((MOD(COLUMN($K5:$AG5),2)=1)*($K5:$AG5&lt;&gt;"-")*($K5:$AG5&lt;&gt;"")),$K5:$AG5),"-")</f>
        <v>Cancelada</v>
      </c>
      <c r="J5" s="45">
        <v>0</v>
      </c>
      <c r="K5" s="21" t="s">
        <v>31</v>
      </c>
      <c r="L5" s="45">
        <v>0</v>
      </c>
      <c r="M5" s="21" t="s">
        <v>34</v>
      </c>
      <c r="N5" s="45"/>
      <c r="O5" s="21"/>
      <c r="P5" s="45"/>
      <c r="Q5" s="21"/>
      <c r="R5" s="45"/>
      <c r="S5" s="21"/>
      <c r="T5" s="45"/>
      <c r="U5" s="21"/>
      <c r="V5" s="45"/>
      <c r="W5" s="21"/>
      <c r="X5" s="45"/>
      <c r="Y5" s="21"/>
      <c r="Z5" s="45"/>
      <c r="AA5" s="21"/>
      <c r="AB5" s="45"/>
      <c r="AC5" s="21"/>
      <c r="AD5" s="45"/>
      <c r="AE5" s="21"/>
      <c r="AF5" s="45"/>
      <c r="AG5" s="21"/>
    </row>
    <row r="6" spans="2:33" x14ac:dyDescent="0.3">
      <c r="B6" s="30">
        <f t="shared" si="0"/>
        <v>3</v>
      </c>
      <c r="C6" s="86">
        <v>75</v>
      </c>
      <c r="D6" s="12" t="s">
        <v>38</v>
      </c>
      <c r="E6" s="18">
        <v>106795.11</v>
      </c>
      <c r="F6" s="18">
        <f t="shared" si="3"/>
        <v>104965.86</v>
      </c>
      <c r="G6" s="49">
        <f t="shared" si="1"/>
        <v>1829.25</v>
      </c>
      <c r="H6" s="48">
        <f t="shared" si="2"/>
        <v>0.98287140675261253</v>
      </c>
      <c r="I6" s="89" t="str" cm="1">
        <f t="array" ref="I6">IFERROR(LOOKUP(2,1/((MOD(COLUMN($K6:$AG6),2)=1)*($K6:$AG6&lt;&gt;"-")*($K6:$AG6&lt;&gt;"")),$K6:$AG6),"-")</f>
        <v>Concluída</v>
      </c>
      <c r="J6" s="45">
        <v>0</v>
      </c>
      <c r="K6" s="21" t="s">
        <v>31</v>
      </c>
      <c r="L6" s="45">
        <v>104965.86</v>
      </c>
      <c r="M6" s="21" t="s">
        <v>28</v>
      </c>
      <c r="N6" s="45"/>
      <c r="O6" s="21"/>
      <c r="P6" s="45"/>
      <c r="Q6" s="21"/>
      <c r="R6" s="45"/>
      <c r="S6" s="21"/>
      <c r="T6" s="45"/>
      <c r="U6" s="21"/>
      <c r="V6" s="45"/>
      <c r="W6" s="21"/>
      <c r="X6" s="45"/>
      <c r="Y6" s="21"/>
      <c r="Z6" s="45"/>
      <c r="AA6" s="21"/>
      <c r="AB6" s="45"/>
      <c r="AC6" s="21"/>
      <c r="AD6" s="45"/>
      <c r="AE6" s="21"/>
      <c r="AF6" s="45"/>
      <c r="AG6" s="21"/>
    </row>
    <row r="7" spans="2:33" x14ac:dyDescent="0.3">
      <c r="B7" s="30">
        <f t="shared" si="0"/>
        <v>4</v>
      </c>
      <c r="C7" s="86">
        <v>76</v>
      </c>
      <c r="D7" s="12" t="s">
        <v>38</v>
      </c>
      <c r="E7" s="18">
        <v>258027.71</v>
      </c>
      <c r="F7" s="18">
        <f t="shared" si="3"/>
        <v>168894.34</v>
      </c>
      <c r="G7" s="49">
        <f t="shared" si="1"/>
        <v>89133.37</v>
      </c>
      <c r="H7" s="48">
        <f t="shared" si="2"/>
        <v>0.6545589231482154</v>
      </c>
      <c r="I7" s="89" t="str" cm="1">
        <f t="array" ref="I7">IFERROR(LOOKUP(2,1/((MOD(COLUMN($K7:$AG7),2)=1)*($K7:$AG7&lt;&gt;"-")*($K7:$AG7&lt;&gt;"")),$K7:$AG7),"-")</f>
        <v>Concluída</v>
      </c>
      <c r="J7" s="45">
        <v>168894.34</v>
      </c>
      <c r="K7" s="21" t="s">
        <v>26</v>
      </c>
      <c r="L7" s="45">
        <v>0</v>
      </c>
      <c r="M7" s="21" t="s">
        <v>28</v>
      </c>
      <c r="N7" s="45"/>
      <c r="O7" s="21"/>
      <c r="P7" s="45"/>
      <c r="Q7" s="21"/>
      <c r="R7" s="45"/>
      <c r="S7" s="21"/>
      <c r="T7" s="45"/>
      <c r="U7" s="21"/>
      <c r="V7" s="45"/>
      <c r="W7" s="21"/>
      <c r="X7" s="45"/>
      <c r="Y7" s="21"/>
      <c r="Z7" s="45"/>
      <c r="AA7" s="21"/>
      <c r="AB7" s="45"/>
      <c r="AC7" s="21"/>
      <c r="AD7" s="45"/>
      <c r="AE7" s="21"/>
      <c r="AF7" s="45"/>
      <c r="AG7" s="21"/>
    </row>
    <row r="8" spans="2:33" x14ac:dyDescent="0.3">
      <c r="B8" s="30">
        <f t="shared" si="0"/>
        <v>5</v>
      </c>
      <c r="C8" s="86">
        <v>77</v>
      </c>
      <c r="D8" s="12" t="s">
        <v>38</v>
      </c>
      <c r="E8" s="18">
        <v>23817.42</v>
      </c>
      <c r="F8" s="18">
        <f t="shared" si="3"/>
        <v>15958.57</v>
      </c>
      <c r="G8" s="49">
        <f t="shared" si="1"/>
        <v>7858.8499999999985</v>
      </c>
      <c r="H8" s="48">
        <f t="shared" si="2"/>
        <v>0.6700377286876581</v>
      </c>
      <c r="I8" s="89" t="str" cm="1">
        <f t="array" ref="I8">IFERROR(LOOKUP(2,1/((MOD(COLUMN($K8:$AG8),2)=1)*($K8:$AG8&lt;&gt;"-")*($K8:$AG8&lt;&gt;"")),$K8:$AG8),"-")</f>
        <v>Concluída</v>
      </c>
      <c r="J8" s="45">
        <v>15958.57</v>
      </c>
      <c r="K8" s="21" t="s">
        <v>26</v>
      </c>
      <c r="L8" s="45">
        <v>0</v>
      </c>
      <c r="M8" s="21" t="s">
        <v>28</v>
      </c>
      <c r="N8" s="45"/>
      <c r="O8" s="21"/>
      <c r="P8" s="45"/>
      <c r="Q8" s="21"/>
      <c r="R8" s="45"/>
      <c r="S8" s="21"/>
      <c r="T8" s="45"/>
      <c r="U8" s="21"/>
      <c r="V8" s="45"/>
      <c r="W8" s="21"/>
      <c r="X8" s="45"/>
      <c r="Y8" s="21"/>
      <c r="Z8" s="45"/>
      <c r="AA8" s="21"/>
      <c r="AB8" s="45"/>
      <c r="AC8" s="21"/>
      <c r="AD8" s="45"/>
      <c r="AE8" s="21"/>
      <c r="AF8" s="45"/>
      <c r="AG8" s="21"/>
    </row>
    <row r="9" spans="2:33" x14ac:dyDescent="0.3">
      <c r="B9" s="30">
        <f t="shared" si="0"/>
        <v>6</v>
      </c>
      <c r="C9" s="86">
        <v>78</v>
      </c>
      <c r="D9" s="12" t="s">
        <v>38</v>
      </c>
      <c r="E9" s="18">
        <v>25192.71</v>
      </c>
      <c r="F9" s="18">
        <f t="shared" si="3"/>
        <v>0</v>
      </c>
      <c r="G9" s="49">
        <f t="shared" si="1"/>
        <v>25192.71</v>
      </c>
      <c r="H9" s="48">
        <f t="shared" si="2"/>
        <v>0</v>
      </c>
      <c r="I9" s="89" t="str" cm="1">
        <f t="array" ref="I9">IFERROR(LOOKUP(2,1/((MOD(COLUMN($K9:$AG9),2)=1)*($K9:$AG9&lt;&gt;"-")*($K9:$AG9&lt;&gt;"")),$K9:$AG9),"-")</f>
        <v>Cancelada</v>
      </c>
      <c r="J9" s="45">
        <v>0</v>
      </c>
      <c r="K9" s="21" t="s">
        <v>31</v>
      </c>
      <c r="L9" s="45">
        <v>0</v>
      </c>
      <c r="M9" s="21" t="s">
        <v>34</v>
      </c>
      <c r="N9" s="45"/>
      <c r="O9" s="21"/>
      <c r="P9" s="45"/>
      <c r="Q9" s="21"/>
      <c r="R9" s="45"/>
      <c r="S9" s="21"/>
      <c r="T9" s="45"/>
      <c r="U9" s="21"/>
      <c r="V9" s="45"/>
      <c r="W9" s="21"/>
      <c r="X9" s="45"/>
      <c r="Y9" s="21"/>
      <c r="Z9" s="45"/>
      <c r="AA9" s="21"/>
      <c r="AB9" s="45"/>
      <c r="AC9" s="21"/>
      <c r="AD9" s="45"/>
      <c r="AE9" s="21"/>
      <c r="AF9" s="45"/>
      <c r="AG9" s="21"/>
    </row>
    <row r="10" spans="2:33" x14ac:dyDescent="0.3">
      <c r="B10" s="30">
        <f t="shared" si="0"/>
        <v>7</v>
      </c>
      <c r="C10" s="86">
        <v>79</v>
      </c>
      <c r="D10" s="12" t="s">
        <v>38</v>
      </c>
      <c r="E10" s="18">
        <v>5117.6000000000004</v>
      </c>
      <c r="F10" s="18">
        <f t="shared" si="3"/>
        <v>0</v>
      </c>
      <c r="G10" s="49">
        <f t="shared" si="1"/>
        <v>5117.6000000000004</v>
      </c>
      <c r="H10" s="48">
        <f t="shared" si="2"/>
        <v>0</v>
      </c>
      <c r="I10" s="89" t="str" cm="1">
        <f t="array" ref="I10">IFERROR(LOOKUP(2,1/((MOD(COLUMN($K10:$AG10),2)=1)*($K10:$AG10&lt;&gt;"-")*($K10:$AG10&lt;&gt;"")),$K10:$AG10),"-")</f>
        <v>Cancelada</v>
      </c>
      <c r="J10" s="45">
        <v>0</v>
      </c>
      <c r="K10" s="21" t="s">
        <v>31</v>
      </c>
      <c r="L10" s="45">
        <v>0</v>
      </c>
      <c r="M10" s="21" t="s">
        <v>34</v>
      </c>
      <c r="N10" s="45"/>
      <c r="O10" s="21"/>
      <c r="P10" s="45"/>
      <c r="Q10" s="21"/>
      <c r="R10" s="45"/>
      <c r="S10" s="21"/>
      <c r="T10" s="45"/>
      <c r="U10" s="21"/>
      <c r="V10" s="45"/>
      <c r="W10" s="21"/>
      <c r="X10" s="45"/>
      <c r="Y10" s="21"/>
      <c r="Z10" s="45"/>
      <c r="AA10" s="21"/>
      <c r="AB10" s="45"/>
      <c r="AC10" s="21"/>
      <c r="AD10" s="45"/>
      <c r="AE10" s="21"/>
      <c r="AF10" s="45"/>
      <c r="AG10" s="21"/>
    </row>
    <row r="11" spans="2:33" x14ac:dyDescent="0.3">
      <c r="B11" s="30">
        <f t="shared" si="0"/>
        <v>8</v>
      </c>
      <c r="C11" s="86">
        <v>80</v>
      </c>
      <c r="D11" s="12" t="s">
        <v>38</v>
      </c>
      <c r="E11" s="18">
        <v>7101.51</v>
      </c>
      <c r="F11" s="18">
        <f t="shared" si="3"/>
        <v>0</v>
      </c>
      <c r="G11" s="49">
        <f t="shared" si="1"/>
        <v>7101.51</v>
      </c>
      <c r="H11" s="48">
        <f t="shared" si="2"/>
        <v>0</v>
      </c>
      <c r="I11" s="89" t="str" cm="1">
        <f t="array" ref="I11">IFERROR(LOOKUP(2,1/((MOD(COLUMN($K11:$AG11),2)=1)*($K11:$AG11&lt;&gt;"-")*($K11:$AG11&lt;&gt;"")),$K11:$AG11),"-")</f>
        <v>Cancelada</v>
      </c>
      <c r="J11" s="45">
        <v>0</v>
      </c>
      <c r="K11" s="21" t="s">
        <v>31</v>
      </c>
      <c r="L11" s="45">
        <v>0</v>
      </c>
      <c r="M11" s="21" t="s">
        <v>34</v>
      </c>
      <c r="N11" s="45"/>
      <c r="O11" s="21"/>
      <c r="P11" s="45"/>
      <c r="Q11" s="21"/>
      <c r="R11" s="45"/>
      <c r="S11" s="21"/>
      <c r="T11" s="45"/>
      <c r="U11" s="21"/>
      <c r="V11" s="45"/>
      <c r="W11" s="21"/>
      <c r="X11" s="45"/>
      <c r="Y11" s="21"/>
      <c r="Z11" s="45"/>
      <c r="AA11" s="21"/>
      <c r="AB11" s="45"/>
      <c r="AC11" s="21"/>
      <c r="AD11" s="45"/>
      <c r="AE11" s="21"/>
      <c r="AF11" s="45"/>
      <c r="AG11" s="21"/>
    </row>
    <row r="12" spans="2:33" x14ac:dyDescent="0.3">
      <c r="B12" s="30">
        <f t="shared" si="0"/>
        <v>9</v>
      </c>
      <c r="C12" s="86">
        <v>81</v>
      </c>
      <c r="D12" s="12" t="s">
        <v>38</v>
      </c>
      <c r="E12" s="18">
        <v>4515.03</v>
      </c>
      <c r="F12" s="18">
        <f>SUM(J12,L12,N12,P12,R12,T12,V12,X12,Z12,AB12,AD12,AF12)</f>
        <v>0</v>
      </c>
      <c r="G12" s="49">
        <f>E12-F12</f>
        <v>4515.03</v>
      </c>
      <c r="H12" s="48">
        <f t="shared" si="2"/>
        <v>0</v>
      </c>
      <c r="I12" s="89" t="str" cm="1">
        <f t="array" ref="I12">IFERROR(LOOKUP(2,1/((MOD(COLUMN($K12:$AG12),2)=1)*($K12:$AG12&lt;&gt;"-")*($K12:$AG12&lt;&gt;"")),$K12:$AG12),"-")</f>
        <v>Cancelada</v>
      </c>
      <c r="J12" s="45">
        <v>0</v>
      </c>
      <c r="K12" s="21" t="s">
        <v>31</v>
      </c>
      <c r="L12" s="45">
        <v>0</v>
      </c>
      <c r="M12" s="21" t="s">
        <v>34</v>
      </c>
      <c r="N12" s="45"/>
      <c r="O12" s="21"/>
      <c r="P12" s="45"/>
      <c r="Q12" s="21"/>
      <c r="R12" s="45"/>
      <c r="S12" s="21"/>
      <c r="T12" s="45"/>
      <c r="U12" s="21"/>
      <c r="V12" s="45"/>
      <c r="W12" s="21"/>
      <c r="X12" s="45"/>
      <c r="Y12" s="21"/>
      <c r="Z12" s="45"/>
      <c r="AA12" s="21"/>
      <c r="AB12" s="45"/>
      <c r="AC12" s="21"/>
      <c r="AD12" s="45"/>
      <c r="AE12" s="21"/>
      <c r="AF12" s="45"/>
      <c r="AG12" s="21"/>
    </row>
    <row r="13" spans="2:33" x14ac:dyDescent="0.3">
      <c r="B13" s="30">
        <f t="shared" si="0"/>
        <v>10</v>
      </c>
      <c r="C13" s="86">
        <v>82</v>
      </c>
      <c r="D13" s="12" t="s">
        <v>56</v>
      </c>
      <c r="E13" s="18">
        <v>57882.09</v>
      </c>
      <c r="F13" s="18">
        <f t="shared" ref="F13:F49" si="4">SUM(J13,L13,N13,P13,R13,T13,V13,X13,Z13,AB13,AD13,AF13)</f>
        <v>49614.89</v>
      </c>
      <c r="G13" s="49">
        <f t="shared" ref="G13:G49" si="5">E13-F13</f>
        <v>8267.1999999999971</v>
      </c>
      <c r="H13" s="48">
        <f t="shared" si="2"/>
        <v>0.85717170889993788</v>
      </c>
      <c r="I13" s="89" t="str" cm="1">
        <f t="array" ref="I13">IFERROR(LOOKUP(2,1/((MOD(COLUMN($K13:$AG13),2)=1)*($K13:$AG13&lt;&gt;"-")*($K13:$AG13&lt;&gt;"")),$K13:$AG13),"-")</f>
        <v>Concluída</v>
      </c>
      <c r="J13" s="45"/>
      <c r="K13" s="21"/>
      <c r="L13" s="45">
        <v>49614.89</v>
      </c>
      <c r="M13" s="21" t="s">
        <v>26</v>
      </c>
      <c r="N13" s="45">
        <v>0</v>
      </c>
      <c r="O13" s="21" t="s">
        <v>28</v>
      </c>
      <c r="P13" s="45"/>
      <c r="Q13" s="21"/>
      <c r="R13" s="45"/>
      <c r="S13" s="21"/>
      <c r="T13" s="45"/>
      <c r="U13" s="21"/>
      <c r="V13" s="45"/>
      <c r="W13" s="21"/>
      <c r="X13" s="45"/>
      <c r="Y13" s="21"/>
      <c r="Z13" s="45"/>
      <c r="AA13" s="21"/>
      <c r="AB13" s="45"/>
      <c r="AC13" s="21"/>
      <c r="AD13" s="45"/>
      <c r="AE13" s="21"/>
      <c r="AF13" s="45"/>
      <c r="AG13" s="21"/>
    </row>
    <row r="14" spans="2:33" x14ac:dyDescent="0.3">
      <c r="B14" s="30">
        <f t="shared" si="0"/>
        <v>11</v>
      </c>
      <c r="C14" s="86">
        <v>83</v>
      </c>
      <c r="D14" s="12" t="s">
        <v>56</v>
      </c>
      <c r="E14" s="18">
        <v>63229.36</v>
      </c>
      <c r="F14" s="18">
        <f t="shared" si="4"/>
        <v>63229.36</v>
      </c>
      <c r="G14" s="49">
        <f t="shared" si="5"/>
        <v>0</v>
      </c>
      <c r="H14" s="48">
        <f t="shared" si="2"/>
        <v>1</v>
      </c>
      <c r="I14" s="89" t="str" cm="1">
        <f t="array" ref="I14">IFERROR(LOOKUP(2,1/((MOD(COLUMN($K14:$AG14),2)=1)*($K14:$AG14&lt;&gt;"-")*($K14:$AG14&lt;&gt;"")),$K14:$AG14),"-")</f>
        <v>Concluída</v>
      </c>
      <c r="J14" s="45"/>
      <c r="K14" s="21"/>
      <c r="L14" s="45">
        <v>63229.36</v>
      </c>
      <c r="M14" s="21" t="s">
        <v>26</v>
      </c>
      <c r="N14" s="45">
        <v>0</v>
      </c>
      <c r="O14" s="21" t="s">
        <v>28</v>
      </c>
      <c r="P14" s="45"/>
      <c r="Q14" s="21"/>
      <c r="R14" s="45"/>
      <c r="S14" s="21"/>
      <c r="T14" s="45"/>
      <c r="U14" s="21"/>
      <c r="V14" s="45"/>
      <c r="W14" s="21"/>
      <c r="X14" s="45"/>
      <c r="Y14" s="21"/>
      <c r="Z14" s="45"/>
      <c r="AA14" s="21"/>
      <c r="AB14" s="45"/>
      <c r="AC14" s="21"/>
      <c r="AD14" s="45"/>
      <c r="AE14" s="21"/>
      <c r="AF14" s="45"/>
      <c r="AG14" s="21"/>
    </row>
    <row r="15" spans="2:33" x14ac:dyDescent="0.3">
      <c r="B15" s="30">
        <f t="shared" si="0"/>
        <v>12</v>
      </c>
      <c r="C15" s="86">
        <v>84</v>
      </c>
      <c r="D15" s="12" t="s">
        <v>74</v>
      </c>
      <c r="E15" s="18">
        <v>939704.7</v>
      </c>
      <c r="F15" s="18">
        <f t="shared" si="4"/>
        <v>903829.45</v>
      </c>
      <c r="G15" s="49">
        <f t="shared" si="5"/>
        <v>35875.25</v>
      </c>
      <c r="H15" s="48">
        <f t="shared" si="2"/>
        <v>0.96182284711356658</v>
      </c>
      <c r="I15" s="89" t="str" cm="1">
        <f t="array" ref="I15">IFERROR(LOOKUP(2,1/((MOD(COLUMN($K15:$AG15),2)=1)*($K15:$AG15&lt;&gt;"-")*($K15:$AG15&lt;&gt;"")),$K15:$AG15),"-")</f>
        <v>Concluída</v>
      </c>
      <c r="J15" s="45"/>
      <c r="K15" s="21"/>
      <c r="L15" s="45"/>
      <c r="M15" s="21"/>
      <c r="N15" s="45">
        <v>481213.81</v>
      </c>
      <c r="O15" s="21" t="s">
        <v>26</v>
      </c>
      <c r="P15" s="45">
        <v>422615.64</v>
      </c>
      <c r="Q15" s="21" t="s">
        <v>28</v>
      </c>
      <c r="R15" s="45"/>
      <c r="S15" s="21"/>
      <c r="T15" s="45"/>
      <c r="U15" s="21"/>
      <c r="V15" s="45"/>
      <c r="W15" s="21"/>
      <c r="X15" s="45"/>
      <c r="Y15" s="21"/>
      <c r="Z15" s="45"/>
      <c r="AA15" s="21"/>
      <c r="AB15" s="45"/>
      <c r="AC15" s="21"/>
      <c r="AD15" s="45"/>
      <c r="AE15" s="21"/>
      <c r="AF15" s="45"/>
      <c r="AG15" s="21"/>
    </row>
    <row r="16" spans="2:33" x14ac:dyDescent="0.3">
      <c r="B16" s="30">
        <f t="shared" si="0"/>
        <v>13</v>
      </c>
      <c r="C16" s="86">
        <v>85</v>
      </c>
      <c r="D16" s="12" t="s">
        <v>56</v>
      </c>
      <c r="E16" s="18">
        <v>44604.3</v>
      </c>
      <c r="F16" s="18">
        <f t="shared" si="4"/>
        <v>43144.1</v>
      </c>
      <c r="G16" s="49">
        <f t="shared" si="5"/>
        <v>1460.2000000000044</v>
      </c>
      <c r="H16" s="48">
        <f t="shared" si="2"/>
        <v>0.96726324592023627</v>
      </c>
      <c r="I16" s="89" t="str" cm="1">
        <f t="array" ref="I16">IFERROR(LOOKUP(2,1/((MOD(COLUMN($K16:$AG16),2)=1)*($K16:$AG16&lt;&gt;"-")*($K16:$AG16&lt;&gt;"")),$K16:$AG16),"-")</f>
        <v>Concluída</v>
      </c>
      <c r="J16" s="45"/>
      <c r="K16" s="21"/>
      <c r="L16" s="45">
        <v>43144.1</v>
      </c>
      <c r="M16" s="21" t="s">
        <v>26</v>
      </c>
      <c r="N16" s="45">
        <v>0</v>
      </c>
      <c r="O16" s="21" t="s">
        <v>28</v>
      </c>
      <c r="P16" s="45"/>
      <c r="Q16" s="21"/>
      <c r="R16" s="45"/>
      <c r="S16" s="21"/>
      <c r="T16" s="45"/>
      <c r="U16" s="21"/>
      <c r="V16" s="45"/>
      <c r="W16" s="21"/>
      <c r="X16" s="45"/>
      <c r="Y16" s="21"/>
      <c r="Z16" s="45"/>
      <c r="AA16" s="21"/>
      <c r="AB16" s="45"/>
      <c r="AC16" s="21"/>
      <c r="AD16" s="45"/>
      <c r="AE16" s="21"/>
      <c r="AF16" s="45"/>
      <c r="AG16" s="21"/>
    </row>
    <row r="17" spans="2:33" x14ac:dyDescent="0.3">
      <c r="B17" s="30">
        <f t="shared" si="0"/>
        <v>14</v>
      </c>
      <c r="C17" s="86">
        <v>86</v>
      </c>
      <c r="D17" s="12" t="s">
        <v>56</v>
      </c>
      <c r="E17" s="18">
        <v>98929.18</v>
      </c>
      <c r="F17" s="18">
        <f t="shared" si="4"/>
        <v>98359.9</v>
      </c>
      <c r="G17" s="49">
        <f t="shared" si="5"/>
        <v>569.27999999999884</v>
      </c>
      <c r="H17" s="48">
        <f t="shared" si="2"/>
        <v>0.99424558052538192</v>
      </c>
      <c r="I17" s="89" t="str" cm="1">
        <f t="array" ref="I17">IFERROR(LOOKUP(2,1/((MOD(COLUMN($K17:$AG17),2)=1)*($K17:$AG17&lt;&gt;"-")*($K17:$AG17&lt;&gt;"")),$K17:$AG17),"-")</f>
        <v>Concluída</v>
      </c>
      <c r="J17" s="45"/>
      <c r="K17" s="21"/>
      <c r="L17" s="45">
        <v>98359.9</v>
      </c>
      <c r="M17" s="21" t="s">
        <v>26</v>
      </c>
      <c r="N17" s="45">
        <v>0</v>
      </c>
      <c r="O17" s="21" t="s">
        <v>28</v>
      </c>
      <c r="P17" s="45"/>
      <c r="Q17" s="21"/>
      <c r="R17" s="45"/>
      <c r="S17" s="21"/>
      <c r="T17" s="45"/>
      <c r="U17" s="21"/>
      <c r="V17" s="45"/>
      <c r="W17" s="21"/>
      <c r="X17" s="45"/>
      <c r="Y17" s="21"/>
      <c r="Z17" s="45"/>
      <c r="AA17" s="21"/>
      <c r="AB17" s="45"/>
      <c r="AC17" s="21"/>
      <c r="AD17" s="45"/>
      <c r="AE17" s="21"/>
      <c r="AF17" s="45"/>
      <c r="AG17" s="21"/>
    </row>
    <row r="18" spans="2:33" x14ac:dyDescent="0.3">
      <c r="B18" s="30">
        <f t="shared" si="0"/>
        <v>15</v>
      </c>
      <c r="C18" s="86">
        <v>87</v>
      </c>
      <c r="D18" s="12" t="s">
        <v>56</v>
      </c>
      <c r="E18" s="18">
        <v>59454.06</v>
      </c>
      <c r="F18" s="18">
        <f t="shared" si="4"/>
        <v>59454.06</v>
      </c>
      <c r="G18" s="49">
        <f t="shared" si="5"/>
        <v>0</v>
      </c>
      <c r="H18" s="48">
        <f t="shared" si="2"/>
        <v>1</v>
      </c>
      <c r="I18" s="89" t="str" cm="1">
        <f t="array" ref="I18">IFERROR(LOOKUP(2,1/((MOD(COLUMN($K18:$AG18),2)=1)*($K18:$AG18&lt;&gt;"-")*($K18:$AG18&lt;&gt;"")),$K18:$AG18),"-")</f>
        <v>Concluída</v>
      </c>
      <c r="J18" s="45"/>
      <c r="K18" s="21"/>
      <c r="L18" s="45">
        <v>59454.06</v>
      </c>
      <c r="M18" s="21" t="s">
        <v>26</v>
      </c>
      <c r="N18" s="45">
        <v>0</v>
      </c>
      <c r="O18" s="21" t="s">
        <v>28</v>
      </c>
      <c r="P18" s="45"/>
      <c r="Q18" s="21"/>
      <c r="R18" s="45"/>
      <c r="S18" s="21"/>
      <c r="T18" s="45"/>
      <c r="U18" s="21"/>
      <c r="V18" s="45"/>
      <c r="W18" s="21"/>
      <c r="X18" s="45"/>
      <c r="Y18" s="21"/>
      <c r="Z18" s="45"/>
      <c r="AA18" s="21"/>
      <c r="AB18" s="45"/>
      <c r="AC18" s="21"/>
      <c r="AD18" s="45"/>
      <c r="AE18" s="21"/>
      <c r="AF18" s="45"/>
      <c r="AG18" s="21"/>
    </row>
    <row r="19" spans="2:33" x14ac:dyDescent="0.3">
      <c r="B19" s="30">
        <f t="shared" si="0"/>
        <v>16</v>
      </c>
      <c r="C19" s="86">
        <v>88</v>
      </c>
      <c r="D19" s="12" t="s">
        <v>56</v>
      </c>
      <c r="E19" s="18">
        <v>70697.67</v>
      </c>
      <c r="F19" s="18">
        <f t="shared" si="4"/>
        <v>35271.39</v>
      </c>
      <c r="G19" s="49">
        <f t="shared" si="5"/>
        <v>35426.28</v>
      </c>
      <c r="H19" s="48">
        <f t="shared" si="2"/>
        <v>0.49890456078679823</v>
      </c>
      <c r="I19" s="89" t="str" cm="1">
        <f t="array" ref="I19">IFERROR(LOOKUP(2,1/((MOD(COLUMN($K19:$AG19),2)=1)*($K19:$AG19&lt;&gt;"-")*($K19:$AG19&lt;&gt;"")),$K19:$AG19),"-")</f>
        <v>Concluída</v>
      </c>
      <c r="J19" s="45"/>
      <c r="K19" s="21"/>
      <c r="L19" s="45">
        <v>0</v>
      </c>
      <c r="M19" s="21" t="s">
        <v>31</v>
      </c>
      <c r="N19" s="45">
        <v>35271.39</v>
      </c>
      <c r="O19" s="21" t="s">
        <v>28</v>
      </c>
      <c r="P19" s="45"/>
      <c r="Q19" s="21"/>
      <c r="R19" s="45"/>
      <c r="S19" s="21"/>
      <c r="T19" s="45"/>
      <c r="U19" s="21"/>
      <c r="V19" s="45"/>
      <c r="W19" s="21"/>
      <c r="X19" s="45"/>
      <c r="Y19" s="21"/>
      <c r="Z19" s="45"/>
      <c r="AA19" s="21"/>
      <c r="AB19" s="45"/>
      <c r="AC19" s="21"/>
      <c r="AD19" s="45"/>
      <c r="AE19" s="21"/>
      <c r="AF19" s="45"/>
      <c r="AG19" s="21"/>
    </row>
    <row r="20" spans="2:33" x14ac:dyDescent="0.3">
      <c r="B20" s="30">
        <f t="shared" si="0"/>
        <v>17</v>
      </c>
      <c r="C20" s="86">
        <v>89</v>
      </c>
      <c r="D20" s="12" t="s">
        <v>58</v>
      </c>
      <c r="E20" s="18">
        <v>1001920.42</v>
      </c>
      <c r="F20" s="18">
        <f t="shared" si="4"/>
        <v>909490.52</v>
      </c>
      <c r="G20" s="49">
        <f t="shared" si="5"/>
        <v>92429.900000000023</v>
      </c>
      <c r="H20" s="48">
        <f t="shared" si="2"/>
        <v>0.90774726399927053</v>
      </c>
      <c r="I20" s="89" t="str" cm="1">
        <f t="array" ref="I20">IFERROR(LOOKUP(2,1/((MOD(COLUMN($K20:$AG20),2)=1)*($K20:$AG20&lt;&gt;"-")*($K20:$AG20&lt;&gt;"")),$K20:$AG20),"-")</f>
        <v>Concluída</v>
      </c>
      <c r="J20" s="45"/>
      <c r="K20" s="21"/>
      <c r="L20" s="45">
        <v>682032.87</v>
      </c>
      <c r="M20" s="21" t="s">
        <v>26</v>
      </c>
      <c r="N20" s="45">
        <v>227457.65</v>
      </c>
      <c r="O20" s="21" t="s">
        <v>26</v>
      </c>
      <c r="P20" s="45">
        <v>0</v>
      </c>
      <c r="Q20" s="21" t="s">
        <v>28</v>
      </c>
      <c r="R20" s="45"/>
      <c r="S20" s="21"/>
      <c r="T20" s="45"/>
      <c r="U20" s="21"/>
      <c r="V20" s="45"/>
      <c r="W20" s="21"/>
      <c r="X20" s="45"/>
      <c r="Y20" s="21"/>
      <c r="Z20" s="45"/>
      <c r="AA20" s="21"/>
      <c r="AB20" s="45"/>
      <c r="AC20" s="21"/>
      <c r="AD20" s="45"/>
      <c r="AE20" s="21"/>
      <c r="AF20" s="45"/>
      <c r="AG20" s="21"/>
    </row>
    <row r="21" spans="2:33" x14ac:dyDescent="0.3">
      <c r="B21" s="30">
        <f t="shared" si="0"/>
        <v>18</v>
      </c>
      <c r="C21" s="86">
        <v>90</v>
      </c>
      <c r="D21" s="12" t="s">
        <v>55</v>
      </c>
      <c r="E21" s="18">
        <v>9398.09</v>
      </c>
      <c r="F21" s="18">
        <f t="shared" si="4"/>
        <v>9398.09</v>
      </c>
      <c r="G21" s="49">
        <f t="shared" si="5"/>
        <v>0</v>
      </c>
      <c r="H21" s="48">
        <f t="shared" si="2"/>
        <v>1</v>
      </c>
      <c r="I21" s="89" t="str" cm="1">
        <f t="array" ref="I21">IFERROR(LOOKUP(2,1/((MOD(COLUMN($K21:$AG21),2)=1)*($K21:$AG21&lt;&gt;"-")*($K21:$AG21&lt;&gt;"")),$K21:$AG21),"-")</f>
        <v>Concluída</v>
      </c>
      <c r="J21" s="45"/>
      <c r="K21" s="21"/>
      <c r="L21" s="45">
        <v>9398.09</v>
      </c>
      <c r="M21" s="21" t="s">
        <v>28</v>
      </c>
      <c r="N21" s="45"/>
      <c r="O21" s="21"/>
      <c r="P21" s="45"/>
      <c r="Q21" s="21"/>
      <c r="R21" s="45"/>
      <c r="S21" s="21"/>
      <c r="T21" s="45"/>
      <c r="U21" s="21"/>
      <c r="V21" s="45"/>
      <c r="W21" s="21"/>
      <c r="X21" s="45"/>
      <c r="Y21" s="21"/>
      <c r="Z21" s="45"/>
      <c r="AA21" s="21"/>
      <c r="AB21" s="45"/>
      <c r="AC21" s="21"/>
      <c r="AD21" s="45"/>
      <c r="AE21" s="21"/>
      <c r="AF21" s="45"/>
      <c r="AG21" s="21"/>
    </row>
    <row r="22" spans="2:33" x14ac:dyDescent="0.3">
      <c r="B22" s="30">
        <f t="shared" si="0"/>
        <v>19</v>
      </c>
      <c r="C22" s="86">
        <v>91</v>
      </c>
      <c r="D22" s="12" t="s">
        <v>55</v>
      </c>
      <c r="E22" s="18">
        <v>4299.09</v>
      </c>
      <c r="F22" s="18">
        <f t="shared" si="4"/>
        <v>4299.09</v>
      </c>
      <c r="G22" s="49">
        <f t="shared" si="5"/>
        <v>0</v>
      </c>
      <c r="H22" s="48">
        <f t="shared" si="2"/>
        <v>1</v>
      </c>
      <c r="I22" s="89" t="str" cm="1">
        <f t="array" ref="I22">IFERROR(LOOKUP(2,1/((MOD(COLUMN($K22:$AG22),2)=1)*($K22:$AG22&lt;&gt;"-")*($K22:$AG22&lt;&gt;"")),$K22:$AG22),"-")</f>
        <v>Concluída</v>
      </c>
      <c r="J22" s="45"/>
      <c r="K22" s="21"/>
      <c r="L22" s="45">
        <v>4299.09</v>
      </c>
      <c r="M22" s="21" t="s">
        <v>28</v>
      </c>
      <c r="N22" s="45"/>
      <c r="O22" s="21"/>
      <c r="P22" s="45"/>
      <c r="Q22" s="21"/>
      <c r="R22" s="45"/>
      <c r="S22" s="21"/>
      <c r="T22" s="45"/>
      <c r="U22" s="21"/>
      <c r="V22" s="45"/>
      <c r="W22" s="21"/>
      <c r="X22" s="45"/>
      <c r="Y22" s="21"/>
      <c r="Z22" s="45"/>
      <c r="AA22" s="21"/>
      <c r="AB22" s="45"/>
      <c r="AC22" s="21"/>
      <c r="AD22" s="45"/>
      <c r="AE22" s="21"/>
      <c r="AF22" s="45"/>
      <c r="AG22" s="21"/>
    </row>
    <row r="23" spans="2:33" x14ac:dyDescent="0.3">
      <c r="B23" s="30">
        <f t="shared" si="0"/>
        <v>20</v>
      </c>
      <c r="C23" s="86">
        <v>92</v>
      </c>
      <c r="D23" s="12" t="s">
        <v>56</v>
      </c>
      <c r="E23" s="18">
        <v>108698.75</v>
      </c>
      <c r="F23" s="18">
        <f t="shared" si="4"/>
        <v>106844.37</v>
      </c>
      <c r="G23" s="49">
        <f t="shared" si="5"/>
        <v>1854.3800000000047</v>
      </c>
      <c r="H23" s="48">
        <f t="shared" si="2"/>
        <v>0.98294019020457912</v>
      </c>
      <c r="I23" s="89" t="str" cm="1">
        <f t="array" ref="I23">IFERROR(LOOKUP(2,1/((MOD(COLUMN($K23:$AG23),2)=1)*($K23:$AG23&lt;&gt;"-")*($K23:$AG23&lt;&gt;"")),$K23:$AG23),"-")</f>
        <v>Concluída</v>
      </c>
      <c r="J23" s="45"/>
      <c r="K23" s="21"/>
      <c r="L23" s="45">
        <v>93191.2</v>
      </c>
      <c r="M23" s="21" t="s">
        <v>26</v>
      </c>
      <c r="N23" s="45">
        <v>13653.17</v>
      </c>
      <c r="O23" s="21" t="s">
        <v>28</v>
      </c>
      <c r="P23" s="45"/>
      <c r="Q23" s="21"/>
      <c r="R23" s="45"/>
      <c r="S23" s="21"/>
      <c r="T23" s="45"/>
      <c r="U23" s="21"/>
      <c r="V23" s="45"/>
      <c r="W23" s="21"/>
      <c r="X23" s="45"/>
      <c r="Y23" s="21"/>
      <c r="Z23" s="45"/>
      <c r="AA23" s="21"/>
      <c r="AB23" s="45"/>
      <c r="AC23" s="21"/>
      <c r="AD23" s="45"/>
      <c r="AE23" s="21"/>
      <c r="AF23" s="45"/>
      <c r="AG23" s="21"/>
    </row>
    <row r="24" spans="2:33" x14ac:dyDescent="0.3">
      <c r="B24" s="30">
        <f t="shared" si="0"/>
        <v>21</v>
      </c>
      <c r="C24" s="86">
        <v>93</v>
      </c>
      <c r="D24" s="12" t="s">
        <v>75</v>
      </c>
      <c r="E24" s="18">
        <v>8499.9599999999991</v>
      </c>
      <c r="F24" s="18">
        <f t="shared" si="4"/>
        <v>8439.5300000000007</v>
      </c>
      <c r="G24" s="49">
        <f t="shared" si="5"/>
        <v>60.429999999998472</v>
      </c>
      <c r="H24" s="48">
        <f t="shared" si="2"/>
        <v>0.9928905547790815</v>
      </c>
      <c r="I24" s="89" t="str" cm="1">
        <f t="array" ref="I24">IFERROR(LOOKUP(2,1/((MOD(COLUMN($K24:$AG24),2)=1)*($K24:$AG24&lt;&gt;"-")*($K24:$AG24&lt;&gt;"")),$K24:$AG24),"-")</f>
        <v>Concluída</v>
      </c>
      <c r="J24" s="45"/>
      <c r="K24" s="21"/>
      <c r="L24" s="45"/>
      <c r="M24" s="21"/>
      <c r="N24" s="45">
        <v>8439.5300000000007</v>
      </c>
      <c r="O24" s="21" t="s">
        <v>28</v>
      </c>
      <c r="P24" s="45"/>
      <c r="Q24" s="21"/>
      <c r="R24" s="45"/>
      <c r="S24" s="21"/>
      <c r="T24" s="45"/>
      <c r="U24" s="21"/>
      <c r="V24" s="45"/>
      <c r="W24" s="21"/>
      <c r="X24" s="45"/>
      <c r="Y24" s="21"/>
      <c r="Z24" s="45"/>
      <c r="AA24" s="21"/>
      <c r="AB24" s="45"/>
      <c r="AC24" s="21"/>
      <c r="AD24" s="45"/>
      <c r="AE24" s="21"/>
      <c r="AF24" s="45"/>
      <c r="AG24" s="21"/>
    </row>
    <row r="25" spans="2:33" x14ac:dyDescent="0.3">
      <c r="B25" s="30">
        <f t="shared" si="0"/>
        <v>22</v>
      </c>
      <c r="C25" s="86">
        <v>94</v>
      </c>
      <c r="D25" s="12" t="s">
        <v>76</v>
      </c>
      <c r="E25" s="18">
        <v>492080.23</v>
      </c>
      <c r="F25" s="18">
        <f t="shared" si="4"/>
        <v>467469.99</v>
      </c>
      <c r="G25" s="49">
        <f t="shared" si="5"/>
        <v>24610.239999999991</v>
      </c>
      <c r="H25" s="48">
        <f t="shared" si="2"/>
        <v>0.94998734251119987</v>
      </c>
      <c r="I25" s="89" t="str" cm="1">
        <f t="array" ref="I25">IFERROR(LOOKUP(2,1/((MOD(COLUMN($K25:$AG25),2)=1)*($K25:$AG25&lt;&gt;"-")*($K25:$AG25&lt;&gt;"")),$K25:$AG25),"-")</f>
        <v>Concluída</v>
      </c>
      <c r="J25" s="45"/>
      <c r="K25" s="21"/>
      <c r="L25" s="45"/>
      <c r="M25" s="21"/>
      <c r="N25" s="45"/>
      <c r="O25" s="21"/>
      <c r="P25" s="45">
        <v>467469.99</v>
      </c>
      <c r="Q25" s="21" t="s">
        <v>28</v>
      </c>
      <c r="R25" s="45"/>
      <c r="S25" s="21"/>
      <c r="T25" s="45"/>
      <c r="U25" s="21"/>
      <c r="V25" s="45"/>
      <c r="W25" s="21"/>
      <c r="X25" s="45"/>
      <c r="Y25" s="21"/>
      <c r="Z25" s="45"/>
      <c r="AA25" s="21"/>
      <c r="AB25" s="45"/>
      <c r="AC25" s="21"/>
      <c r="AD25" s="45"/>
      <c r="AE25" s="21"/>
      <c r="AF25" s="45"/>
      <c r="AG25" s="21"/>
    </row>
    <row r="26" spans="2:33" x14ac:dyDescent="0.3">
      <c r="B26" s="30">
        <f t="shared" si="0"/>
        <v>23</v>
      </c>
      <c r="C26" s="86">
        <v>95</v>
      </c>
      <c r="D26" s="12" t="s">
        <v>74</v>
      </c>
      <c r="E26" s="18">
        <v>25088.79</v>
      </c>
      <c r="F26" s="18">
        <f t="shared" si="4"/>
        <v>14796.72</v>
      </c>
      <c r="G26" s="49">
        <f t="shared" si="5"/>
        <v>10292.070000000002</v>
      </c>
      <c r="H26" s="48">
        <f t="shared" si="2"/>
        <v>0.58977415810009171</v>
      </c>
      <c r="I26" s="89" t="str" cm="1">
        <f t="array" ref="I26">IFERROR(LOOKUP(2,1/((MOD(COLUMN($K26:$AG26),2)=1)*($K26:$AG26&lt;&gt;"-")*($K26:$AG26&lt;&gt;"")),$K26:$AG26),"-")</f>
        <v>Concluída</v>
      </c>
      <c r="J26" s="45"/>
      <c r="K26" s="21"/>
      <c r="L26" s="45"/>
      <c r="M26" s="21"/>
      <c r="N26" s="45">
        <v>0</v>
      </c>
      <c r="O26" s="21" t="s">
        <v>31</v>
      </c>
      <c r="P26" s="45">
        <v>0</v>
      </c>
      <c r="Q26" s="21" t="s">
        <v>31</v>
      </c>
      <c r="R26" s="45">
        <v>14796.72</v>
      </c>
      <c r="S26" s="21" t="s">
        <v>28</v>
      </c>
      <c r="T26" s="45"/>
      <c r="U26" s="21"/>
      <c r="V26" s="45"/>
      <c r="W26" s="21"/>
      <c r="X26" s="45"/>
      <c r="Y26" s="21"/>
      <c r="Z26" s="45"/>
      <c r="AA26" s="21"/>
      <c r="AB26" s="45"/>
      <c r="AC26" s="21"/>
      <c r="AD26" s="45"/>
      <c r="AE26" s="21"/>
      <c r="AF26" s="45"/>
      <c r="AG26" s="21"/>
    </row>
    <row r="27" spans="2:33" x14ac:dyDescent="0.3">
      <c r="B27" s="30">
        <f t="shared" si="0"/>
        <v>24</v>
      </c>
      <c r="C27" s="86">
        <v>96</v>
      </c>
      <c r="D27" s="12" t="s">
        <v>74</v>
      </c>
      <c r="E27" s="18">
        <v>6244.46</v>
      </c>
      <c r="F27" s="18">
        <f t="shared" si="4"/>
        <v>5464.15</v>
      </c>
      <c r="G27" s="49">
        <f t="shared" si="5"/>
        <v>780.3100000000004</v>
      </c>
      <c r="H27" s="48">
        <f t="shared" si="2"/>
        <v>0.87503963513258143</v>
      </c>
      <c r="I27" s="89" t="str" cm="1">
        <f t="array" ref="I27">IFERROR(LOOKUP(2,1/((MOD(COLUMN($K27:$AG27),2)=1)*($K27:$AG27&lt;&gt;"-")*($K27:$AG27&lt;&gt;"")),$K27:$AG27),"-")</f>
        <v>Concluída</v>
      </c>
      <c r="J27" s="45"/>
      <c r="K27" s="21"/>
      <c r="L27" s="45"/>
      <c r="M27" s="21"/>
      <c r="N27" s="45">
        <v>0</v>
      </c>
      <c r="O27" s="21" t="s">
        <v>31</v>
      </c>
      <c r="P27" s="45">
        <v>5464.15</v>
      </c>
      <c r="Q27" s="21" t="s">
        <v>28</v>
      </c>
      <c r="R27" s="45"/>
      <c r="S27" s="21"/>
      <c r="T27" s="45"/>
      <c r="U27" s="21"/>
      <c r="V27" s="45"/>
      <c r="W27" s="21"/>
      <c r="X27" s="45"/>
      <c r="Y27" s="21"/>
      <c r="Z27" s="45"/>
      <c r="AA27" s="21"/>
      <c r="AB27" s="45"/>
      <c r="AC27" s="21"/>
      <c r="AD27" s="45"/>
      <c r="AE27" s="21"/>
      <c r="AF27" s="45"/>
      <c r="AG27" s="21"/>
    </row>
    <row r="28" spans="2:33" x14ac:dyDescent="0.3">
      <c r="B28" s="30">
        <f t="shared" si="0"/>
        <v>25</v>
      </c>
      <c r="C28" s="86">
        <v>97</v>
      </c>
      <c r="D28" s="12" t="s">
        <v>57</v>
      </c>
      <c r="E28" s="18">
        <v>12096.07</v>
      </c>
      <c r="F28" s="18">
        <f t="shared" si="4"/>
        <v>10718.44</v>
      </c>
      <c r="G28" s="49">
        <f t="shared" si="5"/>
        <v>1377.6299999999992</v>
      </c>
      <c r="H28" s="48">
        <f t="shared" si="2"/>
        <v>0.88610929004213768</v>
      </c>
      <c r="I28" s="89" t="str" cm="1">
        <f t="array" ref="I28">IFERROR(LOOKUP(2,1/((MOD(COLUMN($K28:$AG28),2)=1)*($K28:$AG28&lt;&gt;"-")*($K28:$AG28&lt;&gt;"")),$K28:$AG28),"-")</f>
        <v>Concluída</v>
      </c>
      <c r="J28" s="45"/>
      <c r="K28" s="21"/>
      <c r="L28" s="45"/>
      <c r="M28" s="21"/>
      <c r="N28" s="45">
        <v>10718.44</v>
      </c>
      <c r="O28" s="21" t="s">
        <v>28</v>
      </c>
      <c r="P28" s="45">
        <v>0</v>
      </c>
      <c r="Q28" s="21" t="s">
        <v>28</v>
      </c>
      <c r="R28" s="45"/>
      <c r="S28" s="21"/>
      <c r="T28" s="45"/>
      <c r="U28" s="21"/>
      <c r="V28" s="45"/>
      <c r="W28" s="21"/>
      <c r="X28" s="45"/>
      <c r="Y28" s="21"/>
      <c r="Z28" s="45"/>
      <c r="AA28" s="21"/>
      <c r="AB28" s="45"/>
      <c r="AC28" s="21"/>
      <c r="AD28" s="45"/>
      <c r="AE28" s="21"/>
      <c r="AF28" s="45"/>
      <c r="AG28" s="21"/>
    </row>
    <row r="29" spans="2:33" x14ac:dyDescent="0.3">
      <c r="B29" s="30">
        <f t="shared" si="0"/>
        <v>26</v>
      </c>
      <c r="C29" s="86">
        <v>98</v>
      </c>
      <c r="D29" s="12" t="s">
        <v>57</v>
      </c>
      <c r="E29" s="18">
        <v>5467.21</v>
      </c>
      <c r="F29" s="18">
        <f t="shared" si="4"/>
        <v>5193.3900000000003</v>
      </c>
      <c r="G29" s="49">
        <f t="shared" si="5"/>
        <v>273.81999999999971</v>
      </c>
      <c r="H29" s="48">
        <f t="shared" si="2"/>
        <v>0.94991595347535585</v>
      </c>
      <c r="I29" s="89" t="str" cm="1">
        <f t="array" ref="I29">IFERROR(LOOKUP(2,1/((MOD(COLUMN($K29:$AG29),2)=1)*($K29:$AG29&lt;&gt;"-")*($K29:$AG29&lt;&gt;"")),$K29:$AG29),"-")</f>
        <v>Concluída</v>
      </c>
      <c r="J29" s="45"/>
      <c r="K29" s="21"/>
      <c r="L29" s="45"/>
      <c r="M29" s="21"/>
      <c r="N29" s="45">
        <v>5193.3900000000003</v>
      </c>
      <c r="O29" s="21" t="s">
        <v>28</v>
      </c>
      <c r="P29" s="45">
        <v>0</v>
      </c>
      <c r="Q29" s="21" t="s">
        <v>28</v>
      </c>
      <c r="R29" s="45"/>
      <c r="S29" s="21"/>
      <c r="T29" s="45"/>
      <c r="U29" s="21"/>
      <c r="V29" s="45"/>
      <c r="W29" s="21"/>
      <c r="X29" s="45"/>
      <c r="Y29" s="21"/>
      <c r="Z29" s="45"/>
      <c r="AA29" s="21"/>
      <c r="AB29" s="45"/>
      <c r="AC29" s="21"/>
      <c r="AD29" s="45"/>
      <c r="AE29" s="21"/>
      <c r="AF29" s="45"/>
      <c r="AG29" s="21"/>
    </row>
    <row r="30" spans="2:33" x14ac:dyDescent="0.3">
      <c r="B30" s="30">
        <f t="shared" si="0"/>
        <v>27</v>
      </c>
      <c r="C30" s="86">
        <v>99</v>
      </c>
      <c r="D30" s="12" t="s">
        <v>57</v>
      </c>
      <c r="E30" s="18">
        <v>145484.01999999999</v>
      </c>
      <c r="F30" s="18">
        <f t="shared" si="4"/>
        <v>117461.84</v>
      </c>
      <c r="G30" s="49">
        <f t="shared" si="5"/>
        <v>28022.179999999993</v>
      </c>
      <c r="H30" s="48">
        <f t="shared" si="2"/>
        <v>0.80738654320935044</v>
      </c>
      <c r="I30" s="89" t="str" cm="1">
        <f t="array" ref="I30">IFERROR(LOOKUP(2,1/((MOD(COLUMN($K30:$AG30),2)=1)*($K30:$AG30&lt;&gt;"-")*($K30:$AG30&lt;&gt;"")),$K30:$AG30),"-")</f>
        <v>Concluída</v>
      </c>
      <c r="J30" s="45"/>
      <c r="K30" s="21"/>
      <c r="L30" s="45"/>
      <c r="M30" s="21"/>
      <c r="N30" s="45">
        <v>117461.84</v>
      </c>
      <c r="O30" s="21" t="s">
        <v>28</v>
      </c>
      <c r="P30" s="45">
        <v>0</v>
      </c>
      <c r="Q30" s="21" t="s">
        <v>28</v>
      </c>
      <c r="R30" s="45"/>
      <c r="S30" s="21"/>
      <c r="T30" s="45"/>
      <c r="U30" s="21"/>
      <c r="V30" s="45"/>
      <c r="W30" s="21"/>
      <c r="X30" s="45"/>
      <c r="Y30" s="21"/>
      <c r="Z30" s="45"/>
      <c r="AA30" s="21"/>
      <c r="AB30" s="45"/>
      <c r="AC30" s="21"/>
      <c r="AD30" s="45"/>
      <c r="AE30" s="21"/>
      <c r="AF30" s="45"/>
      <c r="AG30" s="21"/>
    </row>
    <row r="31" spans="2:33" x14ac:dyDescent="0.3">
      <c r="B31" s="30">
        <f t="shared" si="0"/>
        <v>28</v>
      </c>
      <c r="C31" s="86">
        <v>100</v>
      </c>
      <c r="D31" s="12" t="s">
        <v>57</v>
      </c>
      <c r="E31" s="18">
        <v>70828.509999999995</v>
      </c>
      <c r="F31" s="18">
        <f t="shared" si="4"/>
        <v>70777.89</v>
      </c>
      <c r="G31" s="49">
        <f t="shared" si="5"/>
        <v>50.619999999995343</v>
      </c>
      <c r="H31" s="48">
        <f t="shared" si="2"/>
        <v>0.99928531604010873</v>
      </c>
      <c r="I31" s="89" t="str" cm="1">
        <f t="array" ref="I31">IFERROR(LOOKUP(2,1/((MOD(COLUMN($K31:$AG31),2)=1)*($K31:$AG31&lt;&gt;"-")*($K31:$AG31&lt;&gt;"")),$K31:$AG31),"-")</f>
        <v>Concluída</v>
      </c>
      <c r="J31" s="45"/>
      <c r="K31" s="21"/>
      <c r="L31" s="45"/>
      <c r="M31" s="21"/>
      <c r="N31" s="45">
        <v>0</v>
      </c>
      <c r="O31" s="21" t="s">
        <v>31</v>
      </c>
      <c r="P31" s="45">
        <v>70777.89</v>
      </c>
      <c r="Q31" s="21" t="s">
        <v>28</v>
      </c>
      <c r="R31" s="45"/>
      <c r="S31" s="21"/>
      <c r="T31" s="45"/>
      <c r="U31" s="21"/>
      <c r="V31" s="45"/>
      <c r="W31" s="21"/>
      <c r="X31" s="45"/>
      <c r="Y31" s="21"/>
      <c r="Z31" s="45"/>
      <c r="AA31" s="21"/>
      <c r="AB31" s="45"/>
      <c r="AC31" s="21"/>
      <c r="AD31" s="45"/>
      <c r="AE31" s="21"/>
      <c r="AF31" s="45"/>
      <c r="AG31" s="21"/>
    </row>
    <row r="32" spans="2:33" x14ac:dyDescent="0.3">
      <c r="B32" s="30">
        <f t="shared" si="0"/>
        <v>29</v>
      </c>
      <c r="C32" s="86">
        <v>101</v>
      </c>
      <c r="D32" s="12" t="s">
        <v>57</v>
      </c>
      <c r="E32" s="18">
        <v>55228.23</v>
      </c>
      <c r="F32" s="18">
        <f t="shared" si="4"/>
        <v>48528.78</v>
      </c>
      <c r="G32" s="49">
        <f t="shared" si="5"/>
        <v>6699.4500000000044</v>
      </c>
      <c r="H32" s="48">
        <f t="shared" si="2"/>
        <v>0.87869518903647637</v>
      </c>
      <c r="I32" s="89" t="str" cm="1">
        <f t="array" ref="I32">IFERROR(LOOKUP(2,1/((MOD(COLUMN($K32:$AG32),2)=1)*($K32:$AG32&lt;&gt;"-")*($K32:$AG32&lt;&gt;"")),$K32:$AG32),"-")</f>
        <v>Concluída</v>
      </c>
      <c r="J32" s="45"/>
      <c r="K32" s="21"/>
      <c r="L32" s="45"/>
      <c r="M32" s="21"/>
      <c r="N32" s="45">
        <v>0</v>
      </c>
      <c r="O32" s="21" t="s">
        <v>31</v>
      </c>
      <c r="P32" s="45">
        <v>48528.78</v>
      </c>
      <c r="Q32" s="21" t="s">
        <v>28</v>
      </c>
      <c r="R32" s="45"/>
      <c r="S32" s="21"/>
      <c r="T32" s="45"/>
      <c r="U32" s="21"/>
      <c r="V32" s="45"/>
      <c r="W32" s="21"/>
      <c r="X32" s="45"/>
      <c r="Y32" s="21"/>
      <c r="Z32" s="45"/>
      <c r="AA32" s="21"/>
      <c r="AB32" s="45"/>
      <c r="AC32" s="21"/>
      <c r="AD32" s="45"/>
      <c r="AE32" s="21"/>
      <c r="AF32" s="45"/>
      <c r="AG32" s="21"/>
    </row>
    <row r="33" spans="2:33" x14ac:dyDescent="0.3">
      <c r="B33" s="30">
        <f t="shared" si="0"/>
        <v>30</v>
      </c>
      <c r="C33" s="86">
        <v>102</v>
      </c>
      <c r="D33" s="12" t="s">
        <v>74</v>
      </c>
      <c r="E33" s="18">
        <v>55549.02</v>
      </c>
      <c r="F33" s="18">
        <f t="shared" si="4"/>
        <v>53019.13</v>
      </c>
      <c r="G33" s="49">
        <f t="shared" si="5"/>
        <v>2529.8899999999994</v>
      </c>
      <c r="H33" s="48">
        <f t="shared" si="2"/>
        <v>0.95445662227704464</v>
      </c>
      <c r="I33" s="89" t="str" cm="1">
        <f t="array" ref="I33">IFERROR(LOOKUP(2,1/((MOD(COLUMN($K33:$AG33),2)=1)*($K33:$AG33&lt;&gt;"-")*($K33:$AG33&lt;&gt;"")),$K33:$AG33),"-")</f>
        <v>Concluída</v>
      </c>
      <c r="J33" s="45"/>
      <c r="K33" s="21"/>
      <c r="L33" s="45"/>
      <c r="M33" s="21"/>
      <c r="N33" s="45">
        <v>29548.6</v>
      </c>
      <c r="O33" s="21" t="s">
        <v>26</v>
      </c>
      <c r="P33" s="45">
        <v>23470.53</v>
      </c>
      <c r="Q33" s="21" t="s">
        <v>28</v>
      </c>
      <c r="R33" s="45">
        <v>0</v>
      </c>
      <c r="S33" s="21" t="s">
        <v>28</v>
      </c>
      <c r="T33" s="45"/>
      <c r="U33" s="21"/>
      <c r="V33" s="45"/>
      <c r="W33" s="21"/>
      <c r="X33" s="45"/>
      <c r="Y33" s="21"/>
      <c r="Z33" s="45"/>
      <c r="AA33" s="21"/>
      <c r="AB33" s="45"/>
      <c r="AC33" s="21"/>
      <c r="AD33" s="45"/>
      <c r="AE33" s="21"/>
      <c r="AF33" s="45"/>
      <c r="AG33" s="21"/>
    </row>
    <row r="34" spans="2:33" x14ac:dyDescent="0.3">
      <c r="B34" s="30">
        <f t="shared" si="0"/>
        <v>31</v>
      </c>
      <c r="C34" s="86">
        <v>103</v>
      </c>
      <c r="D34" s="12" t="s">
        <v>78</v>
      </c>
      <c r="E34" s="18">
        <v>7297.5</v>
      </c>
      <c r="F34" s="18">
        <f t="shared" si="4"/>
        <v>6467.5</v>
      </c>
      <c r="G34" s="49">
        <f t="shared" si="5"/>
        <v>830</v>
      </c>
      <c r="H34" s="48">
        <f t="shared" si="2"/>
        <v>0.88626241863651933</v>
      </c>
      <c r="I34" s="89" t="str" cm="1">
        <f t="array" ref="I34">IFERROR(LOOKUP(2,1/((MOD(COLUMN($K34:$AG34),2)=1)*($K34:$AG34&lt;&gt;"-")*($K34:$AG34&lt;&gt;"")),$K34:$AG34),"-")</f>
        <v>Concluída</v>
      </c>
      <c r="J34" s="45"/>
      <c r="K34" s="21"/>
      <c r="L34" s="45"/>
      <c r="M34" s="21"/>
      <c r="N34" s="45"/>
      <c r="O34" s="21"/>
      <c r="P34" s="45"/>
      <c r="Q34" s="21"/>
      <c r="R34" s="45">
        <v>6467.5</v>
      </c>
      <c r="S34" s="21" t="s">
        <v>28</v>
      </c>
      <c r="T34" s="45"/>
      <c r="U34" s="21"/>
      <c r="V34" s="45"/>
      <c r="W34" s="21"/>
      <c r="X34" s="45"/>
      <c r="Y34" s="21"/>
      <c r="Z34" s="45"/>
      <c r="AA34" s="21"/>
      <c r="AB34" s="45"/>
      <c r="AC34" s="21"/>
      <c r="AD34" s="45"/>
      <c r="AE34" s="21"/>
      <c r="AF34" s="45"/>
      <c r="AG34" s="21"/>
    </row>
    <row r="35" spans="2:33" x14ac:dyDescent="0.3">
      <c r="B35" s="30">
        <f t="shared" si="0"/>
        <v>32</v>
      </c>
      <c r="C35" s="86">
        <v>104</v>
      </c>
      <c r="D35" s="12" t="s">
        <v>57</v>
      </c>
      <c r="E35" s="18">
        <v>193563.96</v>
      </c>
      <c r="F35" s="18">
        <f t="shared" si="4"/>
        <v>182660.59000000003</v>
      </c>
      <c r="G35" s="49">
        <f t="shared" si="5"/>
        <v>10903.369999999966</v>
      </c>
      <c r="H35" s="48">
        <f t="shared" si="2"/>
        <v>0.94367045394194271</v>
      </c>
      <c r="I35" s="89" t="str" cm="1">
        <f t="array" ref="I35">IFERROR(LOOKUP(2,1/((MOD(COLUMN($K35:$AG35),2)=1)*($K35:$AG35&lt;&gt;"-")*($K35:$AG35&lt;&gt;"")),$K35:$AG35),"-")</f>
        <v>Concluída</v>
      </c>
      <c r="J35" s="45"/>
      <c r="K35" s="21"/>
      <c r="L35" s="45"/>
      <c r="M35" s="21"/>
      <c r="N35" s="45">
        <v>178748.64</v>
      </c>
      <c r="O35" s="21" t="s">
        <v>26</v>
      </c>
      <c r="P35" s="45">
        <v>3911.95</v>
      </c>
      <c r="Q35" s="21" t="s">
        <v>28</v>
      </c>
      <c r="R35" s="45"/>
      <c r="S35" s="21"/>
      <c r="T35" s="45"/>
      <c r="U35" s="21"/>
      <c r="V35" s="45"/>
      <c r="W35" s="21"/>
      <c r="X35" s="45"/>
      <c r="Y35" s="21"/>
      <c r="Z35" s="45"/>
      <c r="AA35" s="21"/>
      <c r="AB35" s="45"/>
      <c r="AC35" s="21"/>
      <c r="AD35" s="45"/>
      <c r="AE35" s="21"/>
      <c r="AF35" s="45"/>
      <c r="AG35" s="21"/>
    </row>
    <row r="36" spans="2:33" x14ac:dyDescent="0.3">
      <c r="B36" s="30">
        <f t="shared" si="0"/>
        <v>33</v>
      </c>
      <c r="C36" s="86">
        <v>105</v>
      </c>
      <c r="D36" s="12" t="s">
        <v>76</v>
      </c>
      <c r="E36" s="18">
        <v>117633.13</v>
      </c>
      <c r="F36" s="18">
        <f t="shared" si="4"/>
        <v>94147.98000000001</v>
      </c>
      <c r="G36" s="49">
        <f t="shared" si="5"/>
        <v>23485.149999999994</v>
      </c>
      <c r="H36" s="48">
        <f t="shared" si="2"/>
        <v>0.80035258774462603</v>
      </c>
      <c r="I36" s="89" t="str" cm="1">
        <f t="array" ref="I36">IFERROR(LOOKUP(2,1/((MOD(COLUMN($K36:$AG36),2)=1)*($K36:$AG36&lt;&gt;"-")*($K36:$AG36&lt;&gt;"")),$K36:$AG36),"-")</f>
        <v>Concluída</v>
      </c>
      <c r="J36" s="45"/>
      <c r="K36" s="21"/>
      <c r="L36" s="45"/>
      <c r="M36" s="21"/>
      <c r="N36" s="45"/>
      <c r="O36" s="21"/>
      <c r="P36" s="45">
        <v>35759.410000000003</v>
      </c>
      <c r="Q36" s="21" t="s">
        <v>26</v>
      </c>
      <c r="R36" s="45">
        <v>58388.57</v>
      </c>
      <c r="S36" s="21" t="s">
        <v>28</v>
      </c>
      <c r="T36" s="45"/>
      <c r="U36" s="21"/>
      <c r="V36" s="45"/>
      <c r="W36" s="21"/>
      <c r="X36" s="45"/>
      <c r="Y36" s="21"/>
      <c r="Z36" s="45"/>
      <c r="AA36" s="21"/>
      <c r="AB36" s="45"/>
      <c r="AC36" s="21"/>
      <c r="AD36" s="45"/>
      <c r="AE36" s="21"/>
      <c r="AF36" s="45"/>
      <c r="AG36" s="21"/>
    </row>
    <row r="37" spans="2:33" x14ac:dyDescent="0.3">
      <c r="B37" s="30">
        <f t="shared" si="0"/>
        <v>34</v>
      </c>
      <c r="C37" s="86">
        <v>106</v>
      </c>
      <c r="D37" s="12" t="s">
        <v>76</v>
      </c>
      <c r="E37" s="18">
        <v>78359.03</v>
      </c>
      <c r="F37" s="18">
        <f t="shared" si="4"/>
        <v>40247.65</v>
      </c>
      <c r="G37" s="49">
        <f t="shared" si="5"/>
        <v>38111.379999999997</v>
      </c>
      <c r="H37" s="48">
        <f t="shared" si="2"/>
        <v>0.51363129431285715</v>
      </c>
      <c r="I37" s="89" t="str" cm="1">
        <f t="array" ref="I37">IFERROR(LOOKUP(2,1/((MOD(COLUMN($K37:$AG37),2)=1)*($K37:$AG37&lt;&gt;"-")*($K37:$AG37&lt;&gt;"")),$K37:$AG37),"-")</f>
        <v>Concluída</v>
      </c>
      <c r="J37" s="45"/>
      <c r="K37" s="21"/>
      <c r="L37" s="45"/>
      <c r="M37" s="21"/>
      <c r="N37" s="45"/>
      <c r="O37" s="21"/>
      <c r="P37" s="45">
        <v>18399.650000000001</v>
      </c>
      <c r="Q37" s="21" t="s">
        <v>26</v>
      </c>
      <c r="R37" s="45">
        <v>21848</v>
      </c>
      <c r="S37" s="21" t="s">
        <v>28</v>
      </c>
      <c r="T37" s="45"/>
      <c r="U37" s="21"/>
      <c r="V37" s="45"/>
      <c r="W37" s="21"/>
      <c r="X37" s="45"/>
      <c r="Y37" s="21"/>
      <c r="Z37" s="45"/>
      <c r="AA37" s="21"/>
      <c r="AB37" s="45"/>
      <c r="AC37" s="21"/>
      <c r="AD37" s="45"/>
      <c r="AE37" s="21"/>
      <c r="AF37" s="45"/>
      <c r="AG37" s="21"/>
    </row>
    <row r="38" spans="2:33" x14ac:dyDescent="0.3">
      <c r="B38" s="30">
        <f t="shared" si="0"/>
        <v>35</v>
      </c>
      <c r="C38" s="86">
        <v>107</v>
      </c>
      <c r="D38" s="12" t="s">
        <v>695</v>
      </c>
      <c r="E38" s="18">
        <v>75733.13</v>
      </c>
      <c r="F38" s="18">
        <f t="shared" si="4"/>
        <v>0</v>
      </c>
      <c r="G38" s="49">
        <f t="shared" si="5"/>
        <v>75733.13</v>
      </c>
      <c r="H38" s="48">
        <f t="shared" si="2"/>
        <v>0</v>
      </c>
      <c r="I38" s="89" t="str" cm="1">
        <f t="array" ref="I38">IFERROR(LOOKUP(2,1/((MOD(COLUMN($K38:$AG38),2)=1)*($K38:$AG38&lt;&gt;"-")*($K38:$AG38&lt;&gt;"")),$K38:$AG38),"-")</f>
        <v>Cancelada</v>
      </c>
      <c r="J38" s="45"/>
      <c r="K38" s="21"/>
      <c r="L38" s="45"/>
      <c r="M38" s="21"/>
      <c r="N38" s="45"/>
      <c r="O38" s="21"/>
      <c r="P38" s="45"/>
      <c r="Q38" s="21"/>
      <c r="R38" s="45">
        <v>0</v>
      </c>
      <c r="S38" s="21" t="s">
        <v>31</v>
      </c>
      <c r="T38" s="45">
        <v>0</v>
      </c>
      <c r="U38" s="21" t="s">
        <v>34</v>
      </c>
      <c r="V38" s="45"/>
      <c r="W38" s="21"/>
      <c r="X38" s="45"/>
      <c r="Y38" s="21"/>
      <c r="Z38" s="45"/>
      <c r="AA38" s="21"/>
      <c r="AB38" s="45"/>
      <c r="AC38" s="21"/>
      <c r="AD38" s="45"/>
      <c r="AE38" s="21"/>
      <c r="AF38" s="45"/>
      <c r="AG38" s="21"/>
    </row>
    <row r="39" spans="2:33" x14ac:dyDescent="0.3">
      <c r="B39" s="30">
        <f t="shared" si="0"/>
        <v>36</v>
      </c>
      <c r="C39" s="86">
        <v>108</v>
      </c>
      <c r="D39" s="12" t="s">
        <v>696</v>
      </c>
      <c r="E39" s="18">
        <v>484231.65</v>
      </c>
      <c r="F39" s="18">
        <f t="shared" si="4"/>
        <v>483649.18</v>
      </c>
      <c r="G39" s="49">
        <f t="shared" si="5"/>
        <v>582.47000000003027</v>
      </c>
      <c r="H39" s="48">
        <f t="shared" si="2"/>
        <v>0.99879712530149567</v>
      </c>
      <c r="I39" s="89" t="str" cm="1">
        <f t="array" ref="I39">IFERROR(LOOKUP(2,1/((MOD(COLUMN($K39:$AG39),2)=1)*($K39:$AG39&lt;&gt;"-")*($K39:$AG39&lt;&gt;"")),$K39:$AG39),"-")</f>
        <v>Concluída</v>
      </c>
      <c r="J39" s="45"/>
      <c r="K39" s="21"/>
      <c r="L39" s="45"/>
      <c r="M39" s="21"/>
      <c r="N39" s="45"/>
      <c r="O39" s="21"/>
      <c r="P39" s="45">
        <v>246502.97</v>
      </c>
      <c r="Q39" s="21" t="s">
        <v>26</v>
      </c>
      <c r="R39" s="45">
        <v>237146.21</v>
      </c>
      <c r="S39" s="21" t="s">
        <v>28</v>
      </c>
      <c r="T39" s="45"/>
      <c r="U39" s="21"/>
      <c r="V39" s="45"/>
      <c r="W39" s="21"/>
      <c r="X39" s="45"/>
      <c r="Y39" s="21"/>
      <c r="Z39" s="45"/>
      <c r="AA39" s="21"/>
      <c r="AB39" s="45"/>
      <c r="AC39" s="21"/>
      <c r="AD39" s="45"/>
      <c r="AE39" s="21"/>
      <c r="AF39" s="45"/>
      <c r="AG39" s="21"/>
    </row>
    <row r="40" spans="2:33" x14ac:dyDescent="0.3">
      <c r="B40" s="30">
        <f t="shared" si="0"/>
        <v>37</v>
      </c>
      <c r="C40" s="86">
        <v>109</v>
      </c>
      <c r="D40" s="12" t="s">
        <v>76</v>
      </c>
      <c r="E40" s="18">
        <v>139462.64000000001</v>
      </c>
      <c r="F40" s="18">
        <f t="shared" si="4"/>
        <v>138845.1</v>
      </c>
      <c r="G40" s="49">
        <f t="shared" si="5"/>
        <v>617.54000000000815</v>
      </c>
      <c r="H40" s="48">
        <f t="shared" si="2"/>
        <v>0.99557200408654245</v>
      </c>
      <c r="I40" s="89" t="str" cm="1">
        <f t="array" ref="I40">IFERROR(LOOKUP(2,1/((MOD(COLUMN($K40:$AG40),2)=1)*($K40:$AG40&lt;&gt;"-")*($K40:$AG40&lt;&gt;"")),$K40:$AG40),"-")</f>
        <v>Concluída</v>
      </c>
      <c r="J40" s="45"/>
      <c r="K40" s="21"/>
      <c r="L40" s="45"/>
      <c r="M40" s="21"/>
      <c r="N40" s="45"/>
      <c r="O40" s="21"/>
      <c r="P40" s="45">
        <v>138845.1</v>
      </c>
      <c r="Q40" s="21" t="s">
        <v>28</v>
      </c>
      <c r="R40" s="45"/>
      <c r="S40" s="21"/>
      <c r="T40" s="45"/>
      <c r="U40" s="21"/>
      <c r="V40" s="45"/>
      <c r="W40" s="21"/>
      <c r="X40" s="45"/>
      <c r="Y40" s="21"/>
      <c r="Z40" s="45"/>
      <c r="AA40" s="21"/>
      <c r="AB40" s="45"/>
      <c r="AC40" s="21"/>
      <c r="AD40" s="45"/>
      <c r="AE40" s="21"/>
      <c r="AF40" s="45"/>
      <c r="AG40" s="21"/>
    </row>
    <row r="41" spans="2:33" x14ac:dyDescent="0.3">
      <c r="B41" s="30">
        <f t="shared" si="0"/>
        <v>38</v>
      </c>
      <c r="C41" s="86">
        <v>110</v>
      </c>
      <c r="D41" s="12" t="s">
        <v>76</v>
      </c>
      <c r="E41" s="18">
        <v>72576.039999999994</v>
      </c>
      <c r="F41" s="18">
        <f t="shared" si="4"/>
        <v>71588.09</v>
      </c>
      <c r="G41" s="49">
        <f t="shared" si="5"/>
        <v>987.94999999999709</v>
      </c>
      <c r="H41" s="48">
        <f t="shared" si="2"/>
        <v>0.98638738073887755</v>
      </c>
      <c r="I41" s="89" t="str" cm="1">
        <f t="array" ref="I41">IFERROR(LOOKUP(2,1/((MOD(COLUMN($K41:$AG41),2)=1)*($K41:$AG41&lt;&gt;"-")*($K41:$AG41&lt;&gt;"")),$K41:$AG41),"-")</f>
        <v>Concluída</v>
      </c>
      <c r="J41" s="45"/>
      <c r="K41" s="21"/>
      <c r="L41" s="45"/>
      <c r="M41" s="21"/>
      <c r="N41" s="45"/>
      <c r="O41" s="21"/>
      <c r="P41" s="45">
        <v>71588.09</v>
      </c>
      <c r="Q41" s="21" t="s">
        <v>28</v>
      </c>
      <c r="R41" s="45">
        <v>0</v>
      </c>
      <c r="S41" s="21" t="s">
        <v>28</v>
      </c>
      <c r="T41" s="45"/>
      <c r="U41" s="21"/>
      <c r="V41" s="45"/>
      <c r="W41" s="21"/>
      <c r="X41" s="45"/>
      <c r="Y41" s="21"/>
      <c r="Z41" s="45"/>
      <c r="AA41" s="21"/>
      <c r="AB41" s="45"/>
      <c r="AC41" s="21"/>
      <c r="AD41" s="45"/>
      <c r="AE41" s="21"/>
      <c r="AF41" s="45"/>
      <c r="AG41" s="21"/>
    </row>
    <row r="42" spans="2:33" x14ac:dyDescent="0.3">
      <c r="B42" s="30">
        <f t="shared" si="0"/>
        <v>39</v>
      </c>
      <c r="C42" s="86">
        <v>111</v>
      </c>
      <c r="D42" s="12" t="s">
        <v>695</v>
      </c>
      <c r="E42" s="18">
        <v>41845.29</v>
      </c>
      <c r="F42" s="18">
        <f t="shared" si="4"/>
        <v>0</v>
      </c>
      <c r="G42" s="49">
        <f t="shared" si="5"/>
        <v>41845.29</v>
      </c>
      <c r="H42" s="48">
        <f t="shared" si="2"/>
        <v>0</v>
      </c>
      <c r="I42" s="89" t="str" cm="1">
        <f t="array" ref="I42">IFERROR(LOOKUP(2,1/((MOD(COLUMN($K42:$AG42),2)=1)*($K42:$AG42&lt;&gt;"-")*($K42:$AG42&lt;&gt;"")),$K42:$AG42),"-")</f>
        <v>Cancelada</v>
      </c>
      <c r="J42" s="45"/>
      <c r="K42" s="21"/>
      <c r="L42" s="45"/>
      <c r="M42" s="21"/>
      <c r="N42" s="45"/>
      <c r="O42" s="21"/>
      <c r="P42" s="45"/>
      <c r="Q42" s="21"/>
      <c r="R42" s="45">
        <v>0</v>
      </c>
      <c r="S42" s="21" t="s">
        <v>77</v>
      </c>
      <c r="T42" s="45">
        <v>0</v>
      </c>
      <c r="U42" s="21" t="s">
        <v>34</v>
      </c>
      <c r="V42" s="45"/>
      <c r="W42" s="21"/>
      <c r="X42" s="45"/>
      <c r="Y42" s="21"/>
      <c r="Z42" s="45"/>
      <c r="AA42" s="21"/>
      <c r="AB42" s="45"/>
      <c r="AC42" s="21"/>
      <c r="AD42" s="45"/>
      <c r="AE42" s="21"/>
      <c r="AF42" s="45"/>
      <c r="AG42" s="21"/>
    </row>
    <row r="43" spans="2:33" x14ac:dyDescent="0.3">
      <c r="B43" s="30">
        <f t="shared" si="0"/>
        <v>40</v>
      </c>
      <c r="C43" s="86">
        <v>112</v>
      </c>
      <c r="D43" s="12" t="s">
        <v>698</v>
      </c>
      <c r="E43" s="18">
        <v>19855.62</v>
      </c>
      <c r="F43" s="18">
        <f t="shared" si="4"/>
        <v>7081.5</v>
      </c>
      <c r="G43" s="49">
        <f t="shared" si="5"/>
        <v>12774.119999999999</v>
      </c>
      <c r="H43" s="48">
        <f t="shared" si="2"/>
        <v>0.35664965385115149</v>
      </c>
      <c r="I43" s="89" t="str" cm="1">
        <f t="array" ref="I43">IFERROR(LOOKUP(2,1/((MOD(COLUMN($K43:$AG43),2)=1)*($K43:$AG43&lt;&gt;"-")*($K43:$AG43&lt;&gt;"")),$K43:$AG43),"-")</f>
        <v>Concluída</v>
      </c>
      <c r="J43" s="45"/>
      <c r="K43" s="21"/>
      <c r="L43" s="45"/>
      <c r="M43" s="21"/>
      <c r="N43" s="45"/>
      <c r="O43" s="21"/>
      <c r="P43" s="45"/>
      <c r="Q43" s="21"/>
      <c r="R43" s="45">
        <v>7081.5</v>
      </c>
      <c r="S43" s="21" t="s">
        <v>28</v>
      </c>
      <c r="T43" s="45"/>
      <c r="U43" s="21"/>
      <c r="V43" s="45"/>
      <c r="W43" s="21"/>
      <c r="X43" s="45"/>
      <c r="Y43" s="21"/>
      <c r="Z43" s="45"/>
      <c r="AA43" s="21"/>
      <c r="AB43" s="45"/>
      <c r="AC43" s="21"/>
      <c r="AD43" s="45"/>
      <c r="AE43" s="21"/>
      <c r="AF43" s="45"/>
      <c r="AG43" s="21"/>
    </row>
    <row r="44" spans="2:33" x14ac:dyDescent="0.3">
      <c r="B44" s="30">
        <f t="shared" si="0"/>
        <v>41</v>
      </c>
      <c r="C44" s="86">
        <v>113</v>
      </c>
      <c r="D44" s="12" t="s">
        <v>695</v>
      </c>
      <c r="E44" s="18">
        <v>34897.1</v>
      </c>
      <c r="F44" s="18">
        <f t="shared" si="4"/>
        <v>34382.81</v>
      </c>
      <c r="G44" s="49">
        <f t="shared" si="5"/>
        <v>514.29000000000087</v>
      </c>
      <c r="H44" s="48">
        <f t="shared" si="2"/>
        <v>0.98526267225643394</v>
      </c>
      <c r="I44" s="89" t="str" cm="1">
        <f t="array" ref="I44">IFERROR(LOOKUP(2,1/((MOD(COLUMN($K44:$AG44),2)=1)*($K44:$AG44&lt;&gt;"-")*($K44:$AG44&lt;&gt;"")),$K44:$AG44),"-")</f>
        <v>Concluída</v>
      </c>
      <c r="J44" s="45"/>
      <c r="K44" s="21"/>
      <c r="L44" s="45"/>
      <c r="M44" s="21"/>
      <c r="N44" s="45"/>
      <c r="O44" s="21"/>
      <c r="P44" s="45"/>
      <c r="Q44" s="21"/>
      <c r="R44" s="45">
        <v>34382.81</v>
      </c>
      <c r="S44" s="21" t="s">
        <v>28</v>
      </c>
      <c r="T44" s="45"/>
      <c r="U44" s="21"/>
      <c r="V44" s="45"/>
      <c r="W44" s="21"/>
      <c r="X44" s="45"/>
      <c r="Y44" s="21"/>
      <c r="Z44" s="45"/>
      <c r="AA44" s="21"/>
      <c r="AB44" s="45"/>
      <c r="AC44" s="21"/>
      <c r="AD44" s="45"/>
      <c r="AE44" s="21"/>
      <c r="AF44" s="45"/>
      <c r="AG44" s="21"/>
    </row>
    <row r="45" spans="2:33" x14ac:dyDescent="0.3">
      <c r="B45" s="30">
        <f t="shared" si="0"/>
        <v>42</v>
      </c>
      <c r="C45" s="86">
        <v>114</v>
      </c>
      <c r="D45" s="12" t="s">
        <v>698</v>
      </c>
      <c r="E45" s="18">
        <v>47508.32</v>
      </c>
      <c r="F45" s="18">
        <f t="shared" si="4"/>
        <v>0</v>
      </c>
      <c r="G45" s="49">
        <f t="shared" si="5"/>
        <v>47508.32</v>
      </c>
      <c r="H45" s="48">
        <f t="shared" si="2"/>
        <v>0</v>
      </c>
      <c r="I45" s="89" t="str" cm="1">
        <f t="array" ref="I45">IFERROR(LOOKUP(2,1/((MOD(COLUMN($K45:$AG45),2)=1)*($K45:$AG45&lt;&gt;"-")*($K45:$AG45&lt;&gt;"")),$K45:$AG45),"-")</f>
        <v>Cancelada</v>
      </c>
      <c r="J45" s="45"/>
      <c r="K45" s="21"/>
      <c r="L45" s="45"/>
      <c r="M45" s="21"/>
      <c r="N45" s="45"/>
      <c r="O45" s="21"/>
      <c r="P45" s="45"/>
      <c r="Q45" s="21"/>
      <c r="R45" s="45"/>
      <c r="S45" s="21" t="s">
        <v>77</v>
      </c>
      <c r="T45" s="45">
        <v>0</v>
      </c>
      <c r="U45" s="21" t="s">
        <v>34</v>
      </c>
      <c r="V45" s="45"/>
      <c r="W45" s="21"/>
      <c r="X45" s="45"/>
      <c r="Y45" s="21"/>
      <c r="Z45" s="45"/>
      <c r="AA45" s="21"/>
      <c r="AB45" s="45"/>
      <c r="AC45" s="21"/>
      <c r="AD45" s="45"/>
      <c r="AE45" s="21"/>
      <c r="AF45" s="45"/>
      <c r="AG45" s="21"/>
    </row>
    <row r="46" spans="2:33" x14ac:dyDescent="0.3">
      <c r="B46" s="30">
        <f t="shared" si="0"/>
        <v>43</v>
      </c>
      <c r="C46" s="86">
        <v>115</v>
      </c>
      <c r="D46" s="12" t="s">
        <v>701</v>
      </c>
      <c r="E46" s="18">
        <v>21015.919999999998</v>
      </c>
      <c r="F46" s="18">
        <f t="shared" si="4"/>
        <v>0</v>
      </c>
      <c r="G46" s="49">
        <f t="shared" si="5"/>
        <v>21015.919999999998</v>
      </c>
      <c r="H46" s="48">
        <f t="shared" si="2"/>
        <v>0</v>
      </c>
      <c r="I46" s="89" t="str" cm="1">
        <f t="array" ref="I46">IFERROR(LOOKUP(2,1/((MOD(COLUMN($K46:$AG46),2)=1)*($K46:$AG46&lt;&gt;"-")*($K46:$AG46&lt;&gt;"")),$K46:$AG46),"-")</f>
        <v>Cancelada</v>
      </c>
      <c r="J46" s="45"/>
      <c r="K46" s="21"/>
      <c r="L46" s="45"/>
      <c r="M46" s="21"/>
      <c r="N46" s="45"/>
      <c r="O46" s="21"/>
      <c r="P46" s="45"/>
      <c r="Q46" s="21"/>
      <c r="R46" s="45"/>
      <c r="S46" s="21"/>
      <c r="T46" s="45"/>
      <c r="U46" s="21" t="s">
        <v>77</v>
      </c>
      <c r="V46" s="45">
        <v>0</v>
      </c>
      <c r="W46" s="21" t="s">
        <v>34</v>
      </c>
      <c r="X46" s="45"/>
      <c r="Y46" s="21"/>
      <c r="Z46" s="45"/>
      <c r="AA46" s="21"/>
      <c r="AB46" s="45"/>
      <c r="AC46" s="21"/>
      <c r="AD46" s="45"/>
      <c r="AE46" s="21"/>
      <c r="AF46" s="45"/>
      <c r="AG46" s="21"/>
    </row>
    <row r="47" spans="2:33" x14ac:dyDescent="0.3">
      <c r="B47" s="30">
        <f t="shared" si="0"/>
        <v>44</v>
      </c>
      <c r="C47" s="86">
        <v>116</v>
      </c>
      <c r="D47" s="12" t="s">
        <v>695</v>
      </c>
      <c r="E47" s="18">
        <v>38247.14</v>
      </c>
      <c r="F47" s="18">
        <f t="shared" si="4"/>
        <v>0</v>
      </c>
      <c r="G47" s="49">
        <f t="shared" si="5"/>
        <v>38247.14</v>
      </c>
      <c r="H47" s="48">
        <f t="shared" si="2"/>
        <v>0</v>
      </c>
      <c r="I47" s="89" t="str" cm="1">
        <f t="array" ref="I47">IFERROR(LOOKUP(2,1/((MOD(COLUMN($K47:$AG47),2)=1)*($K47:$AG47&lt;&gt;"-")*($K47:$AG47&lt;&gt;"")),$K47:$AG47),"-")</f>
        <v>Cancelada</v>
      </c>
      <c r="J47" s="45"/>
      <c r="K47" s="21"/>
      <c r="L47" s="45"/>
      <c r="M47" s="21"/>
      <c r="N47" s="45"/>
      <c r="O47" s="21"/>
      <c r="P47" s="45"/>
      <c r="Q47" s="21"/>
      <c r="R47" s="45">
        <v>0</v>
      </c>
      <c r="S47" s="21" t="s">
        <v>31</v>
      </c>
      <c r="T47" s="45">
        <v>0</v>
      </c>
      <c r="U47" s="21" t="s">
        <v>34</v>
      </c>
      <c r="V47" s="45"/>
      <c r="W47" s="21"/>
      <c r="X47" s="45"/>
      <c r="Y47" s="21"/>
      <c r="Z47" s="45"/>
      <c r="AA47" s="21"/>
      <c r="AB47" s="45"/>
      <c r="AC47" s="21"/>
      <c r="AD47" s="45"/>
      <c r="AE47" s="21"/>
      <c r="AF47" s="45"/>
      <c r="AG47" s="21"/>
    </row>
    <row r="48" spans="2:33" x14ac:dyDescent="0.3">
      <c r="B48" s="30">
        <f t="shared" si="0"/>
        <v>45</v>
      </c>
      <c r="C48" s="86">
        <v>117</v>
      </c>
      <c r="D48" s="12" t="s">
        <v>695</v>
      </c>
      <c r="E48" s="18">
        <v>0</v>
      </c>
      <c r="F48" s="18">
        <f t="shared" si="4"/>
        <v>0</v>
      </c>
      <c r="G48" s="49">
        <f t="shared" si="5"/>
        <v>0</v>
      </c>
      <c r="H48" s="48" t="e">
        <f t="shared" si="2"/>
        <v>#DIV/0!</v>
      </c>
      <c r="I48" s="89" t="str" cm="1">
        <f t="array" ref="I48">IFERROR(LOOKUP(2,1/((MOD(COLUMN($K48:$AG48),2)=1)*($K48:$AG48&lt;&gt;"-")*($K48:$AG48&lt;&gt;"")),$K48:$AG48),"-")</f>
        <v>Cancelada</v>
      </c>
      <c r="J48" s="45"/>
      <c r="K48" s="21"/>
      <c r="L48" s="45"/>
      <c r="M48" s="21"/>
      <c r="N48" s="45"/>
      <c r="O48" s="21"/>
      <c r="P48" s="45"/>
      <c r="Q48" s="21"/>
      <c r="R48" s="45"/>
      <c r="S48" s="21" t="s">
        <v>77</v>
      </c>
      <c r="T48" s="45">
        <v>0</v>
      </c>
      <c r="U48" s="21" t="s">
        <v>34</v>
      </c>
      <c r="V48" s="45"/>
      <c r="W48" s="21"/>
      <c r="X48" s="45"/>
      <c r="Y48" s="21"/>
      <c r="Z48" s="45"/>
      <c r="AA48" s="21"/>
      <c r="AB48" s="45"/>
      <c r="AC48" s="21"/>
      <c r="AD48" s="45"/>
      <c r="AE48" s="21"/>
      <c r="AF48" s="45"/>
      <c r="AG48" s="21"/>
    </row>
    <row r="49" spans="2:33" x14ac:dyDescent="0.3">
      <c r="B49" s="30">
        <f t="shared" si="0"/>
        <v>46</v>
      </c>
      <c r="C49" s="86">
        <v>118</v>
      </c>
      <c r="D49" s="12" t="s">
        <v>695</v>
      </c>
      <c r="E49" s="18">
        <v>0</v>
      </c>
      <c r="F49" s="18">
        <f t="shared" si="4"/>
        <v>0</v>
      </c>
      <c r="G49" s="49">
        <f t="shared" si="5"/>
        <v>0</v>
      </c>
      <c r="H49" s="48" t="e">
        <f t="shared" si="2"/>
        <v>#DIV/0!</v>
      </c>
      <c r="I49" s="89" t="str" cm="1">
        <f t="array" ref="I49">IFERROR(LOOKUP(2,1/((MOD(COLUMN($K49:$AG49),2)=1)*($K49:$AG49&lt;&gt;"-")*($K49:$AG49&lt;&gt;"")),$K49:$AG49),"-")</f>
        <v>Cancelada</v>
      </c>
      <c r="J49" s="45"/>
      <c r="K49" s="21"/>
      <c r="L49" s="45"/>
      <c r="M49" s="21"/>
      <c r="N49" s="45"/>
      <c r="O49" s="21"/>
      <c r="P49" s="45"/>
      <c r="Q49" s="21"/>
      <c r="R49" s="45"/>
      <c r="S49" s="21" t="s">
        <v>77</v>
      </c>
      <c r="T49" s="45">
        <v>0</v>
      </c>
      <c r="U49" s="21" t="s">
        <v>34</v>
      </c>
      <c r="V49" s="45"/>
      <c r="W49" s="21"/>
      <c r="X49" s="45"/>
      <c r="Y49" s="21"/>
      <c r="Z49" s="45"/>
      <c r="AA49" s="21"/>
      <c r="AB49" s="45"/>
      <c r="AC49" s="21"/>
      <c r="AD49" s="45"/>
      <c r="AE49" s="21"/>
      <c r="AF49" s="45"/>
      <c r="AG49" s="21"/>
    </row>
    <row r="50" spans="2:33" x14ac:dyDescent="0.3">
      <c r="B50" s="17"/>
      <c r="C50" s="32"/>
      <c r="D50" s="12"/>
      <c r="E50" s="18"/>
      <c r="F50" s="18"/>
      <c r="G50" s="18"/>
      <c r="H50" s="22"/>
      <c r="I50" s="35"/>
      <c r="J50" s="45"/>
      <c r="K50" s="21"/>
      <c r="L50" s="45"/>
      <c r="M50" s="21"/>
      <c r="N50" s="19"/>
      <c r="O50" s="21"/>
      <c r="P50" s="19"/>
      <c r="Q50" s="21"/>
      <c r="R50" s="19"/>
      <c r="S50" s="21"/>
      <c r="T50" s="19"/>
      <c r="U50" s="20"/>
      <c r="V50" s="19"/>
      <c r="W50" s="20"/>
      <c r="X50" s="19"/>
      <c r="Y50" s="20"/>
      <c r="Z50" s="19"/>
      <c r="AA50" s="20"/>
      <c r="AB50" s="19"/>
      <c r="AC50" s="20"/>
      <c r="AD50" s="19"/>
      <c r="AE50" s="20"/>
      <c r="AF50" s="19"/>
      <c r="AG50" s="20"/>
    </row>
  </sheetData>
  <mergeCells count="13">
    <mergeCell ref="AD2:AE2"/>
    <mergeCell ref="AF2:AG2"/>
    <mergeCell ref="J2:K2"/>
    <mergeCell ref="L2:M2"/>
    <mergeCell ref="N2:O2"/>
    <mergeCell ref="P2:Q2"/>
    <mergeCell ref="R2:S2"/>
    <mergeCell ref="T2:U2"/>
    <mergeCell ref="B2:I2"/>
    <mergeCell ref="V2:W2"/>
    <mergeCell ref="X2:Y2"/>
    <mergeCell ref="Z2:AA2"/>
    <mergeCell ref="AB2:AC2"/>
  </mergeCells>
  <phoneticPr fontId="3" type="noConversion"/>
  <conditionalFormatting sqref="H4:H50">
    <cfRule type="colorScale" priority="52">
      <colorScale>
        <cfvo type="min"/>
        <cfvo type="percentile" val="50"/>
        <cfvo type="max"/>
        <color rgb="FFC00000"/>
        <color rgb="FFFFFF00"/>
        <color rgb="FF92D050"/>
      </colorScale>
    </cfRule>
  </conditionalFormatting>
  <pageMargins left="0.7" right="0.7" top="0.75" bottom="0.75" header="0.3" footer="0.3"/>
  <pageSetup paperSize="9" orientation="landscape" r:id="rId1"/>
  <ignoredErrors>
    <ignoredError sqref="H48" evalError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B7804F5D-A866-49F6-8E09-9836FB452FD9}">
            <xm:f>NOT(ISERROR(SEARCH('Tabelas Auxiliares'!$M$8,I4)))</xm:f>
            <xm:f>'Tabelas Auxiliares'!$M$8</xm:f>
            <x14:dxf>
              <fill>
                <patternFill>
                  <fgColor rgb="FFFF0000"/>
                  <bgColor rgb="FFFF0000"/>
                </patternFill>
              </fill>
            </x14:dxf>
          </x14:cfRule>
          <x14:cfRule type="containsText" priority="3" operator="containsText" id="{74FFB630-7F3C-4338-BA1F-5208F7685D40}">
            <xm:f>NOT(ISERROR(SEARCH('Tabelas Auxiliares'!$M$7,I4)))</xm:f>
            <xm:f>'Tabelas Auxiliares'!$M$7</xm:f>
            <x14:dxf>
              <fill>
                <patternFill>
                  <fgColor rgb="FFFFFF00"/>
                  <bgColor rgb="FFFFFF00"/>
                </patternFill>
              </fill>
            </x14:dxf>
          </x14:cfRule>
          <x14:cfRule type="containsText" priority="4" operator="containsText" id="{5D0D2778-116D-4100-BDD4-D4B5DC765710}">
            <xm:f>NOT(ISERROR(SEARCH('Tabelas Auxiliares'!$M$6,I4)))</xm:f>
            <xm:f>'Tabelas Auxiliares'!$M$6</xm:f>
            <x14:dxf>
              <fill>
                <patternFill>
                  <fgColor rgb="FF92D050"/>
                  <bgColor rgb="FF92D050"/>
                </patternFill>
              </fill>
            </x14:dxf>
          </x14:cfRule>
          <x14:cfRule type="containsText" priority="5" operator="containsText" id="{0406A21D-9257-4597-97AC-1E814E48C4C6}">
            <xm:f>NOT(ISERROR(SEARCH('Tabelas Auxiliares'!$M$5,I4)))</xm:f>
            <xm:f>'Tabelas Auxiliares'!$M$5</xm:f>
            <x14:dxf>
              <fill>
                <patternFill>
                  <fgColor rgb="FF00B0F0"/>
                  <bgColor rgb="FF00B0F0"/>
                </patternFill>
              </fill>
            </x14:dxf>
          </x14:cfRule>
          <x14:cfRule type="containsText" priority="6" operator="containsText" id="{88E9ACFE-2301-4F88-94BC-4733A4CE8B2D}">
            <xm:f>NOT(ISERROR(SEARCH('Tabelas Auxiliares'!$M$4,I4)))</xm:f>
            <xm:f>'Tabelas Auxiliares'!$M$4</xm:f>
            <x14:dxf>
              <font>
                <color rgb="FF000000"/>
              </font>
              <fill>
                <patternFill patternType="solid">
                  <fgColor indexed="64"/>
                  <bgColor rgb="FFFFFFFF"/>
                </patternFill>
              </fill>
            </x14:dxf>
          </x14:cfRule>
          <xm:sqref>I4:I50</xm:sqref>
        </x14:conditionalFormatting>
        <x14:conditionalFormatting xmlns:xm="http://schemas.microsoft.com/office/excel/2006/main">
          <x14:cfRule type="containsText" priority="37" operator="containsText" id="{0CA48386-DE0B-4D3B-B9E3-3B6BE34A3E0B}">
            <xm:f>NOT(ISERROR(SEARCH('Tabelas Auxiliares'!$M$9,I4)))</xm:f>
            <xm:f>'Tabelas Auxiliares'!$M$9</xm:f>
            <x14:dxf>
              <font>
                <color rgb="FFFFFFFF"/>
              </font>
              <fill>
                <patternFill patternType="solid">
                  <fgColor indexed="64"/>
                  <bgColor rgb="FF7030A0"/>
                </patternFill>
              </fill>
            </x14:dxf>
          </x14:cfRule>
          <xm:sqref>I4:I50</xm:sqref>
        </x14:conditionalFormatting>
        <x14:conditionalFormatting xmlns:xm="http://schemas.microsoft.com/office/excel/2006/main">
          <x14:cfRule type="containsText" priority="53" operator="containsText" id="{CB770190-5F30-475A-8835-023FFD737417}">
            <xm:f>NOT(ISERROR(SEARCH('Tabelas Auxiliares'!$M$10,I4)))</xm:f>
            <xm:f>'Tabelas Auxiliares'!$M$10</xm:f>
            <x14:dxf>
              <font>
                <color rgb="FFFFFFFF"/>
              </font>
              <fill>
                <patternFill patternType="solid">
                  <fgColor indexed="64"/>
                  <bgColor rgb="FFED7D31"/>
                </patternFill>
              </fill>
            </x14:dxf>
          </x14:cfRule>
          <xm:sqref>I4:I50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512FEA-4643-4486-807D-B91A93E02CE3}">
          <x14:formula1>
            <xm:f>'Tabelas Auxiliares'!$M$4:$M$11</xm:f>
          </x14:formula1>
          <xm:sqref>K4:K50 O4:O50 S4:S50 AC4:AC50 U4:U50 W4:W50 M4:M50 Y4:Y50 AA4:AA50 AE4:AE50 AG4:AG50 Q4:Q50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BB09B-B789-426E-95BE-14A1C2F2176F}">
  <sheetPr codeName="Planilha4"/>
  <dimension ref="A1:N71"/>
  <sheetViews>
    <sheetView zoomScale="85" zoomScaleNormal="85" workbookViewId="0">
      <pane xSplit="1" ySplit="3" topLeftCell="B55" activePane="bottomRight" state="frozen"/>
      <selection pane="topRight" activeCell="B1" sqref="B1"/>
      <selection pane="bottomLeft" activeCell="A4" sqref="A4"/>
      <selection pane="bottomRight" activeCell="J68" sqref="J68"/>
    </sheetView>
  </sheetViews>
  <sheetFormatPr defaultRowHeight="15.6" x14ac:dyDescent="0.3"/>
  <cols>
    <col min="1" max="1" width="3.796875" customWidth="1"/>
    <col min="2" max="2" width="9.765625E-2" customWidth="1"/>
    <col min="3" max="3" width="10.19921875" customWidth="1"/>
    <col min="4" max="4" width="17.09765625" customWidth="1"/>
    <col min="5" max="5" width="9.3984375" customWidth="1"/>
    <col min="6" max="6" width="12.19921875" bestFit="1" customWidth="1"/>
    <col min="7" max="7" width="18.69921875" customWidth="1"/>
    <col min="8" max="8" width="10.8984375" customWidth="1"/>
    <col min="9" max="9" width="53.69921875" customWidth="1"/>
    <col min="10" max="10" width="30.59765625" customWidth="1"/>
    <col min="11" max="11" width="17.5" bestFit="1" customWidth="1"/>
    <col min="12" max="12" width="16" bestFit="1" customWidth="1"/>
    <col min="13" max="13" width="68.59765625" customWidth="1"/>
  </cols>
  <sheetData>
    <row r="1" spans="1:14" ht="16.2" thickBot="1" x14ac:dyDescent="0.35"/>
    <row r="2" spans="1:14" ht="58.2" customHeight="1" thickBot="1" x14ac:dyDescent="0.35">
      <c r="B2" s="301" t="s">
        <v>682</v>
      </c>
      <c r="C2" s="302"/>
      <c r="D2" s="302"/>
      <c r="E2" s="302"/>
      <c r="F2" s="302"/>
      <c r="G2" s="302"/>
      <c r="H2" s="302"/>
      <c r="I2" s="302"/>
      <c r="J2" s="302"/>
      <c r="K2" s="302"/>
      <c r="L2" s="302"/>
      <c r="M2" s="303"/>
    </row>
    <row r="3" spans="1:14" ht="62.4" customHeight="1" thickBot="1" x14ac:dyDescent="0.4">
      <c r="A3" s="1"/>
      <c r="B3" s="24" t="s">
        <v>3</v>
      </c>
      <c r="C3" s="25" t="s">
        <v>4</v>
      </c>
      <c r="D3" s="25" t="s">
        <v>5</v>
      </c>
      <c r="E3" s="25" t="s">
        <v>6</v>
      </c>
      <c r="F3" s="25" t="s">
        <v>7</v>
      </c>
      <c r="G3" s="25" t="s">
        <v>40</v>
      </c>
      <c r="H3" s="25" t="s">
        <v>8</v>
      </c>
      <c r="I3" s="25" t="s">
        <v>0</v>
      </c>
      <c r="J3" s="25" t="s">
        <v>9</v>
      </c>
      <c r="K3" s="25" t="s">
        <v>1</v>
      </c>
      <c r="L3" s="25" t="s">
        <v>10</v>
      </c>
      <c r="M3" s="23" t="s">
        <v>46</v>
      </c>
      <c r="N3" s="2"/>
    </row>
    <row r="4" spans="1:14" ht="18" x14ac:dyDescent="0.35">
      <c r="A4" s="1"/>
      <c r="B4" s="29">
        <f>'REGIÃO 02 - HISTÓRICO'!B4</f>
        <v>1</v>
      </c>
      <c r="C4" s="87" t="s">
        <v>11</v>
      </c>
      <c r="D4" s="27" t="str">
        <f>_xlfn.XLOOKUP(tbResumoR02[[#This Row],[REGIÃO]],tbRegioes[Código Região],tbRegioes[Contrato],"")</f>
        <v>014.2025</v>
      </c>
      <c r="E4" s="26">
        <f>'REGIÃO 02 - HISTÓRICO'!C4</f>
        <v>82</v>
      </c>
      <c r="F4" s="88" t="s">
        <v>59</v>
      </c>
      <c r="G4" s="182" t="str">
        <f>'REGIÃO 02 - HISTÓRICO'!D4</f>
        <v>jan/fev</v>
      </c>
      <c r="H4" s="8">
        <v>39</v>
      </c>
      <c r="I4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TO-010 - TRECHO RIACHINHO - ANANÁS</v>
      </c>
      <c r="J4" s="85" t="s">
        <v>25</v>
      </c>
      <c r="K4" s="9">
        <f>'REGIÃO 02 - HISTÓRICO'!E4</f>
        <v>4081.33</v>
      </c>
      <c r="L4" s="8" t="str">
        <f>'REGIÃO 02 - HISTÓRICO'!I4</f>
        <v>Concluída</v>
      </c>
      <c r="M4" s="34"/>
      <c r="N4" s="2"/>
    </row>
    <row r="5" spans="1:14" ht="31.2" x14ac:dyDescent="0.35">
      <c r="A5" s="1"/>
      <c r="B5" s="29">
        <f>'REGIÃO 02 - HISTÓRICO'!B5</f>
        <v>0</v>
      </c>
      <c r="C5" s="87" t="s">
        <v>11</v>
      </c>
      <c r="D5" s="27" t="str">
        <f>_xlfn.XLOOKUP(tbResumoR02[[#This Row],[REGIÃO]],tbRegioes[Código Região],tbRegioes[Contrato],"")</f>
        <v>014.2025</v>
      </c>
      <c r="E5" s="26">
        <f>'REGIÃO 02 - HISTÓRICO'!C5</f>
        <v>83</v>
      </c>
      <c r="F5" s="88" t="s">
        <v>59</v>
      </c>
      <c r="G5" s="182" t="str">
        <f>'REGIÃO 02 - HISTÓRICO'!D5</f>
        <v>jan/fev</v>
      </c>
      <c r="H5" s="8">
        <v>51</v>
      </c>
      <c r="I5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TO-222 - TRECHO MURICILÂNDIA - SANTA FÉ DO ARAGUAIA</v>
      </c>
      <c r="J5" s="85" t="s">
        <v>25</v>
      </c>
      <c r="K5" s="9">
        <f>'REGIÃO 02 - HISTÓRICO'!E5</f>
        <v>23043.96</v>
      </c>
      <c r="L5" s="8" t="str">
        <f>'REGIÃO 02 - HISTÓRICO'!I5</f>
        <v>Concluída</v>
      </c>
      <c r="M5" s="34"/>
      <c r="N5" s="2"/>
    </row>
    <row r="6" spans="1:14" ht="31.2" x14ac:dyDescent="0.35">
      <c r="A6" s="1"/>
      <c r="B6" s="33">
        <f>'REGIÃO 02 - HISTÓRICO'!B6</f>
        <v>0</v>
      </c>
      <c r="C6" s="87" t="s">
        <v>11</v>
      </c>
      <c r="D6" s="99" t="str">
        <f>_xlfn.XLOOKUP(tbResumoR02[[#This Row],[REGIÃO]],tbRegioes[Código Região],tbRegioes[Contrato],"")</f>
        <v>014.2025</v>
      </c>
      <c r="E6" s="26">
        <f>'REGIÃO 02 - HISTÓRICO'!C6</f>
        <v>84</v>
      </c>
      <c r="F6" s="88" t="s">
        <v>59</v>
      </c>
      <c r="G6" s="182" t="str">
        <f>'REGIÃO 02 - HISTÓRICO'!D6</f>
        <v>jan/fev</v>
      </c>
      <c r="H6" s="8">
        <v>41</v>
      </c>
      <c r="I6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TO-164 - TRECHO ENTR. BR-153 (XAMBIOÁ) - ARAGUANÃ</v>
      </c>
      <c r="J6" s="85" t="s">
        <v>25</v>
      </c>
      <c r="K6" s="9">
        <f>'REGIÃO 02 - HISTÓRICO'!E6</f>
        <v>9046.41</v>
      </c>
      <c r="L6" s="8" t="str">
        <f>'REGIÃO 02 - HISTÓRICO'!I6</f>
        <v>Concluída</v>
      </c>
      <c r="M6" s="101"/>
      <c r="N6" s="2"/>
    </row>
    <row r="7" spans="1:14" ht="31.2" x14ac:dyDescent="0.35">
      <c r="A7" s="1"/>
      <c r="B7" s="33">
        <f>'REGIÃO 02 - HISTÓRICO'!B7</f>
        <v>0</v>
      </c>
      <c r="C7" s="87" t="s">
        <v>11</v>
      </c>
      <c r="D7" s="99" t="str">
        <f>_xlfn.XLOOKUP(tbResumoR02[[#This Row],[REGIÃO]],tbRegioes[Código Região],tbRegioes[Contrato],"")</f>
        <v>014.2025</v>
      </c>
      <c r="E7" s="26">
        <f>'REGIÃO 02 - HISTÓRICO'!C7</f>
        <v>85</v>
      </c>
      <c r="F7" s="88" t="s">
        <v>59</v>
      </c>
      <c r="G7" s="182" t="str">
        <f>'REGIÃO 02 - HISTÓRICO'!D7</f>
        <v>jan/fev</v>
      </c>
      <c r="H7" s="8">
        <v>42</v>
      </c>
      <c r="I7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TO-164 - TRECHO FÁBRICA DE CIMENTO - XAMBIOÁ - ENTR. BR-153</v>
      </c>
      <c r="J7" s="85" t="s">
        <v>25</v>
      </c>
      <c r="K7" s="9">
        <f>'REGIÃO 02 - HISTÓRICO'!E7</f>
        <v>5254.28</v>
      </c>
      <c r="L7" s="8" t="str">
        <f>'REGIÃO 02 - HISTÓRICO'!I7</f>
        <v>Concluída</v>
      </c>
      <c r="M7" s="101"/>
      <c r="N7" s="2"/>
    </row>
    <row r="8" spans="1:14" ht="31.2" x14ac:dyDescent="0.35">
      <c r="A8" s="1"/>
      <c r="B8" s="33">
        <f>'REGIÃO 02 - HISTÓRICO'!B8</f>
        <v>0</v>
      </c>
      <c r="C8" s="87" t="s">
        <v>11</v>
      </c>
      <c r="D8" s="99" t="str">
        <f>_xlfn.XLOOKUP(tbResumoR02[[#This Row],[REGIÃO]],tbRegioes[Código Região],tbRegioes[Contrato],"")</f>
        <v>014.2025</v>
      </c>
      <c r="E8" s="26">
        <f>'REGIÃO 02 - HISTÓRICO'!C8</f>
        <v>86</v>
      </c>
      <c r="F8" s="88" t="s">
        <v>59</v>
      </c>
      <c r="G8" s="182" t="str">
        <f>'REGIÃO 02 - HISTÓRICO'!D8</f>
        <v>jan/fev</v>
      </c>
      <c r="H8" s="8">
        <v>44</v>
      </c>
      <c r="I8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TO-164 - TRECHO ARAGUANÃ - CARMOLÂNDIA</v>
      </c>
      <c r="J8" s="85" t="s">
        <v>25</v>
      </c>
      <c r="K8" s="9">
        <f>'REGIÃO 02 - HISTÓRICO'!E8</f>
        <v>23615.31</v>
      </c>
      <c r="L8" s="8" t="str">
        <f>'REGIÃO 02 - HISTÓRICO'!I8</f>
        <v>Concluída</v>
      </c>
      <c r="M8" s="101"/>
      <c r="N8" s="2"/>
    </row>
    <row r="9" spans="1:14" ht="31.2" x14ac:dyDescent="0.35">
      <c r="A9" s="1"/>
      <c r="B9" s="33">
        <f>'REGIÃO 02 - HISTÓRICO'!B9</f>
        <v>0</v>
      </c>
      <c r="C9" s="87" t="s">
        <v>11</v>
      </c>
      <c r="D9" s="99" t="str">
        <f>_xlfn.XLOOKUP(tbResumoR02[[#This Row],[REGIÃO]],tbRegioes[Código Região],tbRegioes[Contrato],"")</f>
        <v>014.2025</v>
      </c>
      <c r="E9" s="26">
        <f>'REGIÃO 02 - HISTÓRICO'!C9</f>
        <v>87</v>
      </c>
      <c r="F9" s="100" t="s">
        <v>60</v>
      </c>
      <c r="G9" s="182" t="str">
        <f>'REGIÃO 02 - HISTÓRICO'!D9</f>
        <v>fev/mar</v>
      </c>
      <c r="H9" s="8">
        <v>53</v>
      </c>
      <c r="I9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TO-226 - TRECHO ENTR. BR-153 (POVOADO RIO PRETO) - DIVISA TO-PA (POVOADO GARIMPINHO)</v>
      </c>
      <c r="J9" s="85" t="s">
        <v>674</v>
      </c>
      <c r="K9" s="9">
        <f>'REGIÃO 02 - HISTÓRICO'!E9</f>
        <v>424217.66</v>
      </c>
      <c r="L9" s="8" t="str">
        <f>'REGIÃO 02 - HISTÓRICO'!I9</f>
        <v>Concluída</v>
      </c>
      <c r="M9" s="101"/>
      <c r="N9" s="2"/>
    </row>
    <row r="10" spans="1:14" ht="18" x14ac:dyDescent="0.35">
      <c r="A10" s="1"/>
      <c r="B10" s="33">
        <f>'REGIÃO 02 - HISTÓRICO'!B10</f>
        <v>0</v>
      </c>
      <c r="C10" s="87" t="s">
        <v>11</v>
      </c>
      <c r="D10" s="99" t="str">
        <f>_xlfn.XLOOKUP(tbResumoR02[[#This Row],[REGIÃO]],tbRegioes[Código Região],tbRegioes[Contrato],"")</f>
        <v>014.2025</v>
      </c>
      <c r="E10" s="26">
        <f>'REGIÃO 02 - HISTÓRICO'!C10</f>
        <v>89</v>
      </c>
      <c r="F10" s="100" t="s">
        <v>59</v>
      </c>
      <c r="G10" s="182" t="str">
        <f>'REGIÃO 02 - HISTÓRICO'!D10</f>
        <v>jan/fev</v>
      </c>
      <c r="H10" s="8">
        <v>57</v>
      </c>
      <c r="I10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TO-416 - TRECHO ENTR. BR-153 - RIACHINHO</v>
      </c>
      <c r="J10" s="85" t="s">
        <v>25</v>
      </c>
      <c r="K10" s="9">
        <f>'REGIÃO 02 - HISTÓRICO'!E10</f>
        <v>12599.7</v>
      </c>
      <c r="L10" s="8" t="str">
        <f>'REGIÃO 02 - HISTÓRICO'!I10</f>
        <v>Concluída</v>
      </c>
      <c r="M10" s="101"/>
      <c r="N10" s="2"/>
    </row>
    <row r="11" spans="1:14" ht="31.2" x14ac:dyDescent="0.35">
      <c r="A11" s="1"/>
      <c r="B11" s="33">
        <f>'REGIÃO 02 - HISTÓRICO'!B11</f>
        <v>0</v>
      </c>
      <c r="C11" s="87" t="s">
        <v>11</v>
      </c>
      <c r="D11" s="99" t="str">
        <f>_xlfn.XLOOKUP(tbResumoR02[[#This Row],[REGIÃO]],tbRegioes[Código Região],tbRegioes[Contrato],"")</f>
        <v>014.2025</v>
      </c>
      <c r="E11" s="26">
        <f>'REGIÃO 02 - HISTÓRICO'!C11</f>
        <v>91</v>
      </c>
      <c r="F11" s="100" t="s">
        <v>59</v>
      </c>
      <c r="G11" s="182" t="str">
        <f>'REGIÃO 02 - HISTÓRICO'!D11</f>
        <v>jan/fev</v>
      </c>
      <c r="H11" s="8">
        <v>50</v>
      </c>
      <c r="I11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TO-222 - TRECHO ARAGUAÍNA - ENTR. TO-164 (NOVO HORIZONTE)</v>
      </c>
      <c r="J11" s="85" t="s">
        <v>674</v>
      </c>
      <c r="K11" s="9">
        <f>'REGIÃO 02 - HISTÓRICO'!E11</f>
        <v>251065.1</v>
      </c>
      <c r="L11" s="8" t="str">
        <f>'REGIÃO 02 - HISTÓRICO'!I11</f>
        <v>Concluída</v>
      </c>
      <c r="M11" s="101"/>
      <c r="N11" s="2"/>
    </row>
    <row r="12" spans="1:14" ht="31.2" x14ac:dyDescent="0.35">
      <c r="A12" s="1"/>
      <c r="B12" s="33">
        <f>'REGIÃO 02 - HISTÓRICO'!B12</f>
        <v>0</v>
      </c>
      <c r="C12" s="87" t="s">
        <v>11</v>
      </c>
      <c r="D12" s="99" t="str">
        <f>_xlfn.XLOOKUP(tbResumoR02[[#This Row],[REGIÃO]],tbRegioes[Código Região],tbRegioes[Contrato],"")</f>
        <v>014.2025</v>
      </c>
      <c r="E12" s="26">
        <f>'REGIÃO 02 - HISTÓRICO'!C12</f>
        <v>92</v>
      </c>
      <c r="F12" s="100" t="s">
        <v>60</v>
      </c>
      <c r="G12" s="182" t="str">
        <f>'REGIÃO 02 - HISTÓRICO'!D12</f>
        <v>fev/mar</v>
      </c>
      <c r="H12" s="8">
        <v>39</v>
      </c>
      <c r="I12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TO-010 - TRECHO RIACHINHO - ANANÁS</v>
      </c>
      <c r="J12" s="85" t="s">
        <v>674</v>
      </c>
      <c r="K12" s="9">
        <f>'REGIÃO 02 - HISTÓRICO'!E12</f>
        <v>146512.64000000001</v>
      </c>
      <c r="L12" s="8" t="str">
        <f>'REGIÃO 02 - HISTÓRICO'!I12</f>
        <v>Concluída</v>
      </c>
      <c r="M12" s="101"/>
      <c r="N12" s="2"/>
    </row>
    <row r="13" spans="1:14" ht="31.2" x14ac:dyDescent="0.3">
      <c r="B13" s="33">
        <f>'REGIÃO 02 - HISTÓRICO'!B13</f>
        <v>0</v>
      </c>
      <c r="C13" s="87" t="s">
        <v>11</v>
      </c>
      <c r="D13" s="99" t="str">
        <f>_xlfn.XLOOKUP(tbResumoR02[[#This Row],[REGIÃO]],tbRegioes[Código Região],tbRegioes[Contrato],"")</f>
        <v>014.2025</v>
      </c>
      <c r="E13" s="26">
        <f>'REGIÃO 02 - HISTÓRICO'!C13</f>
        <v>93</v>
      </c>
      <c r="F13" s="100" t="s">
        <v>60</v>
      </c>
      <c r="G13" s="182" t="str">
        <f>'REGIÃO 02 - HISTÓRICO'!D13</f>
        <v>fev/mar</v>
      </c>
      <c r="H13" s="8">
        <v>46</v>
      </c>
      <c r="I13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TO-164 - TRECHO ENTR. TO-226 - POVOADO DEZENOVE - BERNARDO SAYÃO</v>
      </c>
      <c r="J13" s="85" t="s">
        <v>25</v>
      </c>
      <c r="K13" s="9">
        <f>'REGIÃO 02 - HISTÓRICO'!E13</f>
        <v>13960.05</v>
      </c>
      <c r="L13" s="8" t="str">
        <f>'REGIÃO 02 - HISTÓRICO'!I13</f>
        <v>Concluída</v>
      </c>
      <c r="M13" s="101"/>
    </row>
    <row r="14" spans="1:14" ht="31.2" x14ac:dyDescent="0.3">
      <c r="B14" s="33">
        <f>'REGIÃO 02 - HISTÓRICO'!B14</f>
        <v>0</v>
      </c>
      <c r="C14" s="87" t="s">
        <v>11</v>
      </c>
      <c r="D14" s="99" t="str">
        <f>_xlfn.XLOOKUP(tbResumoR02[[#This Row],[REGIÃO]],tbRegioes[Código Região],tbRegioes[Contrato],"")</f>
        <v>014.2025</v>
      </c>
      <c r="E14" s="26">
        <f>'REGIÃO 02 - HISTÓRICO'!C14</f>
        <v>94</v>
      </c>
      <c r="F14" s="100" t="s">
        <v>60</v>
      </c>
      <c r="G14" s="182" t="str">
        <f>'REGIÃO 02 - HISTÓRICO'!D14</f>
        <v>fev/mar</v>
      </c>
      <c r="H14" s="8">
        <v>53</v>
      </c>
      <c r="I14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TO-226 - TRECHO ENTR. BR-153 (POVOADO RIO PRETO) - DIVISA TO-PA (POVOADO GARIMPINHO)</v>
      </c>
      <c r="J14" s="85" t="s">
        <v>25</v>
      </c>
      <c r="K14" s="9">
        <f>'REGIÃO 02 - HISTÓRICO'!E14</f>
        <v>34953.279999999999</v>
      </c>
      <c r="L14" s="8" t="str">
        <f>'REGIÃO 02 - HISTÓRICO'!I14</f>
        <v>Concluída</v>
      </c>
      <c r="M14" s="101"/>
    </row>
    <row r="15" spans="1:14" ht="31.2" x14ac:dyDescent="0.3">
      <c r="B15" s="33">
        <f>'REGIÃO 02 - HISTÓRICO'!B15</f>
        <v>0</v>
      </c>
      <c r="C15" s="87" t="s">
        <v>11</v>
      </c>
      <c r="D15" s="99" t="str">
        <f>_xlfn.XLOOKUP(tbResumoR02[[#This Row],[REGIÃO]],tbRegioes[Código Região],tbRegioes[Contrato],"")</f>
        <v>014.2025</v>
      </c>
      <c r="E15" s="26">
        <f>'REGIÃO 02 - HISTÓRICO'!C15</f>
        <v>95</v>
      </c>
      <c r="F15" s="100" t="s">
        <v>60</v>
      </c>
      <c r="G15" s="182" t="str">
        <f>'REGIÃO 02 - HISTÓRICO'!D15</f>
        <v>fev/mar</v>
      </c>
      <c r="H15" s="8">
        <v>54</v>
      </c>
      <c r="I15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TO-230 - TRECHO ARAPOEMA - PAU D'ARCO (DIVISA TO-PA)</v>
      </c>
      <c r="J15" s="85" t="s">
        <v>25</v>
      </c>
      <c r="K15" s="9">
        <f>'REGIÃO 02 - HISTÓRICO'!E15</f>
        <v>12442.7</v>
      </c>
      <c r="L15" s="8" t="str">
        <f>'REGIÃO 02 - HISTÓRICO'!I15</f>
        <v>Concluída</v>
      </c>
      <c r="M15" s="34"/>
    </row>
    <row r="16" spans="1:14" ht="31.2" x14ac:dyDescent="0.3">
      <c r="B16" s="33">
        <f>'REGIÃO 02 - HISTÓRICO'!B16</f>
        <v>0</v>
      </c>
      <c r="C16" s="87" t="s">
        <v>11</v>
      </c>
      <c r="D16" s="99" t="str">
        <f>_xlfn.XLOOKUP(tbResumoR02[[#This Row],[REGIÃO]],tbRegioes[Código Região],tbRegioes[Contrato],"")</f>
        <v>014.2025</v>
      </c>
      <c r="E16" s="26">
        <f>'REGIÃO 02 - HISTÓRICO'!C16</f>
        <v>96</v>
      </c>
      <c r="F16" s="100" t="s">
        <v>60</v>
      </c>
      <c r="G16" s="182" t="str">
        <f>'REGIÃO 02 - HISTÓRICO'!D16</f>
        <v>fev/mar</v>
      </c>
      <c r="H16" s="8">
        <v>55</v>
      </c>
      <c r="I16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TO-230 - TRECHO BANDEIRANTES DO TOCANTINS - ARAPOEMA</v>
      </c>
      <c r="J16" s="85" t="s">
        <v>25</v>
      </c>
      <c r="K16" s="9">
        <f>'REGIÃO 02 - HISTÓRICO'!E16</f>
        <v>19911.46</v>
      </c>
      <c r="L16" s="8" t="str">
        <f>'REGIÃO 02 - HISTÓRICO'!I16</f>
        <v>Concluída</v>
      </c>
      <c r="M16" s="34"/>
    </row>
    <row r="17" spans="2:13" ht="31.2" x14ac:dyDescent="0.3">
      <c r="B17" s="33">
        <f>'REGIÃO 02 - HISTÓRICO'!B17</f>
        <v>0</v>
      </c>
      <c r="C17" s="87" t="s">
        <v>11</v>
      </c>
      <c r="D17" s="99" t="str">
        <f>_xlfn.XLOOKUP(tbResumoR02[[#This Row],[REGIÃO]],tbRegioes[Código Região],tbRegioes[Contrato],"")</f>
        <v>014.2025</v>
      </c>
      <c r="E17" s="26">
        <f>'REGIÃO 02 - HISTÓRICO'!C17</f>
        <v>97</v>
      </c>
      <c r="F17" s="100" t="s">
        <v>60</v>
      </c>
      <c r="G17" s="182" t="str">
        <f>'REGIÃO 02 - HISTÓRICO'!D17</f>
        <v>fev/mar</v>
      </c>
      <c r="H17" s="8">
        <v>56</v>
      </c>
      <c r="I17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TO-230 - TRECHO ENTR. BR-153 - BANDEIRANTES DO TOCANTINS</v>
      </c>
      <c r="J17" s="85" t="s">
        <v>742</v>
      </c>
      <c r="K17" s="9">
        <f>'REGIÃO 02 - HISTÓRICO'!E17</f>
        <v>5370.39</v>
      </c>
      <c r="L17" s="8" t="str">
        <f>'REGIÃO 02 - HISTÓRICO'!I17</f>
        <v>Concluída</v>
      </c>
      <c r="M17" s="34"/>
    </row>
    <row r="18" spans="2:13" ht="31.2" x14ac:dyDescent="0.3">
      <c r="B18" s="33">
        <f>'REGIÃO 02 - HISTÓRICO'!B18</f>
        <v>0</v>
      </c>
      <c r="C18" s="87" t="s">
        <v>11</v>
      </c>
      <c r="D18" s="99" t="str">
        <f>_xlfn.XLOOKUP(tbResumoR02[[#This Row],[REGIÃO]],tbRegioes[Código Região],tbRegioes[Contrato],"")</f>
        <v>014.2025</v>
      </c>
      <c r="E18" s="26">
        <f>'REGIÃO 02 - HISTÓRICO'!C18</f>
        <v>98</v>
      </c>
      <c r="F18" s="100" t="s">
        <v>60</v>
      </c>
      <c r="G18" s="182" t="str">
        <f>'REGIÃO 02 - HISTÓRICO'!D18</f>
        <v>fev/mar</v>
      </c>
      <c r="H18" s="8">
        <v>57</v>
      </c>
      <c r="I18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TO-416 - TRECHO ENTR. BR-153 - RIACHINHO</v>
      </c>
      <c r="J18" s="85" t="s">
        <v>674</v>
      </c>
      <c r="K18" s="9">
        <f>'REGIÃO 02 - HISTÓRICO'!E18</f>
        <v>442795.29</v>
      </c>
      <c r="L18" s="8" t="str">
        <f>'REGIÃO 02 - HISTÓRICO'!I18</f>
        <v>Cancelada</v>
      </c>
      <c r="M18" s="193" t="s">
        <v>824</v>
      </c>
    </row>
    <row r="19" spans="2:13" ht="31.2" x14ac:dyDescent="0.3">
      <c r="B19" s="33">
        <f>'REGIÃO 02 - HISTÓRICO'!B19</f>
        <v>0</v>
      </c>
      <c r="C19" s="87" t="s">
        <v>11</v>
      </c>
      <c r="D19" s="99" t="str">
        <f>_xlfn.XLOOKUP(tbResumoR02[[#This Row],[REGIÃO]],tbRegioes[Código Região],tbRegioes[Contrato],"")</f>
        <v>014.2025</v>
      </c>
      <c r="E19" s="26">
        <f>'REGIÃO 02 - HISTÓRICO'!C19</f>
        <v>99</v>
      </c>
      <c r="F19" s="100" t="s">
        <v>60</v>
      </c>
      <c r="G19" s="182" t="str">
        <f>'REGIÃO 02 - HISTÓRICO'!D19</f>
        <v>fev/mar</v>
      </c>
      <c r="H19" s="8">
        <v>56</v>
      </c>
      <c r="I19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TO-230 - TRECHO ENTR. BR-153 - BANDEIRANTES DO TOCANTINS</v>
      </c>
      <c r="J19" s="85" t="s">
        <v>104</v>
      </c>
      <c r="K19" s="9">
        <f>'REGIÃO 02 - HISTÓRICO'!E19</f>
        <v>116688.86</v>
      </c>
      <c r="L19" s="8" t="str">
        <f>'REGIÃO 02 - HISTÓRICO'!I19</f>
        <v>Cancelada</v>
      </c>
      <c r="M19" s="193" t="s">
        <v>824</v>
      </c>
    </row>
    <row r="20" spans="2:13" ht="31.2" x14ac:dyDescent="0.3">
      <c r="B20" s="33">
        <f>'REGIÃO 02 - HISTÓRICO'!B20</f>
        <v>0</v>
      </c>
      <c r="C20" s="87" t="s">
        <v>11</v>
      </c>
      <c r="D20" s="99" t="str">
        <f>_xlfn.XLOOKUP(tbResumoR02[[#This Row],[REGIÃO]],tbRegioes[Código Região],tbRegioes[Contrato],"")</f>
        <v>014.2025</v>
      </c>
      <c r="E20" s="26">
        <f>'REGIÃO 02 - HISTÓRICO'!C20</f>
        <v>100</v>
      </c>
      <c r="F20" s="100" t="s">
        <v>60</v>
      </c>
      <c r="G20" s="182" t="str">
        <f>'REGIÃO 02 - HISTÓRICO'!D20</f>
        <v>fev/mar</v>
      </c>
      <c r="H20" s="8">
        <v>61</v>
      </c>
      <c r="I20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TO-420 - TRECHO ENTR. BR-153 (POVOADO XAMBERLÂNDIA) - PIRAQUÊ - ENTR. BR-153</v>
      </c>
      <c r="J20" s="85" t="s">
        <v>693</v>
      </c>
      <c r="K20" s="9">
        <f>'REGIÃO 02 - HISTÓRICO'!E20</f>
        <v>408915.96</v>
      </c>
      <c r="L20" s="8" t="str">
        <f>'REGIÃO 02 - HISTÓRICO'!I20</f>
        <v>Concluída</v>
      </c>
      <c r="M20" s="34"/>
    </row>
    <row r="21" spans="2:13" ht="31.2" x14ac:dyDescent="0.3">
      <c r="B21" s="33">
        <f>'REGIÃO 02 - HISTÓRICO'!B21</f>
        <v>0</v>
      </c>
      <c r="C21" s="87" t="s">
        <v>11</v>
      </c>
      <c r="D21" s="99" t="str">
        <f>_xlfn.XLOOKUP(tbResumoR02[[#This Row],[REGIÃO]],tbRegioes[Código Região],tbRegioes[Contrato],"")</f>
        <v>014.2025</v>
      </c>
      <c r="E21" s="26">
        <f>'REGIÃO 02 - HISTÓRICO'!C21</f>
        <v>101</v>
      </c>
      <c r="F21" s="100" t="s">
        <v>60</v>
      </c>
      <c r="G21" s="182" t="str">
        <f>'REGIÃO 02 - HISTÓRICO'!D21</f>
        <v>fev/mar</v>
      </c>
      <c r="H21" s="8">
        <v>45</v>
      </c>
      <c r="I21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TO-164 - TRECHO CARMOLÂNDIA - ENTR. TO-222 - ARAGOMINAS</v>
      </c>
      <c r="J21" s="85" t="s">
        <v>674</v>
      </c>
      <c r="K21" s="9">
        <f>'REGIÃO 02 - HISTÓRICO'!E21</f>
        <v>697649.81</v>
      </c>
      <c r="L21" s="8" t="str">
        <f>'REGIÃO 02 - HISTÓRICO'!I21</f>
        <v>Concluída</v>
      </c>
      <c r="M21" s="34"/>
    </row>
    <row r="22" spans="2:13" x14ac:dyDescent="0.3">
      <c r="B22" s="33">
        <f>'REGIÃO 02 - HISTÓRICO'!B22</f>
        <v>0</v>
      </c>
      <c r="C22" s="87" t="s">
        <v>11</v>
      </c>
      <c r="D22" s="99" t="str">
        <f>_xlfn.XLOOKUP(tbResumoR02[[#This Row],[REGIÃO]],tbRegioes[Código Região],tbRegioes[Contrato],"")</f>
        <v>014.2025</v>
      </c>
      <c r="E22" s="26">
        <f>'REGIÃO 02 - HISTÓRICO'!C22</f>
        <v>103</v>
      </c>
      <c r="F22" s="100" t="s">
        <v>60</v>
      </c>
      <c r="G22" s="182" t="str">
        <f>'REGIÃO 02 - HISTÓRICO'!D22</f>
        <v>mar/abr</v>
      </c>
      <c r="H22" s="8">
        <v>39</v>
      </c>
      <c r="I22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TO-010 - TRECHO RIACHINHO - ANANÁS</v>
      </c>
      <c r="J22" s="85" t="s">
        <v>82</v>
      </c>
      <c r="K22" s="9">
        <f>'REGIÃO 02 - HISTÓRICO'!E22</f>
        <v>408651.04</v>
      </c>
      <c r="L22" s="8" t="str">
        <f>'REGIÃO 02 - HISTÓRICO'!I22</f>
        <v>Cancelada</v>
      </c>
      <c r="M22" s="193" t="s">
        <v>824</v>
      </c>
    </row>
    <row r="23" spans="2:13" ht="62.4" x14ac:dyDescent="0.3">
      <c r="B23" s="33">
        <f>'REGIÃO 02 - HISTÓRICO'!B23</f>
        <v>0</v>
      </c>
      <c r="C23" s="87" t="s">
        <v>11</v>
      </c>
      <c r="D23" s="99" t="str">
        <f>_xlfn.XLOOKUP(tbResumoR02[[#This Row],[REGIÃO]],tbRegioes[Código Região],tbRegioes[Contrato],"")</f>
        <v>014.2025</v>
      </c>
      <c r="E23" s="26">
        <f>'REGIÃO 02 - HISTÓRICO'!C23</f>
        <v>105</v>
      </c>
      <c r="F23" s="100" t="s">
        <v>61</v>
      </c>
      <c r="G23" s="182" t="str">
        <f>'REGIÃO 02 - HISTÓRICO'!D23</f>
        <v>mar</v>
      </c>
      <c r="H23" s="8">
        <v>48</v>
      </c>
      <c r="I23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TO-165 - TRECHO SANTA FÉ DO ARAGUAIA - ENTR. TO-226 - ARAPOEMA</v>
      </c>
      <c r="J23" s="85" t="s">
        <v>768</v>
      </c>
      <c r="K23" s="9">
        <f>'REGIÃO 02 - HISTÓRICO'!E23</f>
        <v>76664.820000000007</v>
      </c>
      <c r="L23" s="8" t="str">
        <f>'REGIÃO 02 - HISTÓRICO'!I23</f>
        <v>Concluída</v>
      </c>
      <c r="M23" s="34"/>
    </row>
    <row r="24" spans="2:13" ht="46.8" x14ac:dyDescent="0.3">
      <c r="B24" s="33">
        <f>'REGIÃO 02 - HISTÓRICO'!B24</f>
        <v>0</v>
      </c>
      <c r="C24" s="87" t="s">
        <v>11</v>
      </c>
      <c r="D24" s="99" t="str">
        <f>_xlfn.XLOOKUP(tbResumoR02[[#This Row],[REGIÃO]],tbRegioes[Código Região],tbRegioes[Contrato],"")</f>
        <v>014.2025</v>
      </c>
      <c r="E24" s="26">
        <f>'REGIÃO 02 - HISTÓRICO'!C24</f>
        <v>106</v>
      </c>
      <c r="F24" s="100" t="s">
        <v>62</v>
      </c>
      <c r="G24" s="182" t="str">
        <f>'REGIÃO 02 - HISTÓRICO'!D24</f>
        <v>abr/mai/jun</v>
      </c>
      <c r="H24" s="8">
        <v>60</v>
      </c>
      <c r="I24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TO-419 - TRECHO POVOADO BARRA DA GROTA - ENTR. TO-222</v>
      </c>
      <c r="J24" s="85" t="s">
        <v>681</v>
      </c>
      <c r="K24" s="9">
        <f>'REGIÃO 02 - HISTÓRICO'!E24</f>
        <v>147197.98000000001</v>
      </c>
      <c r="L24" s="8" t="str">
        <f>'REGIÃO 02 - HISTÓRICO'!I24</f>
        <v>Concluída</v>
      </c>
      <c r="M24" s="34"/>
    </row>
    <row r="25" spans="2:13" ht="46.8" x14ac:dyDescent="0.3">
      <c r="B25" s="33">
        <f>'REGIÃO 02 - HISTÓRICO'!B25</f>
        <v>22</v>
      </c>
      <c r="C25" s="87" t="s">
        <v>11</v>
      </c>
      <c r="D25" s="99" t="str">
        <f>_xlfn.XLOOKUP(tbResumoR02[[#This Row],[REGIÃO]],tbRegioes[Código Região],tbRegioes[Contrato],"")</f>
        <v>014.2025</v>
      </c>
      <c r="E25" s="26">
        <f>'REGIÃO 02 - HISTÓRICO'!C25</f>
        <v>107</v>
      </c>
      <c r="F25" s="100" t="s">
        <v>62</v>
      </c>
      <c r="G25" s="182" t="str">
        <f>'REGIÃO 02 - HISTÓRICO'!D25</f>
        <v>abr/mai</v>
      </c>
      <c r="H25" s="8">
        <v>62</v>
      </c>
      <c r="I25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TO-421 - TRECHO ARAGUAÍNA - POVOADO GROTÃO</v>
      </c>
      <c r="J25" s="85" t="s">
        <v>769</v>
      </c>
      <c r="K25" s="9">
        <f>'REGIÃO 02 - HISTÓRICO'!E25</f>
        <v>68219.39</v>
      </c>
      <c r="L25" s="8" t="str">
        <f>'REGIÃO 02 - HISTÓRICO'!I25</f>
        <v>Concluída</v>
      </c>
      <c r="M25" s="101"/>
    </row>
    <row r="26" spans="2:13" ht="31.2" x14ac:dyDescent="0.3">
      <c r="B26" s="33">
        <f>'REGIÃO 02 - HISTÓRICO'!B26</f>
        <v>23</v>
      </c>
      <c r="C26" s="87" t="s">
        <v>11</v>
      </c>
      <c r="D26" s="99" t="str">
        <f>_xlfn.XLOOKUP(tbResumoR02[[#This Row],[REGIÃO]],tbRegioes[Código Região],tbRegioes[Contrato],"")</f>
        <v>014.2025</v>
      </c>
      <c r="E26" s="26">
        <f>'REGIÃO 02 - HISTÓRICO'!C26</f>
        <v>108</v>
      </c>
      <c r="F26" s="100" t="s">
        <v>62</v>
      </c>
      <c r="G26" s="182" t="str">
        <f>'REGIÃO 02 - HISTÓRICO'!D26</f>
        <v>abr/mai/jun</v>
      </c>
      <c r="H26" s="8">
        <v>41</v>
      </c>
      <c r="I26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TO-164 - TRECHO ENTR. BR-153 (XAMBIOÁ) - ARAGUANÃ</v>
      </c>
      <c r="J26" s="85" t="s">
        <v>25</v>
      </c>
      <c r="K26" s="9">
        <f>'REGIÃO 02 - HISTÓRICO'!E26</f>
        <v>9304.33</v>
      </c>
      <c r="L26" s="8" t="str">
        <f>'REGIÃO 02 - HISTÓRICO'!I26</f>
        <v>Concluída</v>
      </c>
      <c r="M26" s="101"/>
    </row>
    <row r="27" spans="2:13" ht="31.2" x14ac:dyDescent="0.3">
      <c r="B27" s="33">
        <f>'REGIÃO 02 - HISTÓRICO'!B27</f>
        <v>24</v>
      </c>
      <c r="C27" s="87" t="s">
        <v>11</v>
      </c>
      <c r="D27" s="99" t="str">
        <f>_xlfn.XLOOKUP(tbResumoR02[[#This Row],[REGIÃO]],tbRegioes[Código Região],tbRegioes[Contrato],"")</f>
        <v>014.2025</v>
      </c>
      <c r="E27" s="26">
        <f>'REGIÃO 02 - HISTÓRICO'!C27</f>
        <v>109</v>
      </c>
      <c r="F27" s="100" t="s">
        <v>62</v>
      </c>
      <c r="G27" s="182" t="str">
        <f>'REGIÃO 02 - HISTÓRICO'!D27</f>
        <v>abr/mai/jun</v>
      </c>
      <c r="H27" s="8">
        <v>42</v>
      </c>
      <c r="I27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TO-164 - TRECHO FÁBRICA DE CIMENTO - XAMBIOÁ - ENTR. BR-153</v>
      </c>
      <c r="J27" s="85" t="s">
        <v>25</v>
      </c>
      <c r="K27" s="9">
        <f>'REGIÃO 02 - HISTÓRICO'!E27</f>
        <v>5280.85</v>
      </c>
      <c r="L27" s="8" t="str">
        <f>'REGIÃO 02 - HISTÓRICO'!I27</f>
        <v>Concluída</v>
      </c>
      <c r="M27" s="101"/>
    </row>
    <row r="28" spans="2:13" ht="31.2" x14ac:dyDescent="0.3">
      <c r="B28" s="29">
        <f>'REGIÃO 02 - HISTÓRICO'!B28</f>
        <v>25</v>
      </c>
      <c r="C28" s="87" t="s">
        <v>11</v>
      </c>
      <c r="D28" s="27" t="str">
        <f>_xlfn.XLOOKUP(tbResumoR02[[#This Row],[REGIÃO]],tbRegioes[Código Região],tbRegioes[Contrato],"")</f>
        <v>014.2025</v>
      </c>
      <c r="E28" s="26">
        <f>'REGIÃO 02 - HISTÓRICO'!C28</f>
        <v>110</v>
      </c>
      <c r="F28" s="100" t="s">
        <v>62</v>
      </c>
      <c r="G28" s="182" t="str">
        <f>'REGIÃO 02 - HISTÓRICO'!D28</f>
        <v>abr/mai/jun</v>
      </c>
      <c r="H28" s="8">
        <v>45</v>
      </c>
      <c r="I28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TO-164 - TRECHO CARMOLÂNDIA - ENTR. TO-222 - ARAGOMINAS</v>
      </c>
      <c r="J28" s="85" t="s">
        <v>686</v>
      </c>
      <c r="K28" s="9">
        <f>'REGIÃO 02 - HISTÓRICO'!E28</f>
        <v>352883.52</v>
      </c>
      <c r="L28" s="8" t="str">
        <f>'REGIÃO 02 - HISTÓRICO'!I28</f>
        <v>Concluída</v>
      </c>
      <c r="M28" s="34"/>
    </row>
    <row r="29" spans="2:13" ht="31.2" x14ac:dyDescent="0.3">
      <c r="B29" s="29">
        <f>'REGIÃO 02 - HISTÓRICO'!B29</f>
        <v>26</v>
      </c>
      <c r="C29" s="87" t="s">
        <v>11</v>
      </c>
      <c r="D29" s="27" t="str">
        <f>_xlfn.XLOOKUP(tbResumoR02[[#This Row],[REGIÃO]],tbRegioes[Código Região],tbRegioes[Contrato],"")</f>
        <v>014.2025</v>
      </c>
      <c r="E29" s="26">
        <f>'REGIÃO 02 - HISTÓRICO'!C29</f>
        <v>111</v>
      </c>
      <c r="F29" s="100" t="s">
        <v>62</v>
      </c>
      <c r="G29" s="182" t="str">
        <f>'REGIÃO 02 - HISTÓRICO'!D29</f>
        <v>abr/mai/jun</v>
      </c>
      <c r="H29" s="8">
        <v>51</v>
      </c>
      <c r="I29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TO-222 - TRECHO MURICILÂNDIA - SANTA FÉ DO ARAGUAIA</v>
      </c>
      <c r="J29" s="85" t="s">
        <v>686</v>
      </c>
      <c r="K29" s="9">
        <f>'REGIÃO 02 - HISTÓRICO'!E29</f>
        <v>153906.54</v>
      </c>
      <c r="L29" s="8" t="str">
        <f>'REGIÃO 02 - HISTÓRICO'!I29</f>
        <v>Concluída</v>
      </c>
      <c r="M29" s="34"/>
    </row>
    <row r="30" spans="2:13" ht="31.2" x14ac:dyDescent="0.3">
      <c r="B30" s="29">
        <f>'REGIÃO 02 - HISTÓRICO'!B30</f>
        <v>27</v>
      </c>
      <c r="C30" s="87" t="s">
        <v>11</v>
      </c>
      <c r="D30" s="27" t="str">
        <f>_xlfn.XLOOKUP(tbResumoR02[[#This Row],[REGIÃO]],tbRegioes[Código Região],tbRegioes[Contrato],"")</f>
        <v>014.2025</v>
      </c>
      <c r="E30" s="26">
        <f>'REGIÃO 02 - HISTÓRICO'!C30</f>
        <v>112</v>
      </c>
      <c r="F30" s="100" t="s">
        <v>62</v>
      </c>
      <c r="G30" s="182" t="str">
        <f>'REGIÃO 02 - HISTÓRICO'!D30</f>
        <v>abr/mai/jun</v>
      </c>
      <c r="H30" s="8">
        <v>44</v>
      </c>
      <c r="I30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TO-164 - TRECHO ARAGUANÃ - CARMOLÂNDIA</v>
      </c>
      <c r="J30" s="85" t="s">
        <v>25</v>
      </c>
      <c r="K30" s="9">
        <f>'REGIÃO 02 - HISTÓRICO'!E30</f>
        <v>24289.39</v>
      </c>
      <c r="L30" s="8" t="str">
        <f>'REGIÃO 02 - HISTÓRICO'!I30</f>
        <v>Concluída</v>
      </c>
      <c r="M30" s="34"/>
    </row>
    <row r="31" spans="2:13" ht="31.2" x14ac:dyDescent="0.3">
      <c r="B31" s="29">
        <f>'REGIÃO 02 - HISTÓRICO'!B31</f>
        <v>28</v>
      </c>
      <c r="C31" s="87" t="s">
        <v>11</v>
      </c>
      <c r="D31" s="27" t="str">
        <f>_xlfn.XLOOKUP(tbResumoR02[[#This Row],[REGIÃO]],tbRegioes[Código Região],tbRegioes[Contrato],"")</f>
        <v>014.2025</v>
      </c>
      <c r="E31" s="26">
        <f>'REGIÃO 02 - HISTÓRICO'!C31</f>
        <v>113</v>
      </c>
      <c r="F31" s="100" t="s">
        <v>62</v>
      </c>
      <c r="G31" s="182" t="str">
        <f>'REGIÃO 02 - HISTÓRICO'!D31</f>
        <v>abr/mai/jun</v>
      </c>
      <c r="H31" s="8">
        <v>52</v>
      </c>
      <c r="I31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TO-222 - TRECHO SANTA FÉ DO ARAGUAIA - DIVISA TO-PA (POVOADO PORTO LEMOS)</v>
      </c>
      <c r="J31" s="85" t="s">
        <v>686</v>
      </c>
      <c r="K31" s="9">
        <f>'REGIÃO 02 - HISTÓRICO'!E31</f>
        <v>418611.58</v>
      </c>
      <c r="L31" s="8" t="str">
        <f>'REGIÃO 02 - HISTÓRICO'!I31</f>
        <v>Concluída</v>
      </c>
      <c r="M31" s="34"/>
    </row>
    <row r="32" spans="2:13" ht="79.2" x14ac:dyDescent="0.3">
      <c r="B32" s="29">
        <f>'REGIÃO 02 - HISTÓRICO'!B32</f>
        <v>29</v>
      </c>
      <c r="C32" s="87" t="s">
        <v>11</v>
      </c>
      <c r="D32" s="27" t="str">
        <f>_xlfn.XLOOKUP(tbResumoR02[[#This Row],[REGIÃO]],tbRegioes[Código Região],tbRegioes[Contrato],"")</f>
        <v>014.2025</v>
      </c>
      <c r="E32" s="26">
        <f>'REGIÃO 02 - HISTÓRICO'!C32</f>
        <v>114</v>
      </c>
      <c r="F32" s="100" t="s">
        <v>62</v>
      </c>
      <c r="G32" s="182" t="str">
        <f>'REGIÃO 02 - HISTÓRICO'!D32</f>
        <v>abr/mai/jun</v>
      </c>
      <c r="H32" s="8">
        <v>54</v>
      </c>
      <c r="I32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TO-230 - TRECHO ARAPOEMA - PAU D'ARCO (DIVISA TO-PA)</v>
      </c>
      <c r="J32" s="85" t="s">
        <v>674</v>
      </c>
      <c r="K32" s="9">
        <f>'REGIÃO 02 - HISTÓRICO'!E32</f>
        <v>349919.75</v>
      </c>
      <c r="L32" s="8" t="str">
        <f>'REGIÃO 02 - HISTÓRICO'!I32</f>
        <v>Cancelada</v>
      </c>
      <c r="M32" s="34" t="s">
        <v>770</v>
      </c>
    </row>
    <row r="33" spans="2:13" ht="31.2" x14ac:dyDescent="0.3">
      <c r="B33" s="29">
        <f>'REGIÃO 02 - HISTÓRICO'!B33</f>
        <v>30</v>
      </c>
      <c r="C33" s="87" t="s">
        <v>11</v>
      </c>
      <c r="D33" s="27" t="str">
        <f>_xlfn.XLOOKUP(tbResumoR02[[#This Row],[REGIÃO]],tbRegioes[Código Região],tbRegioes[Contrato],"")</f>
        <v>014.2025</v>
      </c>
      <c r="E33" s="26">
        <f>'REGIÃO 02 - HISTÓRICO'!C33</f>
        <v>115</v>
      </c>
      <c r="F33" s="100" t="s">
        <v>62</v>
      </c>
      <c r="G33" s="182" t="str">
        <f>'REGIÃO 02 - HISTÓRICO'!D33</f>
        <v>abr/mai</v>
      </c>
      <c r="H33" s="8">
        <v>50</v>
      </c>
      <c r="I33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TO-222 - TRECHO ARAGUAÍNA - ENTR. TO-164 (NOVO HORIZONTE)</v>
      </c>
      <c r="J33" s="85" t="s">
        <v>686</v>
      </c>
      <c r="K33" s="9">
        <f>'REGIÃO 02 - HISTÓRICO'!E33</f>
        <v>200915.75</v>
      </c>
      <c r="L33" s="8" t="str">
        <f>'REGIÃO 02 - HISTÓRICO'!I33</f>
        <v>Concluída</v>
      </c>
      <c r="M33" s="34"/>
    </row>
    <row r="34" spans="2:13" x14ac:dyDescent="0.3">
      <c r="B34" s="29">
        <f>'REGIÃO 02 - HISTÓRICO'!B34</f>
        <v>31</v>
      </c>
      <c r="C34" s="87" t="s">
        <v>11</v>
      </c>
      <c r="D34" s="27" t="str">
        <f>_xlfn.XLOOKUP(tbResumoR02[[#This Row],[REGIÃO]],tbRegioes[Código Região],tbRegioes[Contrato],"")</f>
        <v>014.2025</v>
      </c>
      <c r="E34" s="26">
        <f>'REGIÃO 02 - HISTÓRICO'!C34</f>
        <v>116</v>
      </c>
      <c r="F34" s="100" t="s">
        <v>62</v>
      </c>
      <c r="G34" s="182" t="str">
        <f>'REGIÃO 02 - HISTÓRICO'!D34</f>
        <v>abr/mai/jun</v>
      </c>
      <c r="H34" s="8">
        <v>57</v>
      </c>
      <c r="I34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TO-416 - TRECHO ENTR. BR-153 - RIACHINHO</v>
      </c>
      <c r="J34" s="85" t="s">
        <v>82</v>
      </c>
      <c r="K34" s="9">
        <f>'REGIÃO 02 - HISTÓRICO'!E34</f>
        <v>216295.34</v>
      </c>
      <c r="L34" s="8" t="str">
        <f>'REGIÃO 02 - HISTÓRICO'!I34</f>
        <v>Concluída</v>
      </c>
      <c r="M34" s="34"/>
    </row>
    <row r="35" spans="2:13" ht="93.6" x14ac:dyDescent="0.3">
      <c r="B35" s="31">
        <f>'REGIÃO 02 - HISTÓRICO'!B35</f>
        <v>32</v>
      </c>
      <c r="C35" s="87" t="s">
        <v>11</v>
      </c>
      <c r="D35" s="27" t="str">
        <f>_xlfn.XLOOKUP(tbResumoR02[[#This Row],[REGIÃO]],tbRegioes[Código Região],tbRegioes[Contrato],"")</f>
        <v>014.2025</v>
      </c>
      <c r="E35" s="26">
        <f>'REGIÃO 02 - HISTÓRICO'!C35</f>
        <v>117</v>
      </c>
      <c r="F35" s="100" t="s">
        <v>62</v>
      </c>
      <c r="G35" s="182" t="str">
        <f>'REGIÃO 02 - HISTÓRICO'!D35</f>
        <v>abr/mai/jun</v>
      </c>
      <c r="H35" s="8">
        <v>48</v>
      </c>
      <c r="I35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TO-165 - TRECHO SANTA FÉ DO ARAGUAIA - ENTR. TO-226 - ARAPOEMA</v>
      </c>
      <c r="J35" s="85" t="s">
        <v>677</v>
      </c>
      <c r="K35" s="9">
        <f>'REGIÃO 02 - HISTÓRICO'!E35</f>
        <v>1066110.3700000001</v>
      </c>
      <c r="L35" s="8" t="str">
        <f>'REGIÃO 02 - HISTÓRICO'!I35</f>
        <v>Cancelada</v>
      </c>
      <c r="M35" s="34" t="s">
        <v>771</v>
      </c>
    </row>
    <row r="36" spans="2:13" ht="31.2" x14ac:dyDescent="0.3">
      <c r="B36" s="31">
        <f>'REGIÃO 02 - HISTÓRICO'!B36</f>
        <v>33</v>
      </c>
      <c r="C36" s="87" t="s">
        <v>11</v>
      </c>
      <c r="D36" s="27" t="str">
        <f>_xlfn.XLOOKUP(tbResumoR02[[#This Row],[REGIÃO]],tbRegioes[Código Região],tbRegioes[Contrato],"")</f>
        <v>014.2025</v>
      </c>
      <c r="E36" s="26">
        <f>'REGIÃO 02 - HISTÓRICO'!C36</f>
        <v>118</v>
      </c>
      <c r="F36" s="100" t="s">
        <v>62</v>
      </c>
      <c r="G36" s="182" t="str">
        <f>'REGIÃO 02 - HISTÓRICO'!D36</f>
        <v>abr/mai/jun</v>
      </c>
      <c r="H36" s="8">
        <v>43</v>
      </c>
      <c r="I36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TO-164 - TRECHO ARAGOMINAS - MURICILÂNDIA</v>
      </c>
      <c r="J36" s="85" t="s">
        <v>773</v>
      </c>
      <c r="K36" s="9">
        <f>'REGIÃO 02 - HISTÓRICO'!E36</f>
        <v>169859.47</v>
      </c>
      <c r="L36" s="8" t="str">
        <f>'REGIÃO 02 - HISTÓRICO'!I36</f>
        <v>Concluída</v>
      </c>
      <c r="M36" s="34"/>
    </row>
    <row r="37" spans="2:13" ht="78" x14ac:dyDescent="0.3">
      <c r="B37" s="33">
        <f>'REGIÃO 02 - HISTÓRICO'!B37</f>
        <v>34</v>
      </c>
      <c r="C37" s="87" t="s">
        <v>11</v>
      </c>
      <c r="D37" s="27" t="str">
        <f>_xlfn.XLOOKUP(tbResumoR02[[#This Row],[REGIÃO]],tbRegioes[Código Região],tbRegioes[Contrato],"")</f>
        <v>014.2025</v>
      </c>
      <c r="E37" s="26">
        <f>'REGIÃO 02 - HISTÓRICO'!C37</f>
        <v>119</v>
      </c>
      <c r="F37" s="100" t="s">
        <v>62</v>
      </c>
      <c r="G37" s="182" t="str">
        <f>'REGIÃO 02 - HISTÓRICO'!D37</f>
        <v>abr/mai/jun</v>
      </c>
      <c r="H37" s="8">
        <v>65</v>
      </c>
      <c r="I37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TO-430 - TRECHO POVOADO CORIOLANDO (ENTR. TO-230 - ARAPOEMA) - ENTR. TO-164</v>
      </c>
      <c r="J37" s="85" t="s">
        <v>772</v>
      </c>
      <c r="K37" s="9">
        <f>'REGIÃO 02 - HISTÓRICO'!E37</f>
        <v>499747.93</v>
      </c>
      <c r="L37" s="8" t="str">
        <f>'REGIÃO 02 - HISTÓRICO'!I37</f>
        <v>Concluída</v>
      </c>
      <c r="M37" s="34"/>
    </row>
    <row r="38" spans="2:13" ht="78" x14ac:dyDescent="0.3">
      <c r="B38" s="33">
        <f>'REGIÃO 02 - HISTÓRICO'!B38</f>
        <v>35</v>
      </c>
      <c r="C38" s="87" t="s">
        <v>11</v>
      </c>
      <c r="D38" s="27" t="str">
        <f>_xlfn.XLOOKUP(tbResumoR02[[#This Row],[REGIÃO]],tbRegioes[Código Região],tbRegioes[Contrato],"")</f>
        <v>014.2025</v>
      </c>
      <c r="E38" s="26">
        <f>'REGIÃO 02 - HISTÓRICO'!C38</f>
        <v>120</v>
      </c>
      <c r="F38" s="85" t="s">
        <v>63</v>
      </c>
      <c r="G38" s="182" t="str">
        <f>'REGIÃO 02 - HISTÓRICO'!D38</f>
        <v>mai/jun</v>
      </c>
      <c r="H38" s="8">
        <v>44</v>
      </c>
      <c r="I38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TO-164 - TRECHO ARAGUANÃ - CARMOLÂNDIA</v>
      </c>
      <c r="J38" s="85" t="s">
        <v>774</v>
      </c>
      <c r="K38" s="9">
        <f>'REGIÃO 02 - HISTÓRICO'!E38</f>
        <v>69593</v>
      </c>
      <c r="L38" s="8" t="str">
        <f>'REGIÃO 02 - HISTÓRICO'!I38</f>
        <v>Cancelada</v>
      </c>
      <c r="M38" s="34"/>
    </row>
    <row r="39" spans="2:13" ht="46.8" x14ac:dyDescent="0.3">
      <c r="B39" s="33">
        <f>'REGIÃO 02 - HISTÓRICO'!B39</f>
        <v>36</v>
      </c>
      <c r="C39" s="87" t="s">
        <v>11</v>
      </c>
      <c r="D39" s="27" t="str">
        <f>_xlfn.XLOOKUP(tbResumoR02[[#This Row],[REGIÃO]],tbRegioes[Código Região],tbRegioes[Contrato],"")</f>
        <v>014.2025</v>
      </c>
      <c r="E39" s="26">
        <f>'REGIÃO 02 - HISTÓRICO'!C39</f>
        <v>121</v>
      </c>
      <c r="F39" s="85" t="s">
        <v>64</v>
      </c>
      <c r="G39" s="182" t="str">
        <f>'REGIÃO 02 - HISTÓRICO'!D39</f>
        <v>jun/jul/ago</v>
      </c>
      <c r="H39" s="8">
        <v>64</v>
      </c>
      <c r="I39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TO-429 - TRECHO ENTR. TO-230 (ARAPOEMA) - POVOADO ARACAJI</v>
      </c>
      <c r="J39" s="85" t="s">
        <v>681</v>
      </c>
      <c r="K39" s="9">
        <f>'REGIÃO 02 - HISTÓRICO'!E39</f>
        <v>373995.13</v>
      </c>
      <c r="L39" s="8" t="str">
        <f>'REGIÃO 02 - HISTÓRICO'!I39</f>
        <v>Concluída</v>
      </c>
      <c r="M39" s="34"/>
    </row>
    <row r="40" spans="2:13" ht="62.4" x14ac:dyDescent="0.3">
      <c r="B40" s="33">
        <f>'REGIÃO 02 - HISTÓRICO'!B40</f>
        <v>37</v>
      </c>
      <c r="C40" s="87" t="s">
        <v>11</v>
      </c>
      <c r="D40" s="27" t="str">
        <f>_xlfn.XLOOKUP(tbResumoR02[[#This Row],[REGIÃO]],tbRegioes[Código Região],tbRegioes[Contrato],"")</f>
        <v>014.2025</v>
      </c>
      <c r="E40" s="26">
        <f>'REGIÃO 02 - HISTÓRICO'!C40</f>
        <v>122</v>
      </c>
      <c r="F40" s="85" t="s">
        <v>64</v>
      </c>
      <c r="G40" s="182" t="str">
        <f>'REGIÃO 02 - HISTÓRICO'!D40</f>
        <v>jun/jul/ago</v>
      </c>
      <c r="H40" s="8">
        <v>56</v>
      </c>
      <c r="I40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TO-230 - TRECHO ENTR. BR-153 - BANDEIRANTES DO TOCANTINS</v>
      </c>
      <c r="J40" s="85" t="s">
        <v>783</v>
      </c>
      <c r="K40" s="9">
        <f>'REGIÃO 02 - HISTÓRICO'!E40</f>
        <v>39329.910000000003</v>
      </c>
      <c r="L40" s="8" t="str">
        <f>'REGIÃO 02 - HISTÓRICO'!I40</f>
        <v>Cancelada</v>
      </c>
      <c r="M40" s="34" t="s">
        <v>784</v>
      </c>
    </row>
    <row r="41" spans="2:13" ht="92.4" x14ac:dyDescent="0.3">
      <c r="B41" s="33">
        <f>'REGIÃO 02 - HISTÓRICO'!B41</f>
        <v>38</v>
      </c>
      <c r="C41" s="87" t="s">
        <v>11</v>
      </c>
      <c r="D41" s="27" t="str">
        <f>_xlfn.XLOOKUP(tbResumoR02[[#This Row],[REGIÃO]],tbRegioes[Código Região],tbRegioes[Contrato],"")</f>
        <v>014.2025</v>
      </c>
      <c r="E41" s="26">
        <f>'REGIÃO 02 - HISTÓRICO'!C41</f>
        <v>123</v>
      </c>
      <c r="F41" s="85" t="s">
        <v>64</v>
      </c>
      <c r="G41" s="182" t="str">
        <f>'REGIÃO 02 - HISTÓRICO'!D41</f>
        <v>jun/jul/ago</v>
      </c>
      <c r="H41" s="8">
        <v>46</v>
      </c>
      <c r="I41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TO-164 - TRECHO ENTR. TO-226 - POVOADO DEZENOVE - BERNARDO SAYÃO</v>
      </c>
      <c r="J41" s="85" t="s">
        <v>774</v>
      </c>
      <c r="K41" s="9">
        <f>'REGIÃO 02 - HISTÓRICO'!E41</f>
        <v>111749.71</v>
      </c>
      <c r="L41" s="8" t="str">
        <f>'REGIÃO 02 - HISTÓRICO'!I41</f>
        <v>Cancelada</v>
      </c>
      <c r="M41" s="34" t="s">
        <v>786</v>
      </c>
    </row>
    <row r="42" spans="2:13" ht="66" x14ac:dyDescent="0.3">
      <c r="B42" s="33">
        <f>'REGIÃO 02 - HISTÓRICO'!B42</f>
        <v>39</v>
      </c>
      <c r="C42" s="87" t="s">
        <v>11</v>
      </c>
      <c r="D42" s="27" t="str">
        <f>_xlfn.XLOOKUP(tbResumoR02[[#This Row],[REGIÃO]],tbRegioes[Código Região],tbRegioes[Contrato],"")</f>
        <v>014.2025</v>
      </c>
      <c r="E42" s="26">
        <f>'REGIÃO 02 - HISTÓRICO'!C42</f>
        <v>124</v>
      </c>
      <c r="F42" s="85" t="s">
        <v>64</v>
      </c>
      <c r="G42" s="182" t="str">
        <f>'REGIÃO 02 - HISTÓRICO'!D42</f>
        <v>jun/jul/ago</v>
      </c>
      <c r="H42" s="8">
        <v>66</v>
      </c>
      <c r="I42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TO-433 - TRECHO ENTR. TO-230 (POVOADO BRASILENE) - BERNARDO SAYÃO (ENTR. TO-164)</v>
      </c>
      <c r="J42" s="85" t="s">
        <v>104</v>
      </c>
      <c r="K42" s="9">
        <f>'REGIÃO 02 - HISTÓRICO'!E42</f>
        <v>30161.52</v>
      </c>
      <c r="L42" s="8" t="str">
        <f>'REGIÃO 02 - HISTÓRICO'!I42</f>
        <v>Cancelada</v>
      </c>
      <c r="M42" s="34" t="s">
        <v>785</v>
      </c>
    </row>
    <row r="43" spans="2:13" ht="118.8" x14ac:dyDescent="0.3">
      <c r="B43" s="33">
        <f>'REGIÃO 02 - HISTÓRICO'!B43</f>
        <v>40</v>
      </c>
      <c r="C43" s="87" t="s">
        <v>11</v>
      </c>
      <c r="D43" s="27" t="str">
        <f>_xlfn.XLOOKUP(tbResumoR02[[#This Row],[REGIÃO]],tbRegioes[Código Região],tbRegioes[Contrato],"")</f>
        <v>014.2025</v>
      </c>
      <c r="E43" s="26">
        <f>'REGIÃO 02 - HISTÓRICO'!C43</f>
        <v>125</v>
      </c>
      <c r="F43" s="85" t="s">
        <v>64</v>
      </c>
      <c r="G43" s="182" t="str">
        <f>'REGIÃO 02 - HISTÓRICO'!D43</f>
        <v>jun/jul/ago</v>
      </c>
      <c r="H43" s="8">
        <v>65</v>
      </c>
      <c r="I43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TO-430 - TRECHO POVOADO CORIOLANDO (ENTR. TO-230 - ARAPOEMA) - ENTR. TO-164</v>
      </c>
      <c r="J43" s="85" t="s">
        <v>102</v>
      </c>
      <c r="K43" s="9">
        <f>'REGIÃO 02 - HISTÓRICO'!E43</f>
        <v>168695.29</v>
      </c>
      <c r="L43" s="8" t="str">
        <f>'REGIÃO 02 - HISTÓRICO'!I43</f>
        <v>Cancelada</v>
      </c>
      <c r="M43" s="34" t="s">
        <v>787</v>
      </c>
    </row>
    <row r="44" spans="2:13" x14ac:dyDescent="0.3">
      <c r="B44" s="33">
        <f>'REGIÃO 02 - HISTÓRICO'!B44</f>
        <v>41</v>
      </c>
      <c r="C44" s="87" t="s">
        <v>11</v>
      </c>
      <c r="D44" s="27" t="str">
        <f>_xlfn.XLOOKUP(tbResumoR02[[#This Row],[REGIÃO]],tbRegioes[Código Região],tbRegioes[Contrato],"")</f>
        <v>014.2025</v>
      </c>
      <c r="E44" s="26">
        <f>'REGIÃO 02 - HISTÓRICO'!C44</f>
        <v>126</v>
      </c>
      <c r="F44" s="85" t="s">
        <v>64</v>
      </c>
      <c r="G44" s="182" t="str">
        <f>'REGIÃO 02 - HISTÓRICO'!D44</f>
        <v>jun/jul</v>
      </c>
      <c r="H44" s="8">
        <v>57</v>
      </c>
      <c r="I44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TO-416 - TRECHO ENTR. BR-153 - RIACHINHO</v>
      </c>
      <c r="J44" s="85" t="s">
        <v>25</v>
      </c>
      <c r="K44" s="9">
        <f>'REGIÃO 02 - HISTÓRICO'!E44</f>
        <v>12822.9</v>
      </c>
      <c r="L44" s="8" t="str">
        <f>'REGIÃO 02 - HISTÓRICO'!I44</f>
        <v>Concluída</v>
      </c>
      <c r="M44" s="34"/>
    </row>
    <row r="45" spans="2:13" ht="31.2" x14ac:dyDescent="0.3">
      <c r="B45" s="33">
        <f>'REGIÃO 02 - HISTÓRICO'!B45</f>
        <v>42</v>
      </c>
      <c r="C45" s="87" t="s">
        <v>11</v>
      </c>
      <c r="D45" s="27" t="str">
        <f>_xlfn.XLOOKUP(tbResumoR02[[#This Row],[REGIÃO]],tbRegioes[Código Região],tbRegioes[Contrato],"")</f>
        <v>014.2025</v>
      </c>
      <c r="E45" s="26">
        <f>'REGIÃO 02 - HISTÓRICO'!C45</f>
        <v>127</v>
      </c>
      <c r="F45" s="85" t="s">
        <v>64</v>
      </c>
      <c r="G45" s="182" t="str">
        <f>'REGIÃO 02 - HISTÓRICO'!D45</f>
        <v>jun/jul</v>
      </c>
      <c r="H45" s="8">
        <v>61</v>
      </c>
      <c r="I45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TO-420 - TRECHO ENTR. BR-153 (POVOADO XAMBERLÂNDIA) - PIRAQUÊ - ENTR. BR-153</v>
      </c>
      <c r="J45" s="85" t="s">
        <v>25</v>
      </c>
      <c r="K45" s="9">
        <f>'REGIÃO 02 - HISTÓRICO'!E45</f>
        <v>15129.7</v>
      </c>
      <c r="L45" s="8" t="str">
        <f>'REGIÃO 02 - HISTÓRICO'!I45</f>
        <v>Concluída</v>
      </c>
      <c r="M45" s="34"/>
    </row>
    <row r="46" spans="2:13" ht="31.2" x14ac:dyDescent="0.3">
      <c r="B46" s="33">
        <f>'REGIÃO 02 - HISTÓRICO'!B46</f>
        <v>43</v>
      </c>
      <c r="C46" s="87" t="s">
        <v>11</v>
      </c>
      <c r="D46" s="27" t="str">
        <f>_xlfn.XLOOKUP(tbResumoR02[[#This Row],[REGIÃO]],tbRegioes[Código Região],tbRegioes[Contrato],"")</f>
        <v>014.2025</v>
      </c>
      <c r="E46" s="26">
        <f>'REGIÃO 02 - HISTÓRICO'!C46</f>
        <v>128</v>
      </c>
      <c r="F46" s="85" t="s">
        <v>64</v>
      </c>
      <c r="G46" s="182" t="str">
        <f>'REGIÃO 02 - HISTÓRICO'!D46</f>
        <v>jun/jul</v>
      </c>
      <c r="H46" s="8">
        <v>40</v>
      </c>
      <c r="I46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TO-010 - TRECHO WANDERLÂNDIA - RIACHINHO</v>
      </c>
      <c r="J46" s="85" t="s">
        <v>25</v>
      </c>
      <c r="K46" s="9">
        <f>'REGIÃO 02 - HISTÓRICO'!E46</f>
        <v>23378.76</v>
      </c>
      <c r="L46" s="8" t="str">
        <f>'REGIÃO 02 - HISTÓRICO'!I46</f>
        <v>Concluída</v>
      </c>
      <c r="M46" s="34"/>
    </row>
    <row r="47" spans="2:13" x14ac:dyDescent="0.3">
      <c r="B47" s="33">
        <f>'REGIÃO 02 - HISTÓRICO'!B47</f>
        <v>44</v>
      </c>
      <c r="C47" s="87" t="s">
        <v>11</v>
      </c>
      <c r="D47" s="27" t="str">
        <f>_xlfn.XLOOKUP(tbResumoR02[[#This Row],[REGIÃO]],tbRegioes[Código Região],tbRegioes[Contrato],"")</f>
        <v>014.2025</v>
      </c>
      <c r="E47" s="26">
        <f>'REGIÃO 02 - HISTÓRICO'!C47</f>
        <v>129</v>
      </c>
      <c r="F47" s="85" t="s">
        <v>64</v>
      </c>
      <c r="G47" s="182" t="str">
        <f>'REGIÃO 02 - HISTÓRICO'!D47</f>
        <v>jun/jul</v>
      </c>
      <c r="H47" s="8">
        <v>39</v>
      </c>
      <c r="I47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TO-010 - TRECHO RIACHINHO - ANANÁS</v>
      </c>
      <c r="J47" s="85" t="s">
        <v>788</v>
      </c>
      <c r="K47" s="9">
        <f>'REGIÃO 02 - HISTÓRICO'!E47</f>
        <v>273539.46999999997</v>
      </c>
      <c r="L47" s="8" t="str">
        <f>'REGIÃO 02 - HISTÓRICO'!I47</f>
        <v>Concluída</v>
      </c>
      <c r="M47" s="34"/>
    </row>
    <row r="48" spans="2:13" ht="31.2" x14ac:dyDescent="0.3">
      <c r="B48" s="33">
        <f>'REGIÃO 02 - HISTÓRICO'!B48</f>
        <v>45</v>
      </c>
      <c r="C48" s="87" t="s">
        <v>11</v>
      </c>
      <c r="D48" s="27" t="str">
        <f>_xlfn.XLOOKUP(tbResumoR02[[#This Row],[REGIÃO]],tbRegioes[Código Região],tbRegioes[Contrato],"")</f>
        <v>014.2025</v>
      </c>
      <c r="E48" s="26">
        <f>'REGIÃO 02 - HISTÓRICO'!C48</f>
        <v>130</v>
      </c>
      <c r="F48" s="85" t="s">
        <v>775</v>
      </c>
      <c r="G48" s="182" t="str">
        <f>'REGIÃO 02 - HISTÓRICO'!D48</f>
        <v>jul/ago</v>
      </c>
      <c r="H48" s="8">
        <v>53</v>
      </c>
      <c r="I48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TO-226 - TRECHO ENTR. BR-153 (POVOADO RIO PRETO) - DIVISA TO-PA (POVOADO GARIMPINHO)</v>
      </c>
      <c r="J48" s="85" t="s">
        <v>789</v>
      </c>
      <c r="K48" s="9">
        <f>'REGIÃO 02 - HISTÓRICO'!E48</f>
        <v>563007</v>
      </c>
      <c r="L48" s="8" t="str">
        <f>'REGIÃO 02 - HISTÓRICO'!I48</f>
        <v>Concluída</v>
      </c>
      <c r="M48" s="34"/>
    </row>
    <row r="49" spans="2:13" ht="66" x14ac:dyDescent="0.3">
      <c r="B49" s="33">
        <f>'REGIÃO 02 - HISTÓRICO'!B49</f>
        <v>46</v>
      </c>
      <c r="C49" s="87" t="s">
        <v>11</v>
      </c>
      <c r="D49" s="27" t="str">
        <f>_xlfn.XLOOKUP(tbResumoR02[[#This Row],[REGIÃO]],tbRegioes[Código Região],tbRegioes[Contrato],"")</f>
        <v>014.2025</v>
      </c>
      <c r="E49" s="26">
        <f>'REGIÃO 02 - HISTÓRICO'!C49</f>
        <v>131</v>
      </c>
      <c r="F49" s="85" t="s">
        <v>775</v>
      </c>
      <c r="G49" s="182" t="str">
        <f>'REGIÃO 02 - HISTÓRICO'!D49</f>
        <v>jul/ago/set</v>
      </c>
      <c r="H49" s="8">
        <v>54</v>
      </c>
      <c r="I49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TO-230 - TRECHO ARAPOEMA - PAU D'ARCO (DIVISA TO-PA)</v>
      </c>
      <c r="J49" s="85" t="s">
        <v>81</v>
      </c>
      <c r="K49" s="9">
        <f>'REGIÃO 02 - HISTÓRICO'!E49</f>
        <v>418467.93</v>
      </c>
      <c r="L49" s="8" t="str">
        <f>'REGIÃO 02 - HISTÓRICO'!I49</f>
        <v>Concluída</v>
      </c>
      <c r="M49" s="34" t="s">
        <v>790</v>
      </c>
    </row>
    <row r="50" spans="2:13" ht="31.2" x14ac:dyDescent="0.3">
      <c r="B50" s="33">
        <f>'REGIÃO 02 - HISTÓRICO'!B50</f>
        <v>47</v>
      </c>
      <c r="C50" s="87" t="s">
        <v>11</v>
      </c>
      <c r="D50" s="27" t="str">
        <f>_xlfn.XLOOKUP(tbResumoR02[[#This Row],[REGIÃO]],tbRegioes[Código Região],tbRegioes[Contrato],"")</f>
        <v>014.2025</v>
      </c>
      <c r="E50" s="26">
        <f>'REGIÃO 02 - HISTÓRICO'!C50</f>
        <v>132</v>
      </c>
      <c r="F50" s="85" t="s">
        <v>776</v>
      </c>
      <c r="G50" s="182" t="str">
        <f>'REGIÃO 02 - HISTÓRICO'!D50</f>
        <v>ago/set/out</v>
      </c>
      <c r="H50" s="8">
        <v>57</v>
      </c>
      <c r="I50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TO-416 - TRECHO ENTR. BR-153 - RIACHINHO</v>
      </c>
      <c r="J50" s="85" t="s">
        <v>789</v>
      </c>
      <c r="K50" s="9">
        <f>'REGIÃO 02 - HISTÓRICO'!E50</f>
        <v>406009.27</v>
      </c>
      <c r="L50" s="8" t="str">
        <f>'REGIÃO 02 - HISTÓRICO'!I50</f>
        <v>Justificada</v>
      </c>
      <c r="M50" s="34"/>
    </row>
    <row r="51" spans="2:13" ht="93.6" x14ac:dyDescent="0.3">
      <c r="B51" s="33">
        <f>'REGIÃO 02 - HISTÓRICO'!B51</f>
        <v>48</v>
      </c>
      <c r="C51" s="87" t="s">
        <v>11</v>
      </c>
      <c r="D51" s="27" t="str">
        <f>_xlfn.XLOOKUP(tbResumoR02[[#This Row],[REGIÃO]],tbRegioes[Código Região],tbRegioes[Contrato],"")</f>
        <v>014.2025</v>
      </c>
      <c r="E51" s="26">
        <f>'REGIÃO 02 - HISTÓRICO'!C51</f>
        <v>133</v>
      </c>
      <c r="F51" s="85" t="s">
        <v>775</v>
      </c>
      <c r="G51" s="182" t="str">
        <f>'REGIÃO 02 - HISTÓRICO'!D51</f>
        <v>jul/ago/set</v>
      </c>
      <c r="H51" s="8">
        <v>48</v>
      </c>
      <c r="I51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TO-165 - TRECHO SANTA FÉ DO ARAGUAIA - ENTR. TO-226 - ARAPOEMA</v>
      </c>
      <c r="J51" s="85" t="s">
        <v>791</v>
      </c>
      <c r="K51" s="9">
        <f>'REGIÃO 02 - HISTÓRICO'!E51</f>
        <v>642128</v>
      </c>
      <c r="L51" s="8" t="str">
        <f>'REGIÃO 02 - HISTÓRICO'!I51</f>
        <v>Em elaboração</v>
      </c>
      <c r="M51" s="34"/>
    </row>
    <row r="52" spans="2:13" ht="78" x14ac:dyDescent="0.3">
      <c r="B52" s="33">
        <f>'REGIÃO 02 - HISTÓRICO'!B52</f>
        <v>49</v>
      </c>
      <c r="C52" s="87" t="s">
        <v>11</v>
      </c>
      <c r="D52" s="27" t="str">
        <f>_xlfn.XLOOKUP(tbResumoR02[[#This Row],[REGIÃO]],tbRegioes[Código Região],tbRegioes[Contrato],"")</f>
        <v>014.2025</v>
      </c>
      <c r="E52" s="26">
        <f>'REGIÃO 02 - HISTÓRICO'!C52</f>
        <v>134</v>
      </c>
      <c r="F52" s="85" t="s">
        <v>775</v>
      </c>
      <c r="G52" s="182" t="str">
        <f>'REGIÃO 02 - HISTÓRICO'!D52</f>
        <v>jul</v>
      </c>
      <c r="H52" s="8">
        <v>61</v>
      </c>
      <c r="I52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TO-420 - TRECHO ENTR. BR-153 (POVOADO XAMBERLÂNDIA) - PIRAQUÊ - ENTR. BR-153</v>
      </c>
      <c r="J52" s="85" t="s">
        <v>792</v>
      </c>
      <c r="K52" s="9">
        <f>'REGIÃO 02 - HISTÓRICO'!E52</f>
        <v>491317.48</v>
      </c>
      <c r="L52" s="8" t="str">
        <f>'REGIÃO 02 - HISTÓRICO'!I52</f>
        <v>Concluída</v>
      </c>
      <c r="M52" s="34"/>
    </row>
    <row r="53" spans="2:13" ht="52.8" x14ac:dyDescent="0.3">
      <c r="B53" s="33">
        <f>'REGIÃO 02 - HISTÓRICO'!B53</f>
        <v>50</v>
      </c>
      <c r="C53" s="87" t="s">
        <v>11</v>
      </c>
      <c r="D53" s="27" t="str">
        <f>_xlfn.XLOOKUP(tbResumoR02[[#This Row],[REGIÃO]],tbRegioes[Código Região],tbRegioes[Contrato],"")</f>
        <v>014.2025</v>
      </c>
      <c r="E53" s="26">
        <f>'REGIÃO 02 - HISTÓRICO'!C53</f>
        <v>135</v>
      </c>
      <c r="F53" s="85" t="s">
        <v>775</v>
      </c>
      <c r="G53" s="182" t="str">
        <f>'REGIÃO 02 - HISTÓRICO'!D53</f>
        <v>jul/ago</v>
      </c>
      <c r="H53" s="8">
        <v>54</v>
      </c>
      <c r="I53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TO-230 - TRECHO ARAPOEMA - PAU D'ARCO (DIVISA TO-PA)</v>
      </c>
      <c r="J53" s="85" t="s">
        <v>793</v>
      </c>
      <c r="K53" s="9">
        <f>'REGIÃO 02 - HISTÓRICO'!E53</f>
        <v>15198.08</v>
      </c>
      <c r="L53" s="8" t="str">
        <f>'REGIÃO 02 - HISTÓRICO'!I53</f>
        <v>Concluída</v>
      </c>
      <c r="M53" s="34" t="s">
        <v>794</v>
      </c>
    </row>
    <row r="54" spans="2:13" ht="39.6" x14ac:dyDescent="0.3">
      <c r="B54" s="33">
        <f>'REGIÃO 02 - HISTÓRICO'!B54</f>
        <v>51</v>
      </c>
      <c r="C54" s="87" t="s">
        <v>11</v>
      </c>
      <c r="D54" s="27" t="str">
        <f>_xlfn.XLOOKUP(tbResumoR02[[#This Row],[REGIÃO]],tbRegioes[Código Região],tbRegioes[Contrato],"")</f>
        <v>014.2025</v>
      </c>
      <c r="E54" s="26">
        <f>'REGIÃO 02 - HISTÓRICO'!C54</f>
        <v>136</v>
      </c>
      <c r="F54" s="85" t="s">
        <v>775</v>
      </c>
      <c r="G54" s="182" t="str">
        <f>'REGIÃO 02 - HISTÓRICO'!D54</f>
        <v>jul/ago</v>
      </c>
      <c r="H54" s="8">
        <v>55</v>
      </c>
      <c r="I54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TO-230 - TRECHO BANDEIRANTES DO TOCANTINS - ARAPOEMA</v>
      </c>
      <c r="J54" s="85" t="s">
        <v>25</v>
      </c>
      <c r="K54" s="9">
        <f>'REGIÃO 02 - HISTÓRICO'!E54</f>
        <v>24522.69</v>
      </c>
      <c r="L54" s="8" t="str">
        <f>'REGIÃO 02 - HISTÓRICO'!I54</f>
        <v>Concluída</v>
      </c>
      <c r="M54" s="34" t="s">
        <v>795</v>
      </c>
    </row>
    <row r="55" spans="2:13" ht="39.6" x14ac:dyDescent="0.3">
      <c r="B55" s="33">
        <f>'REGIÃO 02 - HISTÓRICO'!B55</f>
        <v>52</v>
      </c>
      <c r="C55" s="87" t="s">
        <v>11</v>
      </c>
      <c r="D55" s="27" t="str">
        <f>_xlfn.XLOOKUP(tbResumoR02[[#This Row],[REGIÃO]],tbRegioes[Código Região],tbRegioes[Contrato],"")</f>
        <v>014.2025</v>
      </c>
      <c r="E55" s="26">
        <f>'REGIÃO 02 - HISTÓRICO'!C55</f>
        <v>137</v>
      </c>
      <c r="F55" s="85" t="s">
        <v>775</v>
      </c>
      <c r="G55" s="182" t="str">
        <f>'REGIÃO 02 - HISTÓRICO'!D55</f>
        <v>jul/ago</v>
      </c>
      <c r="H55" s="8">
        <v>56</v>
      </c>
      <c r="I55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TO-230 - TRECHO ENTR. BR-153 - BANDEIRANTES DO TOCANTINS</v>
      </c>
      <c r="J55" s="85" t="s">
        <v>25</v>
      </c>
      <c r="K55" s="9">
        <f>'REGIÃO 02 - HISTÓRICO'!E55</f>
        <v>6270.18</v>
      </c>
      <c r="L55" s="8" t="str">
        <f>'REGIÃO 02 - HISTÓRICO'!I55</f>
        <v>Concluída</v>
      </c>
      <c r="M55" s="34" t="s">
        <v>795</v>
      </c>
    </row>
    <row r="56" spans="2:13" ht="31.2" x14ac:dyDescent="0.3">
      <c r="B56" s="33">
        <f>'REGIÃO 02 - HISTÓRICO'!B56</f>
        <v>53</v>
      </c>
      <c r="C56" s="87" t="s">
        <v>11</v>
      </c>
      <c r="D56" s="27" t="str">
        <f>_xlfn.XLOOKUP(tbResumoR02[[#This Row],[REGIÃO]],tbRegioes[Código Região],tbRegioes[Contrato],"")</f>
        <v>014.2025</v>
      </c>
      <c r="E56" s="26">
        <f>'REGIÃO 02 - HISTÓRICO'!C56</f>
        <v>138</v>
      </c>
      <c r="F56" s="85" t="s">
        <v>776</v>
      </c>
      <c r="G56" s="182" t="str">
        <f>'REGIÃO 02 - HISTÓRICO'!D56</f>
        <v>ago/set/out</v>
      </c>
      <c r="H56" s="8">
        <v>47</v>
      </c>
      <c r="I56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TO-164 - TRECHO MURICILÂNDIA - ENTR. TO-226</v>
      </c>
      <c r="J56" s="85" t="s">
        <v>700</v>
      </c>
      <c r="K56" s="9">
        <f>'REGIÃO 02 - HISTÓRICO'!E56</f>
        <v>81472.100000000006</v>
      </c>
      <c r="L56" s="8" t="str">
        <f>'REGIÃO 02 - HISTÓRICO'!I56</f>
        <v>Justificada</v>
      </c>
      <c r="M56" s="34"/>
    </row>
    <row r="57" spans="2:13" ht="46.8" x14ac:dyDescent="0.3">
      <c r="B57" s="33">
        <f>'REGIÃO 02 - HISTÓRICO'!B57</f>
        <v>54</v>
      </c>
      <c r="C57" s="87" t="s">
        <v>11</v>
      </c>
      <c r="D57" s="27" t="str">
        <f>_xlfn.XLOOKUP(tbResumoR02[[#This Row],[REGIÃO]],tbRegioes[Código Região],tbRegioes[Contrato],"")</f>
        <v>014.2025</v>
      </c>
      <c r="E57" s="26">
        <f>'REGIÃO 02 - HISTÓRICO'!C57</f>
        <v>139</v>
      </c>
      <c r="F57" s="85" t="s">
        <v>775</v>
      </c>
      <c r="G57" s="182" t="str">
        <f>'REGIÃO 02 - HISTÓRICO'!D57</f>
        <v>jul/ago/set</v>
      </c>
      <c r="H57" s="8">
        <v>49</v>
      </c>
      <c r="I57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TO-166 - TRECHO ENTR. TO-222 - ENTR. TO-226 - ARAPOEMA</v>
      </c>
      <c r="J57" s="85" t="s">
        <v>681</v>
      </c>
      <c r="K57" s="9">
        <f>'REGIÃO 02 - HISTÓRICO'!E57</f>
        <v>1088713.07</v>
      </c>
      <c r="L57" s="8" t="str">
        <f>'REGIÃO 02 - HISTÓRICO'!I57</f>
        <v>Em andamento</v>
      </c>
      <c r="M57" s="34"/>
    </row>
    <row r="58" spans="2:13" x14ac:dyDescent="0.3">
      <c r="B58" s="31">
        <f>'REGIÃO 02 - HISTÓRICO'!B58</f>
        <v>55</v>
      </c>
      <c r="C58" s="87" t="s">
        <v>11</v>
      </c>
      <c r="D58" s="27" t="str">
        <f>_xlfn.XLOOKUP(tbResumoR02[[#This Row],[REGIÃO]],tbRegioes[Código Região],tbRegioes[Contrato],"")</f>
        <v>014.2025</v>
      </c>
      <c r="E58" s="26">
        <f>'REGIÃO 02 - HISTÓRICO'!C58</f>
        <v>140</v>
      </c>
      <c r="F58" s="85" t="s">
        <v>775</v>
      </c>
      <c r="G58" s="182" t="str">
        <f>'REGIÃO 02 - HISTÓRICO'!D58</f>
        <v>jul</v>
      </c>
      <c r="H58" s="8">
        <v>39</v>
      </c>
      <c r="I58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TO-010 - TRECHO RIACHINHO - ANANÁS</v>
      </c>
      <c r="J58" s="85" t="s">
        <v>81</v>
      </c>
      <c r="K58" s="9">
        <f>'REGIÃO 02 - HISTÓRICO'!E58</f>
        <v>193097.45</v>
      </c>
      <c r="L58" s="8" t="str">
        <f>'REGIÃO 02 - HISTÓRICO'!I58</f>
        <v>Concluída</v>
      </c>
      <c r="M58" s="34"/>
    </row>
    <row r="59" spans="2:13" ht="31.2" x14ac:dyDescent="0.3">
      <c r="B59" s="33">
        <f>'REGIÃO 02 - HISTÓRICO'!B59</f>
        <v>56</v>
      </c>
      <c r="C59" s="87" t="s">
        <v>11</v>
      </c>
      <c r="D59" s="27" t="str">
        <f>_xlfn.XLOOKUP(tbResumoR02[[#This Row],[REGIÃO]],tbRegioes[Código Região],tbRegioes[Contrato],"")</f>
        <v>014.2025</v>
      </c>
      <c r="E59" s="26">
        <f>'REGIÃO 02 - HISTÓRICO'!C59</f>
        <v>141</v>
      </c>
      <c r="F59" s="179" t="s">
        <v>776</v>
      </c>
      <c r="G59" s="182" t="str">
        <f>'REGIÃO 02 - HISTÓRICO'!D59</f>
        <v>ago/set</v>
      </c>
      <c r="H59" s="8">
        <v>44</v>
      </c>
      <c r="I59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TO-164 - TRECHO ARAGUANÃ - CARMOLÂNDIA</v>
      </c>
      <c r="J59" s="85" t="s">
        <v>25</v>
      </c>
      <c r="K59" s="178">
        <f>'REGIÃO 02 - HISTÓRICO'!E59</f>
        <v>73957.52</v>
      </c>
      <c r="L59" s="8" t="str">
        <f>'REGIÃO 02 - HISTÓRICO'!I59</f>
        <v>Correção Fiscal</v>
      </c>
      <c r="M59" s="101"/>
    </row>
    <row r="60" spans="2:13" ht="31.2" x14ac:dyDescent="0.3">
      <c r="B60" s="33">
        <f>'REGIÃO 02 - HISTÓRICO'!B60</f>
        <v>57</v>
      </c>
      <c r="C60" s="87" t="s">
        <v>11</v>
      </c>
      <c r="D60" s="27" t="str">
        <f>_xlfn.XLOOKUP(tbResumoR02[[#This Row],[REGIÃO]],tbRegioes[Código Região],tbRegioes[Contrato],"")</f>
        <v>014.2025</v>
      </c>
      <c r="E60" s="26">
        <f>'REGIÃO 02 - HISTÓRICO'!C60</f>
        <v>142</v>
      </c>
      <c r="F60" s="179" t="s">
        <v>776</v>
      </c>
      <c r="G60" s="182" t="str">
        <f>'REGIÃO 02 - HISTÓRICO'!D60</f>
        <v>ago/set</v>
      </c>
      <c r="H60" s="8">
        <v>56</v>
      </c>
      <c r="I60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TO-230 - TRECHO ENTR. BR-153 - BANDEIRANTES DO TOCANTINS</v>
      </c>
      <c r="J60" s="85" t="s">
        <v>25</v>
      </c>
      <c r="K60" s="178">
        <f>'REGIÃO 02 - HISTÓRICO'!E60</f>
        <v>23329.32</v>
      </c>
      <c r="L60" s="8" t="str">
        <f>'REGIÃO 02 - HISTÓRICO'!I60</f>
        <v>Correção Fiscal</v>
      </c>
      <c r="M60" s="101"/>
    </row>
    <row r="61" spans="2:13" ht="31.2" x14ac:dyDescent="0.3">
      <c r="B61" s="31">
        <f>'REGIÃO 02 - HISTÓRICO'!B61</f>
        <v>58</v>
      </c>
      <c r="C61" s="87" t="s">
        <v>11</v>
      </c>
      <c r="D61" s="27" t="str">
        <f>_xlfn.XLOOKUP(tbResumoR02[[#This Row],[REGIÃO]],tbRegioes[Código Região],tbRegioes[Contrato],"")</f>
        <v>014.2025</v>
      </c>
      <c r="E61" s="26">
        <f>'REGIÃO 02 - HISTÓRICO'!C61</f>
        <v>143</v>
      </c>
      <c r="F61" s="179" t="s">
        <v>776</v>
      </c>
      <c r="G61" s="182" t="str">
        <f>'REGIÃO 02 - HISTÓRICO'!D61</f>
        <v>ago/set</v>
      </c>
      <c r="H61" s="8">
        <v>46</v>
      </c>
      <c r="I61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TO-164 - TRECHO ENTR. TO-226 - POVOADO DEZENOVE - BERNARDO SAYÃO</v>
      </c>
      <c r="J61" s="85" t="s">
        <v>25</v>
      </c>
      <c r="K61" s="178">
        <f>'REGIÃO 02 - HISTÓRICO'!E61</f>
        <v>52496.04</v>
      </c>
      <c r="L61" s="8" t="str">
        <f>'REGIÃO 02 - HISTÓRICO'!I61</f>
        <v>Em andamento</v>
      </c>
      <c r="M61" s="101"/>
    </row>
    <row r="62" spans="2:13" ht="31.2" x14ac:dyDescent="0.3">
      <c r="B62" s="31">
        <f>'REGIÃO 02 - HISTÓRICO'!B62</f>
        <v>59</v>
      </c>
      <c r="C62" s="87" t="s">
        <v>11</v>
      </c>
      <c r="D62" s="27" t="str">
        <f>_xlfn.XLOOKUP(tbResumoR02[[#This Row],[REGIÃO]],tbRegioes[Código Região],tbRegioes[Contrato],"")</f>
        <v>014.2025</v>
      </c>
      <c r="E62" s="26">
        <f>'REGIÃO 02 - HISTÓRICO'!C62</f>
        <v>144</v>
      </c>
      <c r="F62" s="179" t="s">
        <v>776</v>
      </c>
      <c r="G62" s="182" t="str">
        <f>'REGIÃO 02 - HISTÓRICO'!D62</f>
        <v>ago/set</v>
      </c>
      <c r="H62" s="8">
        <v>48</v>
      </c>
      <c r="I62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TO-165 - TRECHO SANTA FÉ DO ARAGUAIA - ENTR. TO-226 - ARAPOEMA</v>
      </c>
      <c r="J62" s="85" t="s">
        <v>107</v>
      </c>
      <c r="K62" s="178">
        <f>'REGIÃO 02 - HISTÓRICO'!E62</f>
        <v>389994.65</v>
      </c>
      <c r="L62" s="8" t="str">
        <f>'REGIÃO 02 - HISTÓRICO'!I62</f>
        <v>Justificada</v>
      </c>
      <c r="M62" s="192"/>
    </row>
    <row r="63" spans="2:13" ht="31.2" x14ac:dyDescent="0.3">
      <c r="B63" s="33">
        <f>'REGIÃO 02 - HISTÓRICO'!B63</f>
        <v>0</v>
      </c>
      <c r="C63" s="194" t="s">
        <v>11</v>
      </c>
      <c r="D63" s="27" t="str">
        <f>_xlfn.XLOOKUP(tbResumoR02[[#This Row],[REGIÃO]],tbRegioes[Código Região],tbRegioes[Contrato],"")</f>
        <v>014.2025</v>
      </c>
      <c r="E63" s="26">
        <f>'REGIÃO 02 - HISTÓRICO'!C63</f>
        <v>145</v>
      </c>
      <c r="F63" s="197" t="s">
        <v>841</v>
      </c>
      <c r="G63" s="179" t="str">
        <f>'REGIÃO 02 - HISTÓRICO'!D63</f>
        <v>set/out</v>
      </c>
      <c r="H63" s="8">
        <v>43</v>
      </c>
      <c r="I63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TO-164 - TRECHO ARAGOMINAS - MURICILÂNDIA</v>
      </c>
      <c r="J63" s="85" t="s">
        <v>793</v>
      </c>
      <c r="K63" s="178">
        <f>'REGIÃO 02 - HISTÓRICO'!E63</f>
        <v>9342.85</v>
      </c>
      <c r="L63" s="8" t="str">
        <f>'REGIÃO 02 - HISTÓRICO'!I63</f>
        <v>Em elaboração</v>
      </c>
      <c r="M63" s="192"/>
    </row>
    <row r="64" spans="2:13" ht="31.2" x14ac:dyDescent="0.3">
      <c r="B64" s="33">
        <f>'REGIÃO 02 - HISTÓRICO'!B64</f>
        <v>0</v>
      </c>
      <c r="C64" s="194" t="s">
        <v>11</v>
      </c>
      <c r="D64" s="27" t="str">
        <f>_xlfn.XLOOKUP(tbResumoR02[[#This Row],[REGIÃO]],tbRegioes[Código Região],tbRegioes[Contrato],"")</f>
        <v>014.2025</v>
      </c>
      <c r="E64" s="26">
        <f>'REGIÃO 02 - HISTÓRICO'!C64</f>
        <v>146</v>
      </c>
      <c r="F64" s="197" t="s">
        <v>841</v>
      </c>
      <c r="G64" s="179" t="str">
        <f>'REGIÃO 02 - HISTÓRICO'!D64</f>
        <v>set/out</v>
      </c>
      <c r="H64" s="8">
        <v>45</v>
      </c>
      <c r="I64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TO-164 - TRECHO CARMOLÂNDIA - ENTR. TO-222 - ARAGOMINAS</v>
      </c>
      <c r="J64" s="85" t="s">
        <v>793</v>
      </c>
      <c r="K64" s="178">
        <f>'REGIÃO 02 - HISTÓRICO'!E64</f>
        <v>18201.23</v>
      </c>
      <c r="L64" s="8" t="str">
        <f>'REGIÃO 02 - HISTÓRICO'!I64</f>
        <v>Em elaboração</v>
      </c>
      <c r="M64" s="192"/>
    </row>
    <row r="65" spans="2:13" ht="31.2" x14ac:dyDescent="0.3">
      <c r="B65" s="33">
        <f>'REGIÃO 02 - HISTÓRICO'!B65</f>
        <v>0</v>
      </c>
      <c r="C65" s="194" t="s">
        <v>11</v>
      </c>
      <c r="D65" s="27" t="str">
        <f>_xlfn.XLOOKUP(tbResumoR02[[#This Row],[REGIÃO]],tbRegioes[Código Região],tbRegioes[Contrato],"")</f>
        <v>014.2025</v>
      </c>
      <c r="E65" s="26">
        <f>'REGIÃO 02 - HISTÓRICO'!C65</f>
        <v>147</v>
      </c>
      <c r="F65" s="197" t="s">
        <v>841</v>
      </c>
      <c r="G65" s="179" t="str">
        <f>'REGIÃO 02 - HISTÓRICO'!D65</f>
        <v>set/out</v>
      </c>
      <c r="H65" s="8">
        <v>51</v>
      </c>
      <c r="I65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TO-222 - TRECHO MURICILÂNDIA - SANTA FÉ DO ARAGUAIA</v>
      </c>
      <c r="J65" s="85" t="s">
        <v>25</v>
      </c>
      <c r="K65" s="178">
        <f>'REGIÃO 02 - HISTÓRICO'!E65</f>
        <v>4015.73</v>
      </c>
      <c r="L65" s="8" t="str">
        <f>'REGIÃO 02 - HISTÓRICO'!I65</f>
        <v>Em elaboração</v>
      </c>
      <c r="M65" s="192"/>
    </row>
    <row r="66" spans="2:13" ht="31.2" x14ac:dyDescent="0.3">
      <c r="B66" s="33">
        <f>'REGIÃO 02 - HISTÓRICO'!B66</f>
        <v>0</v>
      </c>
      <c r="C66" s="211" t="s">
        <v>11</v>
      </c>
      <c r="D66" s="27" t="str">
        <f>_xlfn.XLOOKUP(tbResumoR02[[#This Row],[REGIÃO]],tbRegioes[Código Região],tbRegioes[Contrato],"")</f>
        <v>014.2025</v>
      </c>
      <c r="E66" s="26">
        <f>'REGIÃO 02 - HISTÓRICO'!C66</f>
        <v>148</v>
      </c>
      <c r="F66" s="197" t="s">
        <v>841</v>
      </c>
      <c r="G66" s="212" t="str">
        <f>'REGIÃO 02 - HISTÓRICO'!D66</f>
        <v>set/out/nov</v>
      </c>
      <c r="H66" s="213">
        <v>52</v>
      </c>
      <c r="I66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TO-222 - TRECHO SANTA FÉ DO ARAGUAIA - DIVISA TO-PA (POVOADO PORTO LEMOS)</v>
      </c>
      <c r="J66" s="85" t="s">
        <v>793</v>
      </c>
      <c r="K66" s="178">
        <f>'REGIÃO 02 - HISTÓRICO'!E66</f>
        <v>25623.86</v>
      </c>
      <c r="L66" s="8" t="str">
        <f>'REGIÃO 02 - HISTÓRICO'!I66</f>
        <v>Em elaboração</v>
      </c>
      <c r="M66" s="215"/>
    </row>
    <row r="67" spans="2:13" ht="31.2" x14ac:dyDescent="0.3">
      <c r="B67" s="33">
        <f>'REGIÃO 02 - HISTÓRICO'!B67</f>
        <v>0</v>
      </c>
      <c r="C67" s="211" t="s">
        <v>11</v>
      </c>
      <c r="D67" s="27" t="str">
        <f>_xlfn.XLOOKUP(tbResumoR02[[#This Row],[REGIÃO]],tbRegioes[Código Região],tbRegioes[Contrato],"")</f>
        <v>014.2025</v>
      </c>
      <c r="E67" s="26">
        <f>'REGIÃO 02 - HISTÓRICO'!C67</f>
        <v>149</v>
      </c>
      <c r="F67" s="197" t="s">
        <v>841</v>
      </c>
      <c r="G67" s="212" t="str">
        <f>'REGIÃO 02 - HISTÓRICO'!D67</f>
        <v>set/out/nov</v>
      </c>
      <c r="H67" s="213">
        <v>65</v>
      </c>
      <c r="I67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TO-430 - TRECHO POVOADO CORIOLANDO (ENTR. TO-230 - ARAPOEMA) - ENTR. TO-164</v>
      </c>
      <c r="J67" s="214" t="s">
        <v>816</v>
      </c>
      <c r="K67" s="178">
        <f>'REGIÃO 02 - HISTÓRICO'!E67</f>
        <v>0</v>
      </c>
      <c r="L67" s="8" t="str">
        <f>'REGIÃO 02 - HISTÓRICO'!I67</f>
        <v>Em elaboração</v>
      </c>
      <c r="M67" s="215"/>
    </row>
    <row r="68" spans="2:13" ht="31.2" x14ac:dyDescent="0.3">
      <c r="B68" s="33">
        <f>'REGIÃO 02 - HISTÓRICO'!B68</f>
        <v>0</v>
      </c>
      <c r="C68" s="211" t="s">
        <v>11</v>
      </c>
      <c r="D68" s="313" t="str">
        <f>_xlfn.XLOOKUP(tbResumoR02[[#This Row],[REGIÃO]],tbRegioes[Código Região],tbRegioes[Contrato],"")</f>
        <v>014.2025</v>
      </c>
      <c r="E68" s="26">
        <f>'REGIÃO 02 - HISTÓRICO'!C68</f>
        <v>150</v>
      </c>
      <c r="F68" s="197" t="s">
        <v>841</v>
      </c>
      <c r="G68" s="212" t="str">
        <f>'REGIÃO 02 - HISTÓRICO'!D68</f>
        <v>set</v>
      </c>
      <c r="H68" s="213">
        <v>49</v>
      </c>
      <c r="I68" s="83" t="str">
        <f>IF(tbResumoR02[[#This Row],[N° TRECHO]]="","",IFERROR(INDEX('REGIÃO 01 - TRECHOS'!$F$4:$F$119,MATCH(tbResumoR02[[#This Row],[N° TRECHO]],'REGIÃO 01 - TRECHOS'!$E$4:$E$119,0)),IFERROR(INDEX('REGIÃO 02 - TRECHOS'!$F$4:$F$76,MATCH(tbResumoR02[[#This Row],[N° TRECHO]],'REGIÃO 02 - TRECHOS'!$E$4:$E$76,0)),IFERROR(INDEX('REGIÃO 03 - TRECHOS'!$F$4:$F$53,MATCH(tbResumoR02[[#This Row],[N° TRECHO]],'REGIÃO 03 - TRECHOS'!$E$4:$E$53,0)),"Trecho não cadastrado"))))</f>
        <v>RODOVIA TO-166 - TRECHO ENTR. TO-222 - ENTR. TO-226 - ARAPOEMA</v>
      </c>
      <c r="J68" s="214" t="s">
        <v>816</v>
      </c>
      <c r="K68" s="316">
        <f>'REGIÃO 02 - HISTÓRICO'!E68</f>
        <v>1015435.34</v>
      </c>
      <c r="L68" s="317" t="str">
        <f>'REGIÃO 02 - HISTÓRICO'!I68</f>
        <v>Correção Fiscal</v>
      </c>
      <c r="M68" s="215"/>
    </row>
    <row r="69" spans="2:13" x14ac:dyDescent="0.3">
      <c r="B69" s="10"/>
      <c r="C69" s="304"/>
      <c r="D69" s="304"/>
      <c r="E69" s="304"/>
      <c r="F69" s="304"/>
      <c r="G69" s="304"/>
      <c r="H69" s="304"/>
      <c r="I69" s="304"/>
      <c r="J69" s="304"/>
      <c r="K69" s="304"/>
      <c r="L69" s="304"/>
      <c r="M69" s="304"/>
    </row>
    <row r="70" spans="2:13" x14ac:dyDescent="0.3">
      <c r="B70" s="10"/>
      <c r="C70" s="10"/>
      <c r="D70" s="10"/>
      <c r="E70" s="10"/>
      <c r="F70" s="10"/>
      <c r="H70" s="10"/>
    </row>
    <row r="71" spans="2:13" x14ac:dyDescent="0.3">
      <c r="B71" s="10"/>
      <c r="C71" s="10"/>
      <c r="D71" s="10"/>
      <c r="E71" s="10"/>
      <c r="F71" s="10"/>
      <c r="H71" s="10"/>
    </row>
  </sheetData>
  <sheetProtection formatCells="0" formatColumns="0" formatRows="0" insertColumns="0" insertRows="0" insertHyperlinks="0" deleteColumns="0" deleteRows="0" sort="0" autoFilter="0" pivotTables="0"/>
  <mergeCells count="2">
    <mergeCell ref="B2:M2"/>
    <mergeCell ref="C69:M69"/>
  </mergeCells>
  <phoneticPr fontId="3" type="noConversion"/>
  <dataValidations count="1">
    <dataValidation allowBlank="1" showInputMessage="1" showErrorMessage="1" sqref="D4:D68" xr:uid="{516F99AD-5A29-4EF8-88E7-51F0773A5B75}"/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B4BF8F0-1324-464A-925B-852E3AB216D6}">
          <x14:formula1>
            <xm:f>'Tabelas Auxiliares'!$B$4:$B$9</xm:f>
          </x14:formula1>
          <xm:sqref>C4:C68</xm:sqref>
        </x14:dataValidation>
        <x14:dataValidation type="list" allowBlank="1" showInputMessage="1" showErrorMessage="1" xr:uid="{14138AAE-AFC0-4C13-8455-06AE7570A5D5}">
          <x14:formula1>
            <xm:f>'Tabelas Auxiliares'!$M$4:$M$11</xm:f>
          </x14:formula1>
          <xm:sqref>L4:L68</xm:sqref>
        </x14:dataValidation>
        <x14:dataValidation type="list" allowBlank="1" showInputMessage="1" showErrorMessage="1" xr:uid="{05A199B3-A9D5-4331-BAEB-0FCD62BBC210}">
          <x14:formula1>
            <xm:f>'Tabelas Auxiliares'!$H$3:$H$81</xm:f>
          </x14:formula1>
          <xm:sqref>J4:J68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70A6-5551-48C3-AFCF-262A6B040AC0}">
  <sheetPr codeName="Planilha5"/>
  <dimension ref="B2:AG69"/>
  <sheetViews>
    <sheetView zoomScale="85" zoomScaleNormal="85" workbookViewId="0">
      <pane xSplit="9" ySplit="3" topLeftCell="S36" activePane="bottomRight" state="frozen"/>
      <selection pane="topRight" activeCell="J1" sqref="J1"/>
      <selection pane="bottomLeft" activeCell="A4" sqref="A4"/>
      <selection pane="bottomRight" activeCell="Y67" sqref="Y67"/>
    </sheetView>
  </sheetViews>
  <sheetFormatPr defaultRowHeight="15.6" x14ac:dyDescent="0.3"/>
  <cols>
    <col min="1" max="1" width="3" customWidth="1"/>
    <col min="2" max="2" width="4.19921875" style="10" hidden="1" customWidth="1"/>
    <col min="3" max="3" width="11.69921875" style="10" customWidth="1"/>
    <col min="4" max="4" width="20" style="10" customWidth="1"/>
    <col min="5" max="7" width="22.5" customWidth="1"/>
    <col min="8" max="8" width="14.8984375" customWidth="1"/>
    <col min="9" max="9" width="22.5" style="36" customWidth="1"/>
    <col min="10" max="10" width="15.8984375" style="46" customWidth="1"/>
    <col min="11" max="11" width="14.69921875" style="10" customWidth="1"/>
    <col min="12" max="12" width="15.5" style="46" customWidth="1"/>
    <col min="13" max="13" width="14.796875" style="10" customWidth="1"/>
    <col min="14" max="14" width="15.59765625" customWidth="1"/>
    <col min="15" max="15" width="14.69921875" style="10" customWidth="1"/>
    <col min="16" max="16" width="15.59765625" customWidth="1"/>
    <col min="17" max="17" width="14.69921875" customWidth="1"/>
    <col min="18" max="18" width="15.59765625" customWidth="1"/>
    <col min="19" max="19" width="14.69921875" customWidth="1"/>
    <col min="20" max="20" width="15.59765625" customWidth="1"/>
    <col min="21" max="21" width="14.69921875" customWidth="1"/>
    <col min="22" max="22" width="15.59765625" customWidth="1"/>
    <col min="23" max="23" width="14.69921875" customWidth="1"/>
    <col min="24" max="24" width="15.59765625" customWidth="1"/>
    <col min="25" max="25" width="14.69921875" customWidth="1"/>
    <col min="26" max="26" width="15.59765625" customWidth="1"/>
    <col min="27" max="27" width="14.69921875" customWidth="1"/>
    <col min="28" max="28" width="15.59765625" customWidth="1"/>
    <col min="29" max="29" width="14.69921875" customWidth="1"/>
    <col min="30" max="30" width="15.59765625" customWidth="1"/>
    <col min="31" max="31" width="14.69921875" customWidth="1"/>
    <col min="32" max="32" width="15.59765625" customWidth="1"/>
    <col min="33" max="33" width="14.69921875" customWidth="1"/>
  </cols>
  <sheetData>
    <row r="2" spans="2:33" ht="30.6" customHeight="1" x14ac:dyDescent="0.3">
      <c r="B2" s="218" t="s">
        <v>682</v>
      </c>
      <c r="C2" s="219"/>
      <c r="D2" s="219"/>
      <c r="E2" s="219"/>
      <c r="F2" s="219"/>
      <c r="G2" s="219"/>
      <c r="H2" s="219"/>
      <c r="I2" s="219"/>
      <c r="J2" s="216">
        <v>46023</v>
      </c>
      <c r="K2" s="217"/>
      <c r="L2" s="220">
        <v>46054</v>
      </c>
      <c r="M2" s="221"/>
      <c r="N2" s="222">
        <v>46082</v>
      </c>
      <c r="O2" s="223"/>
      <c r="P2" s="224">
        <v>46113</v>
      </c>
      <c r="Q2" s="225"/>
      <c r="R2" s="216">
        <v>46143</v>
      </c>
      <c r="S2" s="217"/>
      <c r="T2" s="220">
        <v>46174</v>
      </c>
      <c r="U2" s="221"/>
      <c r="V2" s="222">
        <v>46204</v>
      </c>
      <c r="W2" s="223"/>
      <c r="X2" s="224">
        <v>46235</v>
      </c>
      <c r="Y2" s="225"/>
      <c r="Z2" s="216">
        <v>46266</v>
      </c>
      <c r="AA2" s="217"/>
      <c r="AB2" s="220">
        <v>46296</v>
      </c>
      <c r="AC2" s="221"/>
      <c r="AD2" s="222">
        <v>46327</v>
      </c>
      <c r="AE2" s="223"/>
      <c r="AF2" s="224">
        <v>46357</v>
      </c>
      <c r="AG2" s="225"/>
    </row>
    <row r="3" spans="2:33" ht="31.2" x14ac:dyDescent="0.3">
      <c r="B3" s="16" t="s">
        <v>3</v>
      </c>
      <c r="C3" s="16" t="s">
        <v>6</v>
      </c>
      <c r="D3" s="16" t="s">
        <v>40</v>
      </c>
      <c r="E3" s="16" t="s">
        <v>1</v>
      </c>
      <c r="F3" s="16" t="s">
        <v>42</v>
      </c>
      <c r="G3" s="16" t="s">
        <v>43</v>
      </c>
      <c r="H3" s="16" t="s">
        <v>45</v>
      </c>
      <c r="I3" s="50" t="s">
        <v>44</v>
      </c>
      <c r="J3" s="51" t="s">
        <v>39</v>
      </c>
      <c r="K3" s="13" t="s">
        <v>10</v>
      </c>
      <c r="L3" s="11" t="s">
        <v>39</v>
      </c>
      <c r="M3" s="11" t="s">
        <v>10</v>
      </c>
      <c r="N3" s="14" t="s">
        <v>39</v>
      </c>
      <c r="O3" s="14" t="s">
        <v>10</v>
      </c>
      <c r="P3" s="15" t="s">
        <v>39</v>
      </c>
      <c r="Q3" s="15" t="s">
        <v>10</v>
      </c>
      <c r="R3" s="13" t="s">
        <v>39</v>
      </c>
      <c r="S3" s="13" t="s">
        <v>10</v>
      </c>
      <c r="T3" s="11" t="s">
        <v>39</v>
      </c>
      <c r="U3" s="11" t="s">
        <v>10</v>
      </c>
      <c r="V3" s="14" t="s">
        <v>39</v>
      </c>
      <c r="W3" s="14" t="s">
        <v>10</v>
      </c>
      <c r="X3" s="15" t="s">
        <v>39</v>
      </c>
      <c r="Y3" s="15" t="s">
        <v>10</v>
      </c>
      <c r="Z3" s="13" t="s">
        <v>39</v>
      </c>
      <c r="AA3" s="13" t="s">
        <v>10</v>
      </c>
      <c r="AB3" s="11" t="s">
        <v>39</v>
      </c>
      <c r="AC3" s="11" t="s">
        <v>10</v>
      </c>
      <c r="AD3" s="14" t="s">
        <v>39</v>
      </c>
      <c r="AE3" s="14" t="s">
        <v>10</v>
      </c>
      <c r="AF3" s="15" t="s">
        <v>39</v>
      </c>
      <c r="AG3" s="15" t="s">
        <v>10</v>
      </c>
    </row>
    <row r="4" spans="2:33" x14ac:dyDescent="0.3">
      <c r="B4" s="30">
        <f t="shared" ref="B4:B62" si="0">ROW()-ROW($B$3)</f>
        <v>1</v>
      </c>
      <c r="C4" s="32">
        <v>82</v>
      </c>
      <c r="D4" s="12" t="s">
        <v>38</v>
      </c>
      <c r="E4" s="18">
        <v>4081.33</v>
      </c>
      <c r="F4" s="18">
        <f>SUM(J4,L4,N4,P4,R4,T4,V4,X4,Z4,AB4,AD4,AF4)</f>
        <v>4081.33</v>
      </c>
      <c r="G4" s="49">
        <f t="shared" ref="G4:G68" si="1">E4-F4</f>
        <v>0</v>
      </c>
      <c r="H4" s="48">
        <f t="shared" ref="H4:H68" si="2">F4/E4</f>
        <v>1</v>
      </c>
      <c r="I4" s="89" t="str" cm="1">
        <f t="array" ref="I4">IFERROR(LOOKUP(2,1/((MOD(COLUMN($K4:$AG4),2)=1)*($K4:$AG4&lt;&gt;"-")*($K4:$AG4&lt;&gt;"")),$K4:$AG4),"-")</f>
        <v>Concluída</v>
      </c>
      <c r="J4" s="45">
        <v>4081.33</v>
      </c>
      <c r="K4" s="21" t="s">
        <v>28</v>
      </c>
      <c r="L4" s="45"/>
      <c r="M4" s="21"/>
      <c r="N4" s="45"/>
      <c r="O4" s="21"/>
      <c r="P4" s="45"/>
      <c r="Q4" s="21"/>
      <c r="R4" s="45"/>
      <c r="S4" s="21"/>
      <c r="T4" s="45"/>
      <c r="U4" s="21"/>
      <c r="V4" s="45"/>
      <c r="W4" s="21"/>
      <c r="X4" s="45"/>
      <c r="Y4" s="21"/>
      <c r="Z4" s="45"/>
      <c r="AA4" s="21"/>
      <c r="AB4" s="45"/>
      <c r="AC4" s="21"/>
      <c r="AD4" s="45"/>
      <c r="AE4" s="21"/>
      <c r="AF4" s="45"/>
      <c r="AG4" s="21"/>
    </row>
    <row r="5" spans="2:33" x14ac:dyDescent="0.3">
      <c r="B5" s="30"/>
      <c r="C5" s="32">
        <v>83</v>
      </c>
      <c r="D5" s="12" t="s">
        <v>38</v>
      </c>
      <c r="E5" s="18">
        <v>23043.96</v>
      </c>
      <c r="F5" s="18">
        <f t="shared" ref="F5:F68" si="3">SUM(J5,L5,N5,P5,R5,T5,V5,X5,Z5,AB5,AD5,AF5)</f>
        <v>23043.96</v>
      </c>
      <c r="G5" s="49">
        <f t="shared" si="1"/>
        <v>0</v>
      </c>
      <c r="H5" s="48">
        <f t="shared" si="2"/>
        <v>1</v>
      </c>
      <c r="I5" s="89" t="str" cm="1">
        <f t="array" ref="I5">IFERROR(LOOKUP(2,1/((MOD(COLUMN($K5:$AG5),2)=1)*($K5:$AG5&lt;&gt;"-")*($K5:$AG5&lt;&gt;"")),$K5:$AG5),"-")</f>
        <v>Concluída</v>
      </c>
      <c r="J5" s="45">
        <v>23043.96</v>
      </c>
      <c r="K5" s="21" t="s">
        <v>28</v>
      </c>
      <c r="L5" s="45"/>
      <c r="M5" s="21"/>
      <c r="N5" s="45"/>
      <c r="O5" s="21"/>
      <c r="P5" s="45"/>
      <c r="Q5" s="21"/>
      <c r="R5" s="45"/>
      <c r="S5" s="21"/>
      <c r="T5" s="45"/>
      <c r="U5" s="21"/>
      <c r="V5" s="45"/>
      <c r="W5" s="21"/>
      <c r="X5" s="45"/>
      <c r="Y5" s="21"/>
      <c r="Z5" s="45"/>
      <c r="AA5" s="21"/>
      <c r="AB5" s="45"/>
      <c r="AC5" s="21"/>
      <c r="AD5" s="45"/>
      <c r="AE5" s="21"/>
      <c r="AF5" s="45"/>
      <c r="AG5" s="21"/>
    </row>
    <row r="6" spans="2:33" x14ac:dyDescent="0.3">
      <c r="B6" s="30"/>
      <c r="C6" s="32">
        <v>84</v>
      </c>
      <c r="D6" s="12" t="s">
        <v>38</v>
      </c>
      <c r="E6" s="18">
        <v>9046.41</v>
      </c>
      <c r="F6" s="18">
        <f t="shared" si="3"/>
        <v>9046.41</v>
      </c>
      <c r="G6" s="49">
        <f t="shared" si="1"/>
        <v>0</v>
      </c>
      <c r="H6" s="48">
        <f t="shared" si="2"/>
        <v>1</v>
      </c>
      <c r="I6" s="89" t="str" cm="1">
        <f t="array" ref="I6">IFERROR(LOOKUP(2,1/((MOD(COLUMN($K6:$AG6),2)=1)*($K6:$AG6&lt;&gt;"-")*($K6:$AG6&lt;&gt;"")),$K6:$AG6),"-")</f>
        <v>Concluída</v>
      </c>
      <c r="J6" s="45">
        <v>9046.41</v>
      </c>
      <c r="K6" s="21" t="s">
        <v>28</v>
      </c>
      <c r="L6" s="45"/>
      <c r="M6" s="21"/>
      <c r="N6" s="45"/>
      <c r="O6" s="21"/>
      <c r="P6" s="45"/>
      <c r="Q6" s="21"/>
      <c r="R6" s="45"/>
      <c r="S6" s="21"/>
      <c r="T6" s="45"/>
      <c r="U6" s="21"/>
      <c r="V6" s="45"/>
      <c r="W6" s="21"/>
      <c r="X6" s="45"/>
      <c r="Y6" s="21"/>
      <c r="Z6" s="45"/>
      <c r="AA6" s="21"/>
      <c r="AB6" s="45"/>
      <c r="AC6" s="21"/>
      <c r="AD6" s="45"/>
      <c r="AE6" s="21"/>
      <c r="AF6" s="45"/>
      <c r="AG6" s="21"/>
    </row>
    <row r="7" spans="2:33" x14ac:dyDescent="0.3">
      <c r="B7" s="30"/>
      <c r="C7" s="32">
        <v>85</v>
      </c>
      <c r="D7" s="12" t="s">
        <v>38</v>
      </c>
      <c r="E7" s="18">
        <v>5254.28</v>
      </c>
      <c r="F7" s="18">
        <f t="shared" si="3"/>
        <v>5254.28</v>
      </c>
      <c r="G7" s="49">
        <f t="shared" si="1"/>
        <v>0</v>
      </c>
      <c r="H7" s="48">
        <f t="shared" si="2"/>
        <v>1</v>
      </c>
      <c r="I7" s="89" t="str" cm="1">
        <f t="array" ref="I7">IFERROR(LOOKUP(2,1/((MOD(COLUMN($K7:$AG7),2)=1)*($K7:$AG7&lt;&gt;"-")*($K7:$AG7&lt;&gt;"")),$K7:$AG7),"-")</f>
        <v>Concluída</v>
      </c>
      <c r="J7" s="45">
        <v>5254.28</v>
      </c>
      <c r="K7" s="21" t="s">
        <v>28</v>
      </c>
      <c r="L7" s="45"/>
      <c r="M7" s="21"/>
      <c r="N7" s="45"/>
      <c r="O7" s="21"/>
      <c r="P7" s="45"/>
      <c r="Q7" s="21"/>
      <c r="R7" s="45"/>
      <c r="S7" s="21"/>
      <c r="T7" s="45"/>
      <c r="U7" s="21"/>
      <c r="V7" s="45"/>
      <c r="W7" s="21"/>
      <c r="X7" s="45"/>
      <c r="Y7" s="21"/>
      <c r="Z7" s="45"/>
      <c r="AA7" s="21"/>
      <c r="AB7" s="45"/>
      <c r="AC7" s="21"/>
      <c r="AD7" s="45"/>
      <c r="AE7" s="21"/>
      <c r="AF7" s="45"/>
      <c r="AG7" s="21"/>
    </row>
    <row r="8" spans="2:33" x14ac:dyDescent="0.3">
      <c r="B8" s="30"/>
      <c r="C8" s="32">
        <v>86</v>
      </c>
      <c r="D8" s="12" t="s">
        <v>38</v>
      </c>
      <c r="E8" s="18">
        <v>23615.31</v>
      </c>
      <c r="F8" s="18">
        <f t="shared" si="3"/>
        <v>23615.31</v>
      </c>
      <c r="G8" s="49">
        <f t="shared" si="1"/>
        <v>0</v>
      </c>
      <c r="H8" s="48">
        <f t="shared" si="2"/>
        <v>1</v>
      </c>
      <c r="I8" s="89" t="str" cm="1">
        <f t="array" ref="I8">IFERROR(LOOKUP(2,1/((MOD(COLUMN($K8:$AG8),2)=1)*($K8:$AG8&lt;&gt;"-")*($K8:$AG8&lt;&gt;"")),$K8:$AG8),"-")</f>
        <v>Concluída</v>
      </c>
      <c r="J8" s="45">
        <v>23615.31</v>
      </c>
      <c r="K8" s="21" t="s">
        <v>28</v>
      </c>
      <c r="L8" s="45"/>
      <c r="M8" s="21"/>
      <c r="N8" s="45"/>
      <c r="O8" s="21"/>
      <c r="P8" s="45"/>
      <c r="Q8" s="21"/>
      <c r="R8" s="45"/>
      <c r="S8" s="21"/>
      <c r="T8" s="45"/>
      <c r="U8" s="21"/>
      <c r="V8" s="45"/>
      <c r="W8" s="21"/>
      <c r="X8" s="45"/>
      <c r="Y8" s="21"/>
      <c r="Z8" s="45"/>
      <c r="AA8" s="21"/>
      <c r="AB8" s="45"/>
      <c r="AC8" s="21"/>
      <c r="AD8" s="45"/>
      <c r="AE8" s="21"/>
      <c r="AF8" s="45"/>
      <c r="AG8" s="21"/>
    </row>
    <row r="9" spans="2:33" x14ac:dyDescent="0.3">
      <c r="B9" s="30"/>
      <c r="C9" s="32">
        <v>87</v>
      </c>
      <c r="D9" s="12" t="s">
        <v>56</v>
      </c>
      <c r="E9" s="18">
        <v>424217.66</v>
      </c>
      <c r="F9" s="18">
        <f t="shared" si="3"/>
        <v>282448.34999999998</v>
      </c>
      <c r="G9" s="49">
        <f t="shared" si="1"/>
        <v>141769.31</v>
      </c>
      <c r="H9" s="48">
        <f t="shared" si="2"/>
        <v>0.66580997594489577</v>
      </c>
      <c r="I9" s="89" t="str" cm="1">
        <f t="array" ref="I9">IFERROR(LOOKUP(2,1/((MOD(COLUMN($K9:$AG9),2)=1)*($K9:$AG9&lt;&gt;"-")*($K9:$AG9&lt;&gt;"")),$K9:$AG9),"-")</f>
        <v>Concluída</v>
      </c>
      <c r="J9" s="45"/>
      <c r="K9" s="21"/>
      <c r="L9" s="45">
        <v>201131.01</v>
      </c>
      <c r="M9" s="21" t="s">
        <v>26</v>
      </c>
      <c r="N9" s="45">
        <v>81317.34</v>
      </c>
      <c r="O9" s="21" t="s">
        <v>28</v>
      </c>
      <c r="P9" s="45"/>
      <c r="Q9" s="21"/>
      <c r="R9" s="45"/>
      <c r="S9" s="21"/>
      <c r="T9" s="45"/>
      <c r="U9" s="21"/>
      <c r="V9" s="45"/>
      <c r="W9" s="21"/>
      <c r="X9" s="45"/>
      <c r="Y9" s="21"/>
      <c r="Z9" s="45"/>
      <c r="AA9" s="21"/>
      <c r="AB9" s="45"/>
      <c r="AC9" s="21"/>
      <c r="AD9" s="45"/>
      <c r="AE9" s="21"/>
      <c r="AF9" s="45"/>
      <c r="AG9" s="21"/>
    </row>
    <row r="10" spans="2:33" x14ac:dyDescent="0.3">
      <c r="B10" s="30"/>
      <c r="C10" s="32">
        <v>89</v>
      </c>
      <c r="D10" s="12" t="s">
        <v>38</v>
      </c>
      <c r="E10" s="18">
        <v>12599.7</v>
      </c>
      <c r="F10" s="18">
        <f t="shared" si="3"/>
        <v>12599.7</v>
      </c>
      <c r="G10" s="49">
        <f t="shared" si="1"/>
        <v>0</v>
      </c>
      <c r="H10" s="48">
        <f t="shared" si="2"/>
        <v>1</v>
      </c>
      <c r="I10" s="89" t="str" cm="1">
        <f t="array" ref="I10">IFERROR(LOOKUP(2,1/((MOD(COLUMN($K10:$AG10),2)=1)*($K10:$AG10&lt;&gt;"-")*($K10:$AG10&lt;&gt;"")),$K10:$AG10),"-")</f>
        <v>Concluída</v>
      </c>
      <c r="J10" s="45">
        <v>12599.7</v>
      </c>
      <c r="K10" s="21" t="s">
        <v>28</v>
      </c>
      <c r="L10" s="45"/>
      <c r="M10" s="21"/>
      <c r="N10" s="45"/>
      <c r="O10" s="21"/>
      <c r="P10" s="45"/>
      <c r="Q10" s="21"/>
      <c r="R10" s="45"/>
      <c r="S10" s="21"/>
      <c r="T10" s="45"/>
      <c r="U10" s="21"/>
      <c r="V10" s="45"/>
      <c r="W10" s="21"/>
      <c r="X10" s="45"/>
      <c r="Y10" s="21"/>
      <c r="Z10" s="45"/>
      <c r="AA10" s="21"/>
      <c r="AB10" s="45"/>
      <c r="AC10" s="21"/>
      <c r="AD10" s="45"/>
      <c r="AE10" s="21"/>
      <c r="AF10" s="45"/>
      <c r="AG10" s="21"/>
    </row>
    <row r="11" spans="2:33" x14ac:dyDescent="0.3">
      <c r="B11" s="30"/>
      <c r="C11" s="32">
        <v>91</v>
      </c>
      <c r="D11" s="12" t="s">
        <v>38</v>
      </c>
      <c r="E11" s="18">
        <v>251065.1</v>
      </c>
      <c r="F11" s="18">
        <f t="shared" si="3"/>
        <v>249906.48</v>
      </c>
      <c r="G11" s="49">
        <f t="shared" si="1"/>
        <v>1158.6199999999953</v>
      </c>
      <c r="H11" s="48">
        <f t="shared" si="2"/>
        <v>0.99538518097497419</v>
      </c>
      <c r="I11" s="89" t="str" cm="1">
        <f t="array" ref="I11">IFERROR(LOOKUP(2,1/((MOD(COLUMN($K11:$AG11),2)=1)*($K11:$AG11&lt;&gt;"-")*($K11:$AG11&lt;&gt;"")),$K11:$AG11),"-")</f>
        <v>Concluída</v>
      </c>
      <c r="J11" s="45">
        <v>249906.48</v>
      </c>
      <c r="K11" s="21" t="s">
        <v>28</v>
      </c>
      <c r="L11" s="45"/>
      <c r="M11" s="21"/>
      <c r="N11" s="45"/>
      <c r="O11" s="21"/>
      <c r="P11" s="45"/>
      <c r="Q11" s="21"/>
      <c r="R11" s="45"/>
      <c r="S11" s="21"/>
      <c r="T11" s="45"/>
      <c r="U11" s="21"/>
      <c r="V11" s="45"/>
      <c r="W11" s="21"/>
      <c r="X11" s="45"/>
      <c r="Y11" s="21"/>
      <c r="Z11" s="45"/>
      <c r="AA11" s="21"/>
      <c r="AB11" s="45"/>
      <c r="AC11" s="21"/>
      <c r="AD11" s="45"/>
      <c r="AE11" s="21"/>
      <c r="AF11" s="45"/>
      <c r="AG11" s="21"/>
    </row>
    <row r="12" spans="2:33" x14ac:dyDescent="0.3">
      <c r="B12" s="30"/>
      <c r="C12" s="32">
        <v>92</v>
      </c>
      <c r="D12" s="12" t="s">
        <v>56</v>
      </c>
      <c r="E12" s="18">
        <v>146512.64000000001</v>
      </c>
      <c r="F12" s="18">
        <f t="shared" si="3"/>
        <v>146349.54</v>
      </c>
      <c r="G12" s="49">
        <f t="shared" si="1"/>
        <v>163.10000000000582</v>
      </c>
      <c r="H12" s="48">
        <f t="shared" si="2"/>
        <v>0.99888678546779308</v>
      </c>
      <c r="I12" s="89" t="str" cm="1">
        <f t="array" ref="I12">IFERROR(LOOKUP(2,1/((MOD(COLUMN($K12:$AG12),2)=1)*($K12:$AG12&lt;&gt;"-")*($K12:$AG12&lt;&gt;"")),$K12:$AG12),"-")</f>
        <v>Concluída</v>
      </c>
      <c r="J12" s="45"/>
      <c r="K12" s="21"/>
      <c r="L12" s="45">
        <v>146349.54</v>
      </c>
      <c r="M12" s="21" t="s">
        <v>28</v>
      </c>
      <c r="N12" s="45"/>
      <c r="O12" s="21"/>
      <c r="P12" s="45"/>
      <c r="Q12" s="21"/>
      <c r="R12" s="45"/>
      <c r="S12" s="21"/>
      <c r="T12" s="45"/>
      <c r="U12" s="21"/>
      <c r="V12" s="45"/>
      <c r="W12" s="21"/>
      <c r="X12" s="45"/>
      <c r="Y12" s="21"/>
      <c r="Z12" s="45"/>
      <c r="AA12" s="21"/>
      <c r="AB12" s="45"/>
      <c r="AC12" s="21"/>
      <c r="AD12" s="45"/>
      <c r="AE12" s="21"/>
      <c r="AF12" s="45"/>
      <c r="AG12" s="21"/>
    </row>
    <row r="13" spans="2:33" x14ac:dyDescent="0.3">
      <c r="B13" s="30"/>
      <c r="C13" s="32">
        <v>93</v>
      </c>
      <c r="D13" s="12" t="s">
        <v>56</v>
      </c>
      <c r="E13" s="18">
        <v>13960.05</v>
      </c>
      <c r="F13" s="18">
        <f t="shared" si="3"/>
        <v>13935.87</v>
      </c>
      <c r="G13" s="49">
        <f t="shared" si="1"/>
        <v>24.179999999998472</v>
      </c>
      <c r="H13" s="48">
        <f t="shared" si="2"/>
        <v>0.99826791451320029</v>
      </c>
      <c r="I13" s="89" t="str" cm="1">
        <f t="array" ref="I13">IFERROR(LOOKUP(2,1/((MOD(COLUMN($K13:$AG13),2)=1)*($K13:$AG13&lt;&gt;"-")*($K13:$AG13&lt;&gt;"")),$K13:$AG13),"-")</f>
        <v>Concluída</v>
      </c>
      <c r="J13" s="45"/>
      <c r="K13" s="21"/>
      <c r="L13" s="45">
        <v>13935.87</v>
      </c>
      <c r="M13" s="21" t="s">
        <v>28</v>
      </c>
      <c r="N13" s="45"/>
      <c r="O13" s="21"/>
      <c r="P13" s="45"/>
      <c r="Q13" s="21"/>
      <c r="R13" s="45"/>
      <c r="S13" s="21"/>
      <c r="T13" s="45"/>
      <c r="U13" s="21"/>
      <c r="V13" s="45"/>
      <c r="W13" s="21"/>
      <c r="X13" s="45"/>
      <c r="Y13" s="21"/>
      <c r="Z13" s="45"/>
      <c r="AA13" s="21"/>
      <c r="AB13" s="45"/>
      <c r="AC13" s="21"/>
      <c r="AD13" s="45"/>
      <c r="AE13" s="21"/>
      <c r="AF13" s="45"/>
      <c r="AG13" s="21"/>
    </row>
    <row r="14" spans="2:33" x14ac:dyDescent="0.3">
      <c r="B14" s="30"/>
      <c r="C14" s="32">
        <v>94</v>
      </c>
      <c r="D14" s="12" t="s">
        <v>56</v>
      </c>
      <c r="E14" s="18">
        <v>34953.279999999999</v>
      </c>
      <c r="F14" s="18">
        <f t="shared" si="3"/>
        <v>34953.279999999999</v>
      </c>
      <c r="G14" s="49">
        <f t="shared" si="1"/>
        <v>0</v>
      </c>
      <c r="H14" s="48">
        <f t="shared" si="2"/>
        <v>1</v>
      </c>
      <c r="I14" s="89" t="str" cm="1">
        <f t="array" ref="I14">IFERROR(LOOKUP(2,1/((MOD(COLUMN($K14:$AG14),2)=1)*($K14:$AG14&lt;&gt;"-")*($K14:$AG14&lt;&gt;"")),$K14:$AG14),"-")</f>
        <v>Concluída</v>
      </c>
      <c r="J14" s="45"/>
      <c r="K14" s="21"/>
      <c r="L14" s="45">
        <v>34953.279999999999</v>
      </c>
      <c r="M14" s="21" t="s">
        <v>28</v>
      </c>
      <c r="N14" s="45"/>
      <c r="O14" s="21"/>
      <c r="P14" s="45"/>
      <c r="Q14" s="21"/>
      <c r="R14" s="45"/>
      <c r="S14" s="21"/>
      <c r="T14" s="45"/>
      <c r="U14" s="21"/>
      <c r="V14" s="45"/>
      <c r="W14" s="21"/>
      <c r="X14" s="45"/>
      <c r="Y14" s="21"/>
      <c r="Z14" s="45"/>
      <c r="AA14" s="21"/>
      <c r="AB14" s="45"/>
      <c r="AC14" s="21"/>
      <c r="AD14" s="45"/>
      <c r="AE14" s="21"/>
      <c r="AF14" s="45"/>
      <c r="AG14" s="21"/>
    </row>
    <row r="15" spans="2:33" x14ac:dyDescent="0.3">
      <c r="B15" s="30"/>
      <c r="C15" s="32">
        <v>95</v>
      </c>
      <c r="D15" s="12" t="s">
        <v>56</v>
      </c>
      <c r="E15" s="18">
        <v>12442.7</v>
      </c>
      <c r="F15" s="18">
        <f t="shared" si="3"/>
        <v>12427.25</v>
      </c>
      <c r="G15" s="49">
        <f t="shared" si="1"/>
        <v>15.450000000000728</v>
      </c>
      <c r="H15" s="48">
        <f t="shared" si="2"/>
        <v>0.99875830808425814</v>
      </c>
      <c r="I15" s="89" t="str" cm="1">
        <f t="array" ref="I15">IFERROR(LOOKUP(2,1/((MOD(COLUMN($K15:$AG15),2)=1)*($K15:$AG15&lt;&gt;"-")*($K15:$AG15&lt;&gt;"")),$K15:$AG15),"-")</f>
        <v>Concluída</v>
      </c>
      <c r="J15" s="45"/>
      <c r="K15" s="21"/>
      <c r="L15" s="45">
        <v>12427.25</v>
      </c>
      <c r="M15" s="21" t="s">
        <v>28</v>
      </c>
      <c r="N15" s="45"/>
      <c r="O15" s="21"/>
      <c r="P15" s="45"/>
      <c r="Q15" s="21"/>
      <c r="R15" s="45"/>
      <c r="S15" s="21"/>
      <c r="T15" s="45"/>
      <c r="U15" s="21"/>
      <c r="V15" s="45"/>
      <c r="W15" s="21"/>
      <c r="X15" s="45"/>
      <c r="Y15" s="21"/>
      <c r="Z15" s="45"/>
      <c r="AA15" s="21"/>
      <c r="AB15" s="45"/>
      <c r="AC15" s="21"/>
      <c r="AD15" s="45"/>
      <c r="AE15" s="21"/>
      <c r="AF15" s="45"/>
      <c r="AG15" s="21"/>
    </row>
    <row r="16" spans="2:33" x14ac:dyDescent="0.3">
      <c r="B16" s="30"/>
      <c r="C16" s="32">
        <v>96</v>
      </c>
      <c r="D16" s="12" t="s">
        <v>56</v>
      </c>
      <c r="E16" s="18">
        <v>19911.46</v>
      </c>
      <c r="F16" s="18">
        <f t="shared" si="3"/>
        <v>19899.78</v>
      </c>
      <c r="G16" s="49">
        <f t="shared" si="1"/>
        <v>11.680000000000291</v>
      </c>
      <c r="H16" s="48">
        <f t="shared" si="2"/>
        <v>0.99941340313568161</v>
      </c>
      <c r="I16" s="89" t="str" cm="1">
        <f t="array" ref="I16">IFERROR(LOOKUP(2,1/((MOD(COLUMN($K16:$AG16),2)=1)*($K16:$AG16&lt;&gt;"-")*($K16:$AG16&lt;&gt;"")),$K16:$AG16),"-")</f>
        <v>Concluída</v>
      </c>
      <c r="J16" s="45"/>
      <c r="K16" s="21"/>
      <c r="L16" s="45">
        <v>19899.78</v>
      </c>
      <c r="M16" s="21" t="s">
        <v>28</v>
      </c>
      <c r="N16" s="45"/>
      <c r="O16" s="21"/>
      <c r="P16" s="45"/>
      <c r="Q16" s="21"/>
      <c r="R16" s="45"/>
      <c r="S16" s="21"/>
      <c r="T16" s="45"/>
      <c r="U16" s="21"/>
      <c r="V16" s="45"/>
      <c r="W16" s="21"/>
      <c r="X16" s="45"/>
      <c r="Y16" s="21"/>
      <c r="Z16" s="45"/>
      <c r="AA16" s="21"/>
      <c r="AB16" s="45"/>
      <c r="AC16" s="21"/>
      <c r="AD16" s="45"/>
      <c r="AE16" s="21"/>
      <c r="AF16" s="45"/>
      <c r="AG16" s="21"/>
    </row>
    <row r="17" spans="2:33" x14ac:dyDescent="0.3">
      <c r="B17" s="30"/>
      <c r="C17" s="32">
        <v>97</v>
      </c>
      <c r="D17" s="12" t="s">
        <v>56</v>
      </c>
      <c r="E17" s="18">
        <v>5370.39</v>
      </c>
      <c r="F17" s="18">
        <f t="shared" si="3"/>
        <v>5353.33</v>
      </c>
      <c r="G17" s="49">
        <f t="shared" si="1"/>
        <v>17.0600000000004</v>
      </c>
      <c r="H17" s="48">
        <f t="shared" si="2"/>
        <v>0.99682332195613343</v>
      </c>
      <c r="I17" s="89" t="str" cm="1">
        <f t="array" ref="I17">IFERROR(LOOKUP(2,1/((MOD(COLUMN($K17:$AG17),2)=1)*($K17:$AG17&lt;&gt;"-")*($K17:$AG17&lt;&gt;"")),$K17:$AG17),"-")</f>
        <v>Concluída</v>
      </c>
      <c r="J17" s="45"/>
      <c r="K17" s="21"/>
      <c r="L17" s="45">
        <v>5353.33</v>
      </c>
      <c r="M17" s="21" t="s">
        <v>28</v>
      </c>
      <c r="N17" s="45"/>
      <c r="O17" s="21"/>
      <c r="P17" s="45"/>
      <c r="Q17" s="21"/>
      <c r="R17" s="45"/>
      <c r="S17" s="21"/>
      <c r="T17" s="45"/>
      <c r="U17" s="21"/>
      <c r="V17" s="45"/>
      <c r="W17" s="21"/>
      <c r="X17" s="45"/>
      <c r="Y17" s="21"/>
      <c r="Z17" s="45"/>
      <c r="AA17" s="21"/>
      <c r="AB17" s="45"/>
      <c r="AC17" s="21"/>
      <c r="AD17" s="45"/>
      <c r="AE17" s="21"/>
      <c r="AF17" s="45"/>
      <c r="AG17" s="21"/>
    </row>
    <row r="18" spans="2:33" x14ac:dyDescent="0.3">
      <c r="B18" s="30"/>
      <c r="C18" s="86">
        <v>98</v>
      </c>
      <c r="D18" s="12" t="s">
        <v>56</v>
      </c>
      <c r="E18" s="18">
        <v>442795.29</v>
      </c>
      <c r="F18" s="18">
        <f t="shared" si="3"/>
        <v>0</v>
      </c>
      <c r="G18" s="49">
        <f t="shared" si="1"/>
        <v>442795.29</v>
      </c>
      <c r="H18" s="48">
        <f t="shared" si="2"/>
        <v>0</v>
      </c>
      <c r="I18" s="89" t="str" cm="1">
        <f t="array" ref="I18">IFERROR(LOOKUP(2,1/((MOD(COLUMN($K18:$AG18),2)=1)*($K18:$AG18&lt;&gt;"-")*($K18:$AG18&lt;&gt;"")),$K18:$AG18),"-")</f>
        <v>Cancelada</v>
      </c>
      <c r="J18" s="45"/>
      <c r="K18" s="21"/>
      <c r="L18" s="45">
        <v>0</v>
      </c>
      <c r="M18" s="21" t="s">
        <v>34</v>
      </c>
      <c r="N18" s="45"/>
      <c r="O18" s="21"/>
      <c r="P18" s="45"/>
      <c r="Q18" s="21"/>
      <c r="R18" s="45"/>
      <c r="S18" s="21"/>
      <c r="T18" s="45"/>
      <c r="U18" s="21"/>
      <c r="V18" s="45"/>
      <c r="W18" s="21"/>
      <c r="X18" s="45"/>
      <c r="Y18" s="21"/>
      <c r="Z18" s="45"/>
      <c r="AA18" s="21"/>
      <c r="AB18" s="45"/>
      <c r="AC18" s="21"/>
      <c r="AD18" s="45"/>
      <c r="AE18" s="21"/>
      <c r="AF18" s="45"/>
      <c r="AG18" s="21"/>
    </row>
    <row r="19" spans="2:33" x14ac:dyDescent="0.3">
      <c r="B19" s="30"/>
      <c r="C19" s="86">
        <v>99</v>
      </c>
      <c r="D19" s="12" t="s">
        <v>56</v>
      </c>
      <c r="E19" s="18">
        <v>116688.86</v>
      </c>
      <c r="F19" s="18">
        <f t="shared" si="3"/>
        <v>0</v>
      </c>
      <c r="G19" s="49">
        <f t="shared" si="1"/>
        <v>116688.86</v>
      </c>
      <c r="H19" s="48">
        <f t="shared" si="2"/>
        <v>0</v>
      </c>
      <c r="I19" s="89" t="str" cm="1">
        <f t="array" ref="I19">IFERROR(LOOKUP(2,1/((MOD(COLUMN($K19:$AG19),2)=1)*($K19:$AG19&lt;&gt;"-")*($K19:$AG19&lt;&gt;"")),$K19:$AG19),"-")</f>
        <v>Cancelada</v>
      </c>
      <c r="J19" s="45"/>
      <c r="K19" s="21"/>
      <c r="L19" s="45">
        <v>0</v>
      </c>
      <c r="M19" s="21" t="s">
        <v>34</v>
      </c>
      <c r="N19" s="45"/>
      <c r="O19" s="21"/>
      <c r="P19" s="45"/>
      <c r="Q19" s="21"/>
      <c r="R19" s="45"/>
      <c r="S19" s="21"/>
      <c r="T19" s="45"/>
      <c r="U19" s="21"/>
      <c r="V19" s="45"/>
      <c r="W19" s="21"/>
      <c r="X19" s="45"/>
      <c r="Y19" s="21"/>
      <c r="Z19" s="45"/>
      <c r="AA19" s="21"/>
      <c r="AB19" s="45"/>
      <c r="AC19" s="21"/>
      <c r="AD19" s="45"/>
      <c r="AE19" s="21"/>
      <c r="AF19" s="45"/>
      <c r="AG19" s="21"/>
    </row>
    <row r="20" spans="2:33" x14ac:dyDescent="0.3">
      <c r="B20" s="30"/>
      <c r="C20" s="32">
        <v>100</v>
      </c>
      <c r="D20" s="12" t="s">
        <v>56</v>
      </c>
      <c r="E20" s="18">
        <v>408915.96</v>
      </c>
      <c r="F20" s="18">
        <f t="shared" si="3"/>
        <v>404651.55</v>
      </c>
      <c r="G20" s="49">
        <f t="shared" si="1"/>
        <v>4264.4100000000326</v>
      </c>
      <c r="H20" s="48">
        <f t="shared" si="2"/>
        <v>0.98957142685259825</v>
      </c>
      <c r="I20" s="89" t="str" cm="1">
        <f t="array" ref="I20">IFERROR(LOOKUP(2,1/((MOD(COLUMN($K20:$AG20),2)=1)*($K20:$AG20&lt;&gt;"-")*($K20:$AG20&lt;&gt;"")),$K20:$AG20),"-")</f>
        <v>Concluída</v>
      </c>
      <c r="J20" s="45"/>
      <c r="K20" s="21"/>
      <c r="L20" s="45">
        <v>404651.55</v>
      </c>
      <c r="M20" s="21" t="s">
        <v>28</v>
      </c>
      <c r="N20" s="45"/>
      <c r="O20" s="21"/>
      <c r="P20" s="45"/>
      <c r="Q20" s="21"/>
      <c r="R20" s="45"/>
      <c r="S20" s="21"/>
      <c r="T20" s="45"/>
      <c r="U20" s="21"/>
      <c r="V20" s="45"/>
      <c r="W20" s="21"/>
      <c r="X20" s="45"/>
      <c r="Y20" s="21"/>
      <c r="Z20" s="45"/>
      <c r="AA20" s="21"/>
      <c r="AB20" s="45"/>
      <c r="AC20" s="21"/>
      <c r="AD20" s="45"/>
      <c r="AE20" s="21"/>
      <c r="AF20" s="45"/>
      <c r="AG20" s="21"/>
    </row>
    <row r="21" spans="2:33" x14ac:dyDescent="0.3">
      <c r="B21" s="30"/>
      <c r="C21" s="32">
        <v>101</v>
      </c>
      <c r="D21" s="12" t="s">
        <v>56</v>
      </c>
      <c r="E21" s="18">
        <v>697649.81</v>
      </c>
      <c r="F21" s="18">
        <f t="shared" si="3"/>
        <v>693319.83</v>
      </c>
      <c r="G21" s="49">
        <f t="shared" si="1"/>
        <v>4329.9800000000978</v>
      </c>
      <c r="H21" s="48">
        <f t="shared" si="2"/>
        <v>0.99379347641476445</v>
      </c>
      <c r="I21" s="89" t="str" cm="1">
        <f t="array" ref="I21">IFERROR(LOOKUP(2,1/((MOD(COLUMN($K21:$AG21),2)=1)*($K21:$AG21&lt;&gt;"-")*($K21:$AG21&lt;&gt;"")),$K21:$AG21),"-")</f>
        <v>Concluída</v>
      </c>
      <c r="J21" s="45"/>
      <c r="K21" s="21"/>
      <c r="L21" s="45">
        <v>693319.83</v>
      </c>
      <c r="M21" s="21" t="s">
        <v>28</v>
      </c>
      <c r="N21" s="45"/>
      <c r="O21" s="21"/>
      <c r="P21" s="45"/>
      <c r="Q21" s="21"/>
      <c r="R21" s="45"/>
      <c r="S21" s="21"/>
      <c r="T21" s="45"/>
      <c r="U21" s="21"/>
      <c r="V21" s="45"/>
      <c r="W21" s="21"/>
      <c r="X21" s="45"/>
      <c r="Y21" s="21"/>
      <c r="Z21" s="45"/>
      <c r="AA21" s="21"/>
      <c r="AB21" s="45"/>
      <c r="AC21" s="21"/>
      <c r="AD21" s="45"/>
      <c r="AE21" s="21"/>
      <c r="AF21" s="45"/>
      <c r="AG21" s="21"/>
    </row>
    <row r="22" spans="2:33" x14ac:dyDescent="0.3">
      <c r="B22" s="30"/>
      <c r="C22" s="32">
        <v>103</v>
      </c>
      <c r="D22" s="12" t="s">
        <v>57</v>
      </c>
      <c r="E22" s="18">
        <v>408651.04</v>
      </c>
      <c r="F22" s="18">
        <f t="shared" si="3"/>
        <v>0</v>
      </c>
      <c r="G22" s="49">
        <f t="shared" si="1"/>
        <v>408651.04</v>
      </c>
      <c r="H22" s="48">
        <f t="shared" si="2"/>
        <v>0</v>
      </c>
      <c r="I22" s="89" t="str" cm="1">
        <f t="array" ref="I22">IFERROR(LOOKUP(2,1/((MOD(COLUMN($K22:$AG22),2)=1)*($K22:$AG22&lt;&gt;"-")*($K22:$AG22&lt;&gt;"")),$K22:$AG22),"-")</f>
        <v>Cancelada</v>
      </c>
      <c r="J22" s="45"/>
      <c r="K22" s="21"/>
      <c r="L22" s="45"/>
      <c r="M22" s="21"/>
      <c r="N22" s="45">
        <v>0</v>
      </c>
      <c r="O22" s="21" t="s">
        <v>34</v>
      </c>
      <c r="P22" s="45"/>
      <c r="Q22" s="21"/>
      <c r="R22" s="45"/>
      <c r="S22" s="21"/>
      <c r="T22" s="45"/>
      <c r="U22" s="21"/>
      <c r="V22" s="45"/>
      <c r="W22" s="21"/>
      <c r="X22" s="45"/>
      <c r="Y22" s="21"/>
      <c r="Z22" s="45"/>
      <c r="AA22" s="21"/>
      <c r="AB22" s="45"/>
      <c r="AC22" s="21"/>
      <c r="AD22" s="45"/>
      <c r="AE22" s="21"/>
      <c r="AF22" s="45"/>
      <c r="AG22" s="21"/>
    </row>
    <row r="23" spans="2:33" x14ac:dyDescent="0.3">
      <c r="B23" s="30"/>
      <c r="C23" s="32">
        <v>105</v>
      </c>
      <c r="D23" s="12" t="s">
        <v>75</v>
      </c>
      <c r="E23" s="18">
        <v>76664.820000000007</v>
      </c>
      <c r="F23" s="18">
        <f t="shared" si="3"/>
        <v>76664.820000000007</v>
      </c>
      <c r="G23" s="49">
        <f t="shared" si="1"/>
        <v>0</v>
      </c>
      <c r="H23" s="48">
        <f t="shared" si="2"/>
        <v>1</v>
      </c>
      <c r="I23" s="89" t="str" cm="1">
        <f t="array" ref="I23">IFERROR(LOOKUP(2,1/((MOD(COLUMN($K23:$AG23),2)=1)*($K23:$AG23&lt;&gt;"-")*($K23:$AG23&lt;&gt;"")),$K23:$AG23),"-")</f>
        <v>Concluída</v>
      </c>
      <c r="J23" s="45"/>
      <c r="K23" s="21"/>
      <c r="L23" s="45"/>
      <c r="M23" s="21"/>
      <c r="N23" s="45">
        <v>76664.820000000007</v>
      </c>
      <c r="O23" s="21" t="s">
        <v>28</v>
      </c>
      <c r="P23" s="45"/>
      <c r="Q23" s="21"/>
      <c r="R23" s="45"/>
      <c r="S23" s="21"/>
      <c r="T23" s="45"/>
      <c r="U23" s="21"/>
      <c r="V23" s="45"/>
      <c r="W23" s="21"/>
      <c r="X23" s="45"/>
      <c r="Y23" s="21"/>
      <c r="Z23" s="45"/>
      <c r="AA23" s="21"/>
      <c r="AB23" s="45"/>
      <c r="AC23" s="21"/>
      <c r="AD23" s="45"/>
      <c r="AE23" s="21"/>
      <c r="AF23" s="45"/>
      <c r="AG23" s="21"/>
    </row>
    <row r="24" spans="2:33" x14ac:dyDescent="0.3">
      <c r="B24" s="30"/>
      <c r="C24" s="32">
        <v>106</v>
      </c>
      <c r="D24" s="12" t="s">
        <v>696</v>
      </c>
      <c r="E24" s="18">
        <v>147197.98000000001</v>
      </c>
      <c r="F24" s="18">
        <f t="shared" si="3"/>
        <v>147197.98000000001</v>
      </c>
      <c r="G24" s="49">
        <f t="shared" si="1"/>
        <v>0</v>
      </c>
      <c r="H24" s="48">
        <f t="shared" si="2"/>
        <v>1</v>
      </c>
      <c r="I24" s="89" t="str" cm="1">
        <f t="array" ref="I24">IFERROR(LOOKUP(2,1/((MOD(COLUMN($K24:$AG24),2)=1)*($K24:$AG24&lt;&gt;"-")*($K24:$AG24&lt;&gt;"")),$K24:$AG24),"-")</f>
        <v>Concluída</v>
      </c>
      <c r="J24" s="45"/>
      <c r="K24" s="21"/>
      <c r="L24" s="45">
        <v>147197.98000000001</v>
      </c>
      <c r="M24" s="21" t="s">
        <v>28</v>
      </c>
      <c r="N24" s="45"/>
      <c r="O24" s="21"/>
      <c r="P24" s="45"/>
      <c r="Q24" s="21"/>
      <c r="R24" s="45"/>
      <c r="S24" s="21"/>
      <c r="T24" s="45"/>
      <c r="U24" s="21"/>
      <c r="V24" s="45"/>
      <c r="W24" s="21"/>
      <c r="X24" s="45"/>
      <c r="Y24" s="21"/>
      <c r="Z24" s="45"/>
      <c r="AA24" s="21"/>
      <c r="AB24" s="45"/>
      <c r="AC24" s="21"/>
      <c r="AD24" s="45"/>
      <c r="AE24" s="21"/>
      <c r="AF24" s="45"/>
      <c r="AG24" s="21"/>
    </row>
    <row r="25" spans="2:33" x14ac:dyDescent="0.3">
      <c r="B25" s="30">
        <f t="shared" si="0"/>
        <v>22</v>
      </c>
      <c r="C25" s="32">
        <v>107</v>
      </c>
      <c r="D25" s="12" t="s">
        <v>76</v>
      </c>
      <c r="E25" s="18">
        <v>68219.39</v>
      </c>
      <c r="F25" s="18">
        <f t="shared" si="3"/>
        <v>55663.69</v>
      </c>
      <c r="G25" s="49">
        <f t="shared" si="1"/>
        <v>12555.699999999997</v>
      </c>
      <c r="H25" s="48">
        <f t="shared" si="2"/>
        <v>0.81595115406338292</v>
      </c>
      <c r="I25" s="89" t="str" cm="1">
        <f t="array" ref="I25">IFERROR(LOOKUP(2,1/((MOD(COLUMN($K25:$AG25),2)=1)*($K25:$AG25&lt;&gt;"-")*($K25:$AG25&lt;&gt;"")),$K25:$AG25),"-")</f>
        <v>Concluída</v>
      </c>
      <c r="J25" s="45"/>
      <c r="K25" s="21"/>
      <c r="L25" s="45"/>
      <c r="M25" s="21"/>
      <c r="N25" s="45"/>
      <c r="O25" s="21"/>
      <c r="P25" s="45">
        <v>55663.69</v>
      </c>
      <c r="Q25" s="21" t="s">
        <v>26</v>
      </c>
      <c r="R25" s="45">
        <v>0</v>
      </c>
      <c r="S25" s="21" t="s">
        <v>28</v>
      </c>
      <c r="T25" s="45"/>
      <c r="U25" s="21"/>
      <c r="V25" s="45"/>
      <c r="W25" s="21"/>
      <c r="X25" s="45"/>
      <c r="Y25" s="21"/>
      <c r="Z25" s="45"/>
      <c r="AA25" s="21"/>
      <c r="AB25" s="45"/>
      <c r="AC25" s="21"/>
      <c r="AD25" s="45"/>
      <c r="AE25" s="21"/>
      <c r="AF25" s="45"/>
      <c r="AG25" s="21"/>
    </row>
    <row r="26" spans="2:33" x14ac:dyDescent="0.3">
      <c r="B26" s="30">
        <f t="shared" si="0"/>
        <v>23</v>
      </c>
      <c r="C26" s="32">
        <v>108</v>
      </c>
      <c r="D26" s="12" t="s">
        <v>696</v>
      </c>
      <c r="E26" s="18">
        <v>9304.33</v>
      </c>
      <c r="F26" s="18">
        <f t="shared" si="3"/>
        <v>9304.33</v>
      </c>
      <c r="G26" s="49">
        <f t="shared" si="1"/>
        <v>0</v>
      </c>
      <c r="H26" s="48">
        <f t="shared" si="2"/>
        <v>1</v>
      </c>
      <c r="I26" s="89" t="str" cm="1">
        <f t="array" ref="I26">IFERROR(LOOKUP(2,1/((MOD(COLUMN($K26:$AG26),2)=1)*($K26:$AG26&lt;&gt;"-")*($K26:$AG26&lt;&gt;"")),$K26:$AG26),"-")</f>
        <v>Concluída</v>
      </c>
      <c r="J26" s="45"/>
      <c r="K26" s="21"/>
      <c r="L26" s="45"/>
      <c r="M26" s="21"/>
      <c r="N26" s="45"/>
      <c r="O26" s="21"/>
      <c r="P26" s="45">
        <v>0</v>
      </c>
      <c r="Q26" s="21" t="s">
        <v>31</v>
      </c>
      <c r="R26" s="45">
        <v>0</v>
      </c>
      <c r="S26" s="21" t="s">
        <v>31</v>
      </c>
      <c r="T26" s="45">
        <v>9304.33</v>
      </c>
      <c r="U26" s="21" t="s">
        <v>28</v>
      </c>
      <c r="V26" s="45"/>
      <c r="W26" s="21"/>
      <c r="X26" s="45"/>
      <c r="Y26" s="21"/>
      <c r="Z26" s="45"/>
      <c r="AA26" s="21"/>
      <c r="AB26" s="45"/>
      <c r="AC26" s="21"/>
      <c r="AD26" s="45"/>
      <c r="AE26" s="21"/>
      <c r="AF26" s="45"/>
      <c r="AG26" s="21"/>
    </row>
    <row r="27" spans="2:33" x14ac:dyDescent="0.3">
      <c r="B27" s="30">
        <f t="shared" si="0"/>
        <v>24</v>
      </c>
      <c r="C27" s="32">
        <v>109</v>
      </c>
      <c r="D27" s="12" t="s">
        <v>696</v>
      </c>
      <c r="E27" s="18">
        <v>5280.85</v>
      </c>
      <c r="F27" s="18">
        <f t="shared" si="3"/>
        <v>5254.28</v>
      </c>
      <c r="G27" s="49">
        <f t="shared" si="1"/>
        <v>26.570000000000618</v>
      </c>
      <c r="H27" s="48">
        <f t="shared" si="2"/>
        <v>0.9949686130073756</v>
      </c>
      <c r="I27" s="89" t="str" cm="1">
        <f t="array" ref="I27">IFERROR(LOOKUP(2,1/((MOD(COLUMN($K27:$AG27),2)=1)*($K27:$AG27&lt;&gt;"-")*($K27:$AG27&lt;&gt;"")),$K27:$AG27),"-")</f>
        <v>Concluída</v>
      </c>
      <c r="J27" s="45"/>
      <c r="K27" s="21"/>
      <c r="L27" s="45"/>
      <c r="M27" s="21"/>
      <c r="N27" s="45"/>
      <c r="O27" s="21"/>
      <c r="P27" s="45">
        <v>0</v>
      </c>
      <c r="Q27" s="21" t="s">
        <v>31</v>
      </c>
      <c r="R27" s="45">
        <v>0</v>
      </c>
      <c r="S27" s="21" t="s">
        <v>31</v>
      </c>
      <c r="T27" s="45">
        <v>5254.28</v>
      </c>
      <c r="U27" s="21" t="s">
        <v>28</v>
      </c>
      <c r="V27" s="45"/>
      <c r="W27" s="21"/>
      <c r="X27" s="45"/>
      <c r="Y27" s="21"/>
      <c r="Z27" s="45"/>
      <c r="AA27" s="21"/>
      <c r="AB27" s="45"/>
      <c r="AC27" s="21"/>
      <c r="AD27" s="45"/>
      <c r="AE27" s="21"/>
      <c r="AF27" s="45"/>
      <c r="AG27" s="21"/>
    </row>
    <row r="28" spans="2:33" x14ac:dyDescent="0.3">
      <c r="B28" s="30">
        <f t="shared" si="0"/>
        <v>25</v>
      </c>
      <c r="C28" s="32">
        <v>110</v>
      </c>
      <c r="D28" s="12" t="s">
        <v>696</v>
      </c>
      <c r="E28" s="18">
        <v>352883.52</v>
      </c>
      <c r="F28" s="18">
        <f t="shared" si="3"/>
        <v>331596.27</v>
      </c>
      <c r="G28" s="49">
        <f t="shared" si="1"/>
        <v>21287.25</v>
      </c>
      <c r="H28" s="48">
        <f t="shared" si="2"/>
        <v>0.93967627051555147</v>
      </c>
      <c r="I28" s="89" t="str" cm="1">
        <f t="array" ref="I28">IFERROR(LOOKUP(2,1/((MOD(COLUMN($K28:$AG28),2)=1)*($K28:$AG28&lt;&gt;"-")*($K28:$AG28&lt;&gt;"")),$K28:$AG28),"-")</f>
        <v>Concluída</v>
      </c>
      <c r="J28" s="45"/>
      <c r="K28" s="21"/>
      <c r="L28" s="45"/>
      <c r="M28" s="21"/>
      <c r="N28" s="45"/>
      <c r="O28" s="21"/>
      <c r="P28" s="45">
        <v>4926.37</v>
      </c>
      <c r="Q28" s="21" t="s">
        <v>26</v>
      </c>
      <c r="R28" s="45">
        <v>187693.39</v>
      </c>
      <c r="S28" s="21" t="s">
        <v>26</v>
      </c>
      <c r="T28" s="45">
        <v>138976.51</v>
      </c>
      <c r="U28" s="21" t="s">
        <v>28</v>
      </c>
      <c r="V28" s="45"/>
      <c r="W28" s="21"/>
      <c r="X28" s="45"/>
      <c r="Y28" s="21"/>
      <c r="Z28" s="45"/>
      <c r="AA28" s="21"/>
      <c r="AB28" s="45"/>
      <c r="AC28" s="21"/>
      <c r="AD28" s="45"/>
      <c r="AE28" s="21"/>
      <c r="AF28" s="45"/>
      <c r="AG28" s="21"/>
    </row>
    <row r="29" spans="2:33" x14ac:dyDescent="0.3">
      <c r="B29" s="30">
        <f t="shared" si="0"/>
        <v>26</v>
      </c>
      <c r="C29" s="32">
        <v>111</v>
      </c>
      <c r="D29" s="12" t="s">
        <v>696</v>
      </c>
      <c r="E29" s="18">
        <v>153906.54</v>
      </c>
      <c r="F29" s="18">
        <f t="shared" si="3"/>
        <v>153354.66</v>
      </c>
      <c r="G29" s="49">
        <f t="shared" si="1"/>
        <v>551.88000000000466</v>
      </c>
      <c r="H29" s="48">
        <f t="shared" si="2"/>
        <v>0.99641418746727717</v>
      </c>
      <c r="I29" s="89" t="str" cm="1">
        <f t="array" ref="I29">IFERROR(LOOKUP(2,1/((MOD(COLUMN($K29:$AG29),2)=1)*($K29:$AG29&lt;&gt;"-")*($K29:$AG29&lt;&gt;"")),$K29:$AG29),"-")</f>
        <v>Concluída</v>
      </c>
      <c r="J29" s="45"/>
      <c r="K29" s="21"/>
      <c r="L29" s="45"/>
      <c r="M29" s="21"/>
      <c r="N29" s="45"/>
      <c r="O29" s="21"/>
      <c r="P29" s="45">
        <v>3792.53</v>
      </c>
      <c r="Q29" s="21" t="s">
        <v>26</v>
      </c>
      <c r="R29" s="45">
        <v>149562.13</v>
      </c>
      <c r="S29" s="21" t="s">
        <v>28</v>
      </c>
      <c r="T29" s="45"/>
      <c r="U29" s="21"/>
      <c r="V29" s="45"/>
      <c r="W29" s="21"/>
      <c r="X29" s="45"/>
      <c r="Y29" s="21"/>
      <c r="Z29" s="45"/>
      <c r="AA29" s="21"/>
      <c r="AB29" s="45"/>
      <c r="AC29" s="21"/>
      <c r="AD29" s="45"/>
      <c r="AE29" s="21"/>
      <c r="AF29" s="45"/>
      <c r="AG29" s="21"/>
    </row>
    <row r="30" spans="2:33" x14ac:dyDescent="0.3">
      <c r="B30" s="30">
        <f t="shared" si="0"/>
        <v>27</v>
      </c>
      <c r="C30" s="32">
        <v>112</v>
      </c>
      <c r="D30" s="12" t="s">
        <v>696</v>
      </c>
      <c r="E30" s="18">
        <v>24289.39</v>
      </c>
      <c r="F30" s="18">
        <f t="shared" si="3"/>
        <v>24289.39</v>
      </c>
      <c r="G30" s="49">
        <f t="shared" si="1"/>
        <v>0</v>
      </c>
      <c r="H30" s="48">
        <f t="shared" si="2"/>
        <v>1</v>
      </c>
      <c r="I30" s="89" t="str" cm="1">
        <f t="array" ref="I30">IFERROR(LOOKUP(2,1/((MOD(COLUMN($K30:$AG30),2)=1)*($K30:$AG30&lt;&gt;"-")*($K30:$AG30&lt;&gt;"")),$K30:$AG30),"-")</f>
        <v>Concluída</v>
      </c>
      <c r="J30" s="45"/>
      <c r="K30" s="21"/>
      <c r="L30" s="45"/>
      <c r="M30" s="21"/>
      <c r="N30" s="45"/>
      <c r="O30" s="21"/>
      <c r="P30" s="45">
        <v>0</v>
      </c>
      <c r="Q30" s="21" t="s">
        <v>31</v>
      </c>
      <c r="R30" s="45">
        <v>24289.39</v>
      </c>
      <c r="S30" s="21" t="s">
        <v>28</v>
      </c>
      <c r="T30" s="45"/>
      <c r="U30" s="21"/>
      <c r="V30" s="45"/>
      <c r="W30" s="21"/>
      <c r="X30" s="45"/>
      <c r="Y30" s="21"/>
      <c r="Z30" s="45"/>
      <c r="AA30" s="21"/>
      <c r="AB30" s="45"/>
      <c r="AC30" s="21"/>
      <c r="AD30" s="45"/>
      <c r="AE30" s="21"/>
      <c r="AF30" s="45"/>
      <c r="AG30" s="21"/>
    </row>
    <row r="31" spans="2:33" x14ac:dyDescent="0.3">
      <c r="B31" s="30">
        <f t="shared" si="0"/>
        <v>28</v>
      </c>
      <c r="C31" s="32">
        <v>113</v>
      </c>
      <c r="D31" s="12" t="s">
        <v>696</v>
      </c>
      <c r="E31" s="18">
        <v>418611.58</v>
      </c>
      <c r="F31" s="18">
        <f t="shared" si="3"/>
        <v>416255.51</v>
      </c>
      <c r="G31" s="49">
        <f t="shared" si="1"/>
        <v>2356.070000000007</v>
      </c>
      <c r="H31" s="48">
        <f t="shared" si="2"/>
        <v>0.99437170371636641</v>
      </c>
      <c r="I31" s="89" t="str" cm="1">
        <f t="array" ref="I31">IFERROR(LOOKUP(2,1/((MOD(COLUMN($K31:$AG31),2)=1)*($K31:$AG31&lt;&gt;"-")*($K31:$AG31&lt;&gt;"")),$K31:$AG31),"-")</f>
        <v>Concluída</v>
      </c>
      <c r="J31" s="45"/>
      <c r="K31" s="21"/>
      <c r="L31" s="45"/>
      <c r="M31" s="21"/>
      <c r="N31" s="45"/>
      <c r="O31" s="21"/>
      <c r="P31" s="45">
        <v>14427.83</v>
      </c>
      <c r="Q31" s="21" t="s">
        <v>26</v>
      </c>
      <c r="R31" s="45">
        <v>401827.68</v>
      </c>
      <c r="S31" s="21" t="s">
        <v>28</v>
      </c>
      <c r="T31" s="45"/>
      <c r="U31" s="21"/>
      <c r="V31" s="45"/>
      <c r="W31" s="21"/>
      <c r="X31" s="45"/>
      <c r="Y31" s="21"/>
      <c r="Z31" s="45"/>
      <c r="AA31" s="21"/>
      <c r="AB31" s="45"/>
      <c r="AC31" s="21"/>
      <c r="AD31" s="45"/>
      <c r="AE31" s="21"/>
      <c r="AF31" s="45"/>
      <c r="AG31" s="21"/>
    </row>
    <row r="32" spans="2:33" x14ac:dyDescent="0.3">
      <c r="B32" s="30">
        <f t="shared" si="0"/>
        <v>29</v>
      </c>
      <c r="C32" s="32">
        <v>114</v>
      </c>
      <c r="D32" s="12" t="s">
        <v>696</v>
      </c>
      <c r="E32" s="18">
        <v>349919.75</v>
      </c>
      <c r="F32" s="18">
        <f t="shared" si="3"/>
        <v>0</v>
      </c>
      <c r="G32" s="49">
        <f t="shared" si="1"/>
        <v>349919.75</v>
      </c>
      <c r="H32" s="48">
        <f t="shared" si="2"/>
        <v>0</v>
      </c>
      <c r="I32" s="89" t="str" cm="1">
        <f t="array" ref="I32">IFERROR(LOOKUP(2,1/((MOD(COLUMN($K32:$AG32),2)=1)*($K32:$AG32&lt;&gt;"-")*($K32:$AG32&lt;&gt;"")),$K32:$AG32),"-")</f>
        <v>Cancelada</v>
      </c>
      <c r="J32" s="45"/>
      <c r="K32" s="21"/>
      <c r="L32" s="45"/>
      <c r="M32" s="21"/>
      <c r="N32" s="45"/>
      <c r="O32" s="21"/>
      <c r="P32" s="45"/>
      <c r="Q32" s="21" t="s">
        <v>31</v>
      </c>
      <c r="R32" s="45"/>
      <c r="S32" s="21" t="s">
        <v>31</v>
      </c>
      <c r="T32" s="45"/>
      <c r="U32" s="21" t="s">
        <v>34</v>
      </c>
      <c r="V32" s="45"/>
      <c r="W32" s="21"/>
      <c r="X32" s="45"/>
      <c r="Y32" s="21"/>
      <c r="Z32" s="45"/>
      <c r="AA32" s="21"/>
      <c r="AB32" s="45"/>
      <c r="AC32" s="21"/>
      <c r="AD32" s="45"/>
      <c r="AE32" s="21"/>
      <c r="AF32" s="45"/>
      <c r="AG32" s="21"/>
    </row>
    <row r="33" spans="2:33" x14ac:dyDescent="0.3">
      <c r="B33" s="30">
        <f t="shared" si="0"/>
        <v>30</v>
      </c>
      <c r="C33" s="32">
        <v>115</v>
      </c>
      <c r="D33" s="12" t="s">
        <v>76</v>
      </c>
      <c r="E33" s="18">
        <v>200915.75</v>
      </c>
      <c r="F33" s="18">
        <f t="shared" si="3"/>
        <v>200530.47</v>
      </c>
      <c r="G33" s="49">
        <f t="shared" si="1"/>
        <v>385.27999999999884</v>
      </c>
      <c r="H33" s="48">
        <f t="shared" si="2"/>
        <v>0.99808238030119589</v>
      </c>
      <c r="I33" s="89" t="str" cm="1">
        <f t="array" ref="I33">IFERROR(LOOKUP(2,1/((MOD(COLUMN($K33:$AG33),2)=1)*($K33:$AG33&lt;&gt;"-")*($K33:$AG33&lt;&gt;"")),$K33:$AG33),"-")</f>
        <v>Concluída</v>
      </c>
      <c r="J33" s="45"/>
      <c r="K33" s="21"/>
      <c r="L33" s="45"/>
      <c r="M33" s="21"/>
      <c r="N33" s="45"/>
      <c r="O33" s="21"/>
      <c r="P33" s="45">
        <v>5220.22</v>
      </c>
      <c r="Q33" s="21" t="s">
        <v>26</v>
      </c>
      <c r="R33" s="45">
        <v>195310.25</v>
      </c>
      <c r="S33" s="21" t="s">
        <v>28</v>
      </c>
      <c r="T33" s="45"/>
      <c r="U33" s="21"/>
      <c r="V33" s="45"/>
      <c r="W33" s="21"/>
      <c r="X33" s="45"/>
      <c r="Y33" s="21"/>
      <c r="Z33" s="45"/>
      <c r="AA33" s="21"/>
      <c r="AB33" s="45"/>
      <c r="AC33" s="21"/>
      <c r="AD33" s="45"/>
      <c r="AE33" s="21"/>
      <c r="AF33" s="45"/>
      <c r="AG33" s="21"/>
    </row>
    <row r="34" spans="2:33" x14ac:dyDescent="0.3">
      <c r="B34" s="30">
        <f t="shared" si="0"/>
        <v>31</v>
      </c>
      <c r="C34" s="32">
        <v>116</v>
      </c>
      <c r="D34" s="12" t="s">
        <v>696</v>
      </c>
      <c r="E34" s="18">
        <v>216295.34</v>
      </c>
      <c r="F34" s="18">
        <f t="shared" si="3"/>
        <v>21437.360000000001</v>
      </c>
      <c r="G34" s="49">
        <f t="shared" si="1"/>
        <v>194857.97999999998</v>
      </c>
      <c r="H34" s="48">
        <f t="shared" si="2"/>
        <v>9.911152038689322E-2</v>
      </c>
      <c r="I34" s="89" t="str" cm="1">
        <f t="array" ref="I34">IFERROR(LOOKUP(2,1/((MOD(COLUMN($K34:$AG34),2)=1)*($K34:$AG34&lt;&gt;"-")*($K34:$AG34&lt;&gt;"")),$K34:$AG34),"-")</f>
        <v>Concluída</v>
      </c>
      <c r="J34" s="45"/>
      <c r="K34" s="21"/>
      <c r="L34" s="45"/>
      <c r="M34" s="21"/>
      <c r="N34" s="45"/>
      <c r="O34" s="21"/>
      <c r="P34" s="45"/>
      <c r="Q34" s="21" t="s">
        <v>31</v>
      </c>
      <c r="R34" s="45"/>
      <c r="S34" s="21" t="s">
        <v>31</v>
      </c>
      <c r="T34" s="45">
        <v>21437.360000000001</v>
      </c>
      <c r="U34" s="21" t="s">
        <v>28</v>
      </c>
      <c r="V34" s="45"/>
      <c r="W34" s="21"/>
      <c r="X34" s="45"/>
      <c r="Y34" s="21"/>
      <c r="Z34" s="45"/>
      <c r="AA34" s="21"/>
      <c r="AB34" s="45"/>
      <c r="AC34" s="21"/>
      <c r="AD34" s="45"/>
      <c r="AE34" s="21"/>
      <c r="AF34" s="45"/>
      <c r="AG34" s="21"/>
    </row>
    <row r="35" spans="2:33" x14ac:dyDescent="0.3">
      <c r="B35" s="30">
        <f t="shared" si="0"/>
        <v>32</v>
      </c>
      <c r="C35" s="32">
        <v>117</v>
      </c>
      <c r="D35" s="12" t="s">
        <v>696</v>
      </c>
      <c r="E35" s="18">
        <v>1066110.3700000001</v>
      </c>
      <c r="F35" s="18">
        <f t="shared" si="3"/>
        <v>0</v>
      </c>
      <c r="G35" s="49">
        <f t="shared" si="1"/>
        <v>1066110.3700000001</v>
      </c>
      <c r="H35" s="48">
        <f t="shared" si="2"/>
        <v>0</v>
      </c>
      <c r="I35" s="89" t="str" cm="1">
        <f t="array" ref="I35">IFERROR(LOOKUP(2,1/((MOD(COLUMN($K35:$AG35),2)=1)*($K35:$AG35&lt;&gt;"-")*($K35:$AG35&lt;&gt;"")),$K35:$AG35),"-")</f>
        <v>Cancelada</v>
      </c>
      <c r="J35" s="45"/>
      <c r="K35" s="21"/>
      <c r="L35" s="45"/>
      <c r="M35" s="21"/>
      <c r="N35" s="45"/>
      <c r="O35" s="21"/>
      <c r="P35" s="45"/>
      <c r="Q35" s="21" t="s">
        <v>31</v>
      </c>
      <c r="R35" s="45"/>
      <c r="S35" s="21" t="s">
        <v>31</v>
      </c>
      <c r="T35" s="45"/>
      <c r="U35" s="21" t="s">
        <v>34</v>
      </c>
      <c r="V35" s="45"/>
      <c r="W35" s="21"/>
      <c r="X35" s="45"/>
      <c r="Y35" s="21"/>
      <c r="Z35" s="45"/>
      <c r="AA35" s="21"/>
      <c r="AB35" s="45"/>
      <c r="AC35" s="21"/>
      <c r="AD35" s="45"/>
      <c r="AE35" s="21"/>
      <c r="AF35" s="45"/>
      <c r="AG35" s="21"/>
    </row>
    <row r="36" spans="2:33" x14ac:dyDescent="0.3">
      <c r="B36" s="30">
        <f t="shared" si="0"/>
        <v>33</v>
      </c>
      <c r="C36" s="32">
        <v>118</v>
      </c>
      <c r="D36" s="12" t="s">
        <v>696</v>
      </c>
      <c r="E36" s="18">
        <v>169859.47</v>
      </c>
      <c r="F36" s="18">
        <f t="shared" si="3"/>
        <v>169632.4</v>
      </c>
      <c r="G36" s="49">
        <f t="shared" si="1"/>
        <v>227.07000000000698</v>
      </c>
      <c r="H36" s="48">
        <f t="shared" si="2"/>
        <v>0.9986631890468044</v>
      </c>
      <c r="I36" s="89" t="str" cm="1">
        <f t="array" ref="I36">IFERROR(LOOKUP(2,1/((MOD(COLUMN($K36:$AG36),2)=1)*($K36:$AG36&lt;&gt;"-")*($K36:$AG36&lt;&gt;"")),$K36:$AG36),"-")</f>
        <v>Concluída</v>
      </c>
      <c r="J36" s="45"/>
      <c r="K36" s="21"/>
      <c r="L36" s="45"/>
      <c r="M36" s="21"/>
      <c r="N36" s="45"/>
      <c r="O36" s="21"/>
      <c r="P36" s="45">
        <v>7805.74</v>
      </c>
      <c r="Q36" s="21" t="s">
        <v>26</v>
      </c>
      <c r="R36" s="45">
        <v>161826.66</v>
      </c>
      <c r="S36" s="21" t="s">
        <v>28</v>
      </c>
      <c r="T36" s="45"/>
      <c r="U36" s="21"/>
      <c r="V36" s="45"/>
      <c r="W36" s="21"/>
      <c r="X36" s="45"/>
      <c r="Y36" s="21"/>
      <c r="Z36" s="45"/>
      <c r="AA36" s="21"/>
      <c r="AB36" s="45"/>
      <c r="AC36" s="21"/>
      <c r="AD36" s="45"/>
      <c r="AE36" s="21"/>
      <c r="AF36" s="45"/>
      <c r="AG36" s="21"/>
    </row>
    <row r="37" spans="2:33" x14ac:dyDescent="0.3">
      <c r="B37" s="30">
        <f t="shared" si="0"/>
        <v>34</v>
      </c>
      <c r="C37" s="32">
        <v>119</v>
      </c>
      <c r="D37" s="12" t="s">
        <v>696</v>
      </c>
      <c r="E37" s="18">
        <v>499747.93</v>
      </c>
      <c r="F37" s="18">
        <f t="shared" si="3"/>
        <v>417072.01</v>
      </c>
      <c r="G37" s="49">
        <f t="shared" si="1"/>
        <v>82675.919999999984</v>
      </c>
      <c r="H37" s="48">
        <f t="shared" si="2"/>
        <v>0.83456475747683445</v>
      </c>
      <c r="I37" s="89" t="str" cm="1">
        <f t="array" ref="I37">IFERROR(LOOKUP(2,1/((MOD(COLUMN($K37:$AG37),2)=1)*($K37:$AG37&lt;&gt;"-")*($K37:$AG37&lt;&gt;"")),$K37:$AG37),"-")</f>
        <v>Concluída</v>
      </c>
      <c r="J37" s="45"/>
      <c r="K37" s="21"/>
      <c r="L37" s="45"/>
      <c r="M37" s="21"/>
      <c r="N37" s="45"/>
      <c r="O37" s="21"/>
      <c r="P37" s="45"/>
      <c r="Q37" s="21" t="s">
        <v>31</v>
      </c>
      <c r="R37" s="45">
        <v>417072.01</v>
      </c>
      <c r="S37" s="21" t="s">
        <v>26</v>
      </c>
      <c r="T37" s="45"/>
      <c r="U37" s="21" t="s">
        <v>28</v>
      </c>
      <c r="V37" s="45"/>
      <c r="W37" s="21"/>
      <c r="X37" s="45"/>
      <c r="Y37" s="21"/>
      <c r="Z37" s="45"/>
      <c r="AA37" s="21"/>
      <c r="AB37" s="45"/>
      <c r="AC37" s="21"/>
      <c r="AD37" s="45"/>
      <c r="AE37" s="21"/>
      <c r="AF37" s="45"/>
      <c r="AG37" s="21"/>
    </row>
    <row r="38" spans="2:33" x14ac:dyDescent="0.3">
      <c r="B38" s="30">
        <f t="shared" si="0"/>
        <v>35</v>
      </c>
      <c r="C38" s="32">
        <v>120</v>
      </c>
      <c r="D38" s="12" t="s">
        <v>698</v>
      </c>
      <c r="E38" s="18">
        <v>69593</v>
      </c>
      <c r="F38" s="18">
        <f t="shared" si="3"/>
        <v>0</v>
      </c>
      <c r="G38" s="49">
        <f t="shared" si="1"/>
        <v>69593</v>
      </c>
      <c r="H38" s="48">
        <f t="shared" si="2"/>
        <v>0</v>
      </c>
      <c r="I38" s="89" t="str" cm="1">
        <f t="array" ref="I38">IFERROR(LOOKUP(2,1/((MOD(COLUMN($K38:$AG38),2)=1)*($K38:$AG38&lt;&gt;"-")*($K38:$AG38&lt;&gt;"")),$K38:$AG38),"-")</f>
        <v>Cancelada</v>
      </c>
      <c r="J38" s="45"/>
      <c r="K38" s="21"/>
      <c r="L38" s="45"/>
      <c r="M38" s="21"/>
      <c r="N38" s="45"/>
      <c r="O38" s="21"/>
      <c r="P38" s="45"/>
      <c r="Q38" s="21"/>
      <c r="R38" s="45"/>
      <c r="S38" s="21" t="s">
        <v>31</v>
      </c>
      <c r="T38" s="45"/>
      <c r="U38" s="21" t="s">
        <v>34</v>
      </c>
      <c r="V38" s="45"/>
      <c r="W38" s="21"/>
      <c r="X38" s="45"/>
      <c r="Y38" s="21"/>
      <c r="Z38" s="45"/>
      <c r="AA38" s="21"/>
      <c r="AB38" s="45"/>
      <c r="AC38" s="21"/>
      <c r="AD38" s="45"/>
      <c r="AE38" s="21"/>
      <c r="AF38" s="45"/>
      <c r="AG38" s="21"/>
    </row>
    <row r="39" spans="2:33" x14ac:dyDescent="0.3">
      <c r="B39" s="30">
        <f t="shared" si="0"/>
        <v>36</v>
      </c>
      <c r="C39" s="32">
        <v>121</v>
      </c>
      <c r="D39" s="12" t="s">
        <v>777</v>
      </c>
      <c r="E39" s="18">
        <v>373995.13</v>
      </c>
      <c r="F39" s="18">
        <f t="shared" si="3"/>
        <v>373995.13</v>
      </c>
      <c r="G39" s="49">
        <f t="shared" si="1"/>
        <v>0</v>
      </c>
      <c r="H39" s="48">
        <f t="shared" si="2"/>
        <v>1</v>
      </c>
      <c r="I39" s="89" t="str" cm="1">
        <f t="array" ref="I39">IFERROR(LOOKUP(2,1/((MOD(COLUMN($K39:$AG39),2)=1)*($K39:$AG39&lt;&gt;"-")*($K39:$AG39&lt;&gt;"")),$K39:$AG39),"-")</f>
        <v>Concluída</v>
      </c>
      <c r="J39" s="45"/>
      <c r="K39" s="21"/>
      <c r="L39" s="45"/>
      <c r="M39" s="21"/>
      <c r="N39" s="45"/>
      <c r="O39" s="21"/>
      <c r="P39" s="45"/>
      <c r="Q39" s="21"/>
      <c r="R39" s="45"/>
      <c r="S39" s="21"/>
      <c r="T39" s="45">
        <v>373995.13</v>
      </c>
      <c r="U39" s="21" t="s">
        <v>28</v>
      </c>
      <c r="V39" s="45"/>
      <c r="W39" s="21"/>
      <c r="X39" s="45"/>
      <c r="Y39" s="21"/>
      <c r="Z39" s="45"/>
      <c r="AA39" s="21"/>
      <c r="AB39" s="45"/>
      <c r="AC39" s="21"/>
      <c r="AD39" s="45"/>
      <c r="AE39" s="21"/>
      <c r="AF39" s="45"/>
      <c r="AG39" s="21"/>
    </row>
    <row r="40" spans="2:33" x14ac:dyDescent="0.3">
      <c r="B40" s="30">
        <f t="shared" si="0"/>
        <v>37</v>
      </c>
      <c r="C40" s="32">
        <v>122</v>
      </c>
      <c r="D40" s="12" t="s">
        <v>777</v>
      </c>
      <c r="E40" s="18">
        <v>39329.910000000003</v>
      </c>
      <c r="F40" s="18">
        <f t="shared" si="3"/>
        <v>0</v>
      </c>
      <c r="G40" s="49">
        <f t="shared" si="1"/>
        <v>39329.910000000003</v>
      </c>
      <c r="H40" s="48">
        <f t="shared" si="2"/>
        <v>0</v>
      </c>
      <c r="I40" s="89" t="str" cm="1">
        <f t="array" ref="I40">IFERROR(LOOKUP(2,1/((MOD(COLUMN($K40:$AG40),2)=1)*($K40:$AG40&lt;&gt;"-")*($K40:$AG40&lt;&gt;"")),$K40:$AG40),"-")</f>
        <v>Cancelada</v>
      </c>
      <c r="J40" s="45"/>
      <c r="K40" s="21"/>
      <c r="L40" s="45"/>
      <c r="M40" s="21"/>
      <c r="N40" s="45"/>
      <c r="O40" s="21"/>
      <c r="P40" s="45"/>
      <c r="Q40" s="21"/>
      <c r="R40" s="45"/>
      <c r="S40" s="21"/>
      <c r="T40" s="45"/>
      <c r="U40" s="21" t="s">
        <v>31</v>
      </c>
      <c r="V40" s="45"/>
      <c r="W40" s="21" t="s">
        <v>31</v>
      </c>
      <c r="X40" s="45"/>
      <c r="Y40" s="21" t="s">
        <v>34</v>
      </c>
      <c r="Z40" s="45"/>
      <c r="AA40" s="21"/>
      <c r="AB40" s="45"/>
      <c r="AC40" s="21"/>
      <c r="AD40" s="45"/>
      <c r="AE40" s="21"/>
      <c r="AF40" s="45"/>
      <c r="AG40" s="21"/>
    </row>
    <row r="41" spans="2:33" x14ac:dyDescent="0.3">
      <c r="B41" s="30">
        <f t="shared" si="0"/>
        <v>38</v>
      </c>
      <c r="C41" s="32">
        <v>123</v>
      </c>
      <c r="D41" s="12" t="s">
        <v>777</v>
      </c>
      <c r="E41" s="18">
        <v>111749.71</v>
      </c>
      <c r="F41" s="18">
        <f t="shared" si="3"/>
        <v>0</v>
      </c>
      <c r="G41" s="49">
        <f t="shared" si="1"/>
        <v>111749.71</v>
      </c>
      <c r="H41" s="48">
        <f t="shared" si="2"/>
        <v>0</v>
      </c>
      <c r="I41" s="89" t="str" cm="1">
        <f t="array" ref="I41">IFERROR(LOOKUP(2,1/((MOD(COLUMN($K41:$AG41),2)=1)*($K41:$AG41&lt;&gt;"-")*($K41:$AG41&lt;&gt;"")),$K41:$AG41),"-")</f>
        <v>Cancelada</v>
      </c>
      <c r="J41" s="45"/>
      <c r="K41" s="21"/>
      <c r="L41" s="45"/>
      <c r="M41" s="21"/>
      <c r="N41" s="45"/>
      <c r="O41" s="21"/>
      <c r="P41" s="45"/>
      <c r="Q41" s="21"/>
      <c r="R41" s="45"/>
      <c r="S41" s="21"/>
      <c r="T41" s="45"/>
      <c r="U41" s="21" t="s">
        <v>31</v>
      </c>
      <c r="V41" s="45"/>
      <c r="W41" s="21" t="s">
        <v>31</v>
      </c>
      <c r="X41" s="45"/>
      <c r="Y41" s="21" t="s">
        <v>34</v>
      </c>
      <c r="Z41" s="45"/>
      <c r="AA41" s="21"/>
      <c r="AB41" s="45"/>
      <c r="AC41" s="21"/>
      <c r="AD41" s="45"/>
      <c r="AE41" s="21"/>
      <c r="AF41" s="45"/>
      <c r="AG41" s="21"/>
    </row>
    <row r="42" spans="2:33" x14ac:dyDescent="0.3">
      <c r="B42" s="30">
        <f t="shared" si="0"/>
        <v>39</v>
      </c>
      <c r="C42" s="32">
        <v>124</v>
      </c>
      <c r="D42" s="12" t="s">
        <v>777</v>
      </c>
      <c r="E42" s="18">
        <v>30161.52</v>
      </c>
      <c r="F42" s="18">
        <f t="shared" si="3"/>
        <v>0</v>
      </c>
      <c r="G42" s="49">
        <f t="shared" si="1"/>
        <v>30161.52</v>
      </c>
      <c r="H42" s="48">
        <f t="shared" si="2"/>
        <v>0</v>
      </c>
      <c r="I42" s="89" t="str" cm="1">
        <f t="array" ref="I42">IFERROR(LOOKUP(2,1/((MOD(COLUMN($K42:$AG42),2)=1)*($K42:$AG42&lt;&gt;"-")*($K42:$AG42&lt;&gt;"")),$K42:$AG42),"-")</f>
        <v>Cancelada</v>
      </c>
      <c r="J42" s="45"/>
      <c r="K42" s="21"/>
      <c r="L42" s="45"/>
      <c r="M42" s="21"/>
      <c r="N42" s="45"/>
      <c r="O42" s="21"/>
      <c r="P42" s="45"/>
      <c r="Q42" s="21"/>
      <c r="R42" s="45"/>
      <c r="S42" s="21"/>
      <c r="T42" s="45"/>
      <c r="U42" s="21" t="s">
        <v>31</v>
      </c>
      <c r="V42" s="45"/>
      <c r="W42" s="21" t="s">
        <v>31</v>
      </c>
      <c r="X42" s="45"/>
      <c r="Y42" s="21" t="s">
        <v>34</v>
      </c>
      <c r="Z42" s="45"/>
      <c r="AA42" s="21"/>
      <c r="AB42" s="45"/>
      <c r="AC42" s="21"/>
      <c r="AD42" s="45"/>
      <c r="AE42" s="21"/>
      <c r="AF42" s="45"/>
      <c r="AG42" s="21"/>
    </row>
    <row r="43" spans="2:33" x14ac:dyDescent="0.3">
      <c r="B43" s="30">
        <f t="shared" si="0"/>
        <v>40</v>
      </c>
      <c r="C43" s="32">
        <v>125</v>
      </c>
      <c r="D43" s="12" t="s">
        <v>777</v>
      </c>
      <c r="E43" s="18">
        <v>168695.29</v>
      </c>
      <c r="F43" s="18">
        <f t="shared" si="3"/>
        <v>0</v>
      </c>
      <c r="G43" s="49">
        <f t="shared" si="1"/>
        <v>168695.29</v>
      </c>
      <c r="H43" s="48">
        <f t="shared" si="2"/>
        <v>0</v>
      </c>
      <c r="I43" s="89" t="str" cm="1">
        <f t="array" ref="I43">IFERROR(LOOKUP(2,1/((MOD(COLUMN($K43:$AG43),2)=1)*($K43:$AG43&lt;&gt;"-")*($K43:$AG43&lt;&gt;"")),$K43:$AG43),"-")</f>
        <v>Cancelada</v>
      </c>
      <c r="J43" s="45"/>
      <c r="K43" s="21"/>
      <c r="L43" s="45"/>
      <c r="M43" s="21"/>
      <c r="N43" s="45"/>
      <c r="O43" s="21"/>
      <c r="P43" s="45"/>
      <c r="Q43" s="21"/>
      <c r="R43" s="45"/>
      <c r="S43" s="21"/>
      <c r="T43" s="45"/>
      <c r="U43" s="21" t="s">
        <v>31</v>
      </c>
      <c r="V43" s="45"/>
      <c r="W43" s="21" t="s">
        <v>31</v>
      </c>
      <c r="X43" s="45"/>
      <c r="Y43" s="21" t="s">
        <v>34</v>
      </c>
      <c r="Z43" s="45"/>
      <c r="AA43" s="21"/>
      <c r="AB43" s="45"/>
      <c r="AC43" s="21"/>
      <c r="AD43" s="45"/>
      <c r="AE43" s="21"/>
      <c r="AF43" s="45"/>
      <c r="AG43" s="21"/>
    </row>
    <row r="44" spans="2:33" x14ac:dyDescent="0.3">
      <c r="B44" s="30">
        <f t="shared" si="0"/>
        <v>41</v>
      </c>
      <c r="C44" s="32">
        <v>126</v>
      </c>
      <c r="D44" s="12" t="s">
        <v>701</v>
      </c>
      <c r="E44" s="18">
        <v>12822.9</v>
      </c>
      <c r="F44" s="18">
        <f t="shared" si="3"/>
        <v>12822.9</v>
      </c>
      <c r="G44" s="49">
        <f t="shared" si="1"/>
        <v>0</v>
      </c>
      <c r="H44" s="48">
        <f t="shared" si="2"/>
        <v>1</v>
      </c>
      <c r="I44" s="89" t="str" cm="1">
        <f t="array" ref="I44">IFERROR(LOOKUP(2,1/((MOD(COLUMN($K44:$AG44),2)=1)*($K44:$AG44&lt;&gt;"-")*($K44:$AG44&lt;&gt;"")),$K44:$AG44),"-")</f>
        <v>Concluída</v>
      </c>
      <c r="J44" s="45"/>
      <c r="K44" s="21"/>
      <c r="L44" s="45"/>
      <c r="M44" s="21"/>
      <c r="N44" s="45"/>
      <c r="O44" s="21"/>
      <c r="P44" s="45"/>
      <c r="Q44" s="21"/>
      <c r="R44" s="45"/>
      <c r="S44" s="21"/>
      <c r="T44" s="45">
        <v>12822.9</v>
      </c>
      <c r="U44" s="21" t="s">
        <v>28</v>
      </c>
      <c r="V44" s="45"/>
      <c r="W44" s="21"/>
      <c r="X44" s="45"/>
      <c r="Y44" s="21"/>
      <c r="Z44" s="45"/>
      <c r="AA44" s="21"/>
      <c r="AB44" s="45"/>
      <c r="AC44" s="21"/>
      <c r="AD44" s="45"/>
      <c r="AE44" s="21"/>
      <c r="AF44" s="45"/>
      <c r="AG44" s="21"/>
    </row>
    <row r="45" spans="2:33" x14ac:dyDescent="0.3">
      <c r="B45" s="30">
        <f t="shared" si="0"/>
        <v>42</v>
      </c>
      <c r="C45" s="32">
        <v>127</v>
      </c>
      <c r="D45" s="12" t="s">
        <v>701</v>
      </c>
      <c r="E45" s="18">
        <v>15129.7</v>
      </c>
      <c r="F45" s="18">
        <f t="shared" si="3"/>
        <v>15129.7</v>
      </c>
      <c r="G45" s="49">
        <f t="shared" si="1"/>
        <v>0</v>
      </c>
      <c r="H45" s="48">
        <f t="shared" si="2"/>
        <v>1</v>
      </c>
      <c r="I45" s="89" t="str" cm="1">
        <f t="array" ref="I45">IFERROR(LOOKUP(2,1/((MOD(COLUMN($K45:$AG45),2)=1)*($K45:$AG45&lt;&gt;"-")*($K45:$AG45&lt;&gt;"")),$K45:$AG45),"-")</f>
        <v>Concluída</v>
      </c>
      <c r="J45" s="45"/>
      <c r="K45" s="21"/>
      <c r="L45" s="45"/>
      <c r="M45" s="21"/>
      <c r="N45" s="45"/>
      <c r="O45" s="21"/>
      <c r="P45" s="45"/>
      <c r="Q45" s="21"/>
      <c r="R45" s="45"/>
      <c r="S45" s="21"/>
      <c r="T45" s="45">
        <v>15129.7</v>
      </c>
      <c r="U45" s="21" t="s">
        <v>28</v>
      </c>
      <c r="V45" s="45"/>
      <c r="W45" s="21"/>
      <c r="X45" s="45"/>
      <c r="Y45" s="21"/>
      <c r="Z45" s="45"/>
      <c r="AA45" s="21"/>
      <c r="AB45" s="45"/>
      <c r="AC45" s="21"/>
      <c r="AD45" s="45"/>
      <c r="AE45" s="21"/>
      <c r="AF45" s="45"/>
      <c r="AG45" s="21"/>
    </row>
    <row r="46" spans="2:33" x14ac:dyDescent="0.3">
      <c r="B46" s="30">
        <f t="shared" si="0"/>
        <v>43</v>
      </c>
      <c r="C46" s="32">
        <v>128</v>
      </c>
      <c r="D46" s="12" t="s">
        <v>701</v>
      </c>
      <c r="E46" s="18">
        <v>23378.76</v>
      </c>
      <c r="F46" s="18">
        <f t="shared" si="3"/>
        <v>23378.76</v>
      </c>
      <c r="G46" s="49">
        <f t="shared" si="1"/>
        <v>0</v>
      </c>
      <c r="H46" s="48">
        <f t="shared" si="2"/>
        <v>1</v>
      </c>
      <c r="I46" s="89" t="str" cm="1">
        <f t="array" ref="I46">IFERROR(LOOKUP(2,1/((MOD(COLUMN($K46:$AG46),2)=1)*($K46:$AG46&lt;&gt;"-")*($K46:$AG46&lt;&gt;"")),$K46:$AG46),"-")</f>
        <v>Concluída</v>
      </c>
      <c r="J46" s="45"/>
      <c r="K46" s="21"/>
      <c r="L46" s="45"/>
      <c r="M46" s="21"/>
      <c r="N46" s="45"/>
      <c r="O46" s="21"/>
      <c r="P46" s="45"/>
      <c r="Q46" s="21"/>
      <c r="R46" s="45"/>
      <c r="S46" s="21"/>
      <c r="T46" s="45">
        <v>23378.76</v>
      </c>
      <c r="U46" s="21" t="s">
        <v>28</v>
      </c>
      <c r="V46" s="45"/>
      <c r="W46" s="21"/>
      <c r="X46" s="45"/>
      <c r="Y46" s="21"/>
      <c r="Z46" s="45"/>
      <c r="AA46" s="21"/>
      <c r="AB46" s="45"/>
      <c r="AC46" s="21"/>
      <c r="AD46" s="45"/>
      <c r="AE46" s="21"/>
      <c r="AF46" s="45"/>
      <c r="AG46" s="21"/>
    </row>
    <row r="47" spans="2:33" x14ac:dyDescent="0.3">
      <c r="B47" s="30">
        <f t="shared" si="0"/>
        <v>44</v>
      </c>
      <c r="C47" s="32">
        <v>129</v>
      </c>
      <c r="D47" s="12" t="s">
        <v>701</v>
      </c>
      <c r="E47" s="18">
        <v>273539.46999999997</v>
      </c>
      <c r="F47" s="18">
        <f t="shared" si="3"/>
        <v>271574.64</v>
      </c>
      <c r="G47" s="49">
        <f t="shared" si="1"/>
        <v>1964.8299999999581</v>
      </c>
      <c r="H47" s="48">
        <f t="shared" si="2"/>
        <v>0.99281701467068006</v>
      </c>
      <c r="I47" s="89" t="str" cm="1">
        <f t="array" ref="I47">IFERROR(LOOKUP(2,1/((MOD(COLUMN($K47:$AG47),2)=1)*($K47:$AG47&lt;&gt;"-")*($K47:$AG47&lt;&gt;"")),$K47:$AG47),"-")</f>
        <v>Concluída</v>
      </c>
      <c r="J47" s="45"/>
      <c r="K47" s="21"/>
      <c r="L47" s="45"/>
      <c r="M47" s="21"/>
      <c r="N47" s="45"/>
      <c r="O47" s="21"/>
      <c r="P47" s="45"/>
      <c r="Q47" s="21"/>
      <c r="R47" s="45"/>
      <c r="S47" s="21"/>
      <c r="T47" s="45">
        <v>271574.64</v>
      </c>
      <c r="U47" s="21" t="s">
        <v>28</v>
      </c>
      <c r="V47" s="45"/>
      <c r="W47" s="21"/>
      <c r="X47" s="45"/>
      <c r="Y47" s="21"/>
      <c r="Z47" s="45"/>
      <c r="AA47" s="21"/>
      <c r="AB47" s="45"/>
      <c r="AC47" s="21"/>
      <c r="AD47" s="45"/>
      <c r="AE47" s="21"/>
      <c r="AF47" s="45"/>
      <c r="AG47" s="21"/>
    </row>
    <row r="48" spans="2:33" x14ac:dyDescent="0.3">
      <c r="B48" s="30">
        <f t="shared" si="0"/>
        <v>45</v>
      </c>
      <c r="C48" s="32">
        <v>130</v>
      </c>
      <c r="D48" s="12" t="s">
        <v>778</v>
      </c>
      <c r="E48" s="18">
        <v>563007</v>
      </c>
      <c r="F48" s="18">
        <f t="shared" si="3"/>
        <v>560042.31000000006</v>
      </c>
      <c r="G48" s="49">
        <f t="shared" si="1"/>
        <v>2964.6899999999441</v>
      </c>
      <c r="H48" s="48">
        <f t="shared" si="2"/>
        <v>0.994734186253457</v>
      </c>
      <c r="I48" s="89" t="str" cm="1">
        <f t="array" ref="I48">IFERROR(LOOKUP(2,1/((MOD(COLUMN($K48:$AG48),2)=1)*($K48:$AG48&lt;&gt;"-")*($K48:$AG48&lt;&gt;"")),$K48:$AG48),"-")</f>
        <v>Concluída</v>
      </c>
      <c r="J48" s="45"/>
      <c r="K48" s="21"/>
      <c r="L48" s="45"/>
      <c r="M48" s="21"/>
      <c r="N48" s="45"/>
      <c r="O48" s="21"/>
      <c r="P48" s="45"/>
      <c r="Q48" s="21"/>
      <c r="R48" s="45"/>
      <c r="S48" s="21"/>
      <c r="T48" s="45"/>
      <c r="U48" s="21"/>
      <c r="V48" s="45">
        <v>560042.31000000006</v>
      </c>
      <c r="W48" s="21" t="s">
        <v>28</v>
      </c>
      <c r="X48" s="45"/>
      <c r="Y48" s="21"/>
      <c r="Z48" s="45"/>
      <c r="AA48" s="21"/>
      <c r="AB48" s="45"/>
      <c r="AC48" s="21"/>
      <c r="AD48" s="45"/>
      <c r="AE48" s="21"/>
      <c r="AF48" s="45"/>
      <c r="AG48" s="21"/>
    </row>
    <row r="49" spans="2:33" x14ac:dyDescent="0.3">
      <c r="B49" s="30">
        <f t="shared" si="0"/>
        <v>46</v>
      </c>
      <c r="C49" s="32">
        <v>131</v>
      </c>
      <c r="D49" s="12" t="s">
        <v>779</v>
      </c>
      <c r="E49" s="18">
        <v>418467.93</v>
      </c>
      <c r="F49" s="18">
        <f t="shared" si="3"/>
        <v>417060.21</v>
      </c>
      <c r="G49" s="49">
        <f t="shared" si="1"/>
        <v>1407.7199999999721</v>
      </c>
      <c r="H49" s="48">
        <f t="shared" si="2"/>
        <v>0.99663601461646067</v>
      </c>
      <c r="I49" s="89" t="str" cm="1">
        <f t="array" ref="I49">IFERROR(LOOKUP(2,1/((MOD(COLUMN($K49:$AG49),2)=1)*($K49:$AG49&lt;&gt;"-")*($K49:$AG49&lt;&gt;"")),$K49:$AG49),"-")</f>
        <v>Concluída</v>
      </c>
      <c r="J49" s="45"/>
      <c r="K49" s="21"/>
      <c r="L49" s="45"/>
      <c r="M49" s="21"/>
      <c r="N49" s="45"/>
      <c r="O49" s="21"/>
      <c r="P49" s="45"/>
      <c r="Q49" s="21"/>
      <c r="R49" s="45"/>
      <c r="S49" s="21"/>
      <c r="T49" s="45"/>
      <c r="U49" s="21"/>
      <c r="V49" s="45"/>
      <c r="W49" s="21" t="s">
        <v>31</v>
      </c>
      <c r="X49" s="45">
        <v>417060.21</v>
      </c>
      <c r="Y49" s="21" t="s">
        <v>28</v>
      </c>
      <c r="Z49" s="45"/>
      <c r="AA49" s="21"/>
      <c r="AB49" s="45"/>
      <c r="AC49" s="21"/>
      <c r="AD49" s="45"/>
      <c r="AE49" s="21"/>
      <c r="AF49" s="45"/>
      <c r="AG49" s="21"/>
    </row>
    <row r="50" spans="2:33" x14ac:dyDescent="0.3">
      <c r="B50" s="30">
        <f t="shared" si="0"/>
        <v>47</v>
      </c>
      <c r="C50" s="32">
        <v>132</v>
      </c>
      <c r="D50" s="12" t="s">
        <v>781</v>
      </c>
      <c r="E50" s="18">
        <v>406009.27</v>
      </c>
      <c r="F50" s="18">
        <f t="shared" si="3"/>
        <v>0</v>
      </c>
      <c r="G50" s="49">
        <f t="shared" si="1"/>
        <v>406009.27</v>
      </c>
      <c r="H50" s="48">
        <f t="shared" si="2"/>
        <v>0</v>
      </c>
      <c r="I50" s="89" t="str" cm="1">
        <f t="array" ref="I50">IFERROR(LOOKUP(2,1/((MOD(COLUMN($K50:$AG50),2)=1)*($K50:$AG50&lt;&gt;"-")*($K50:$AG50&lt;&gt;"")),$K50:$AG50),"-")</f>
        <v>Justificada</v>
      </c>
      <c r="J50" s="45"/>
      <c r="K50" s="21"/>
      <c r="L50" s="45"/>
      <c r="M50" s="21"/>
      <c r="N50" s="45"/>
      <c r="O50" s="21"/>
      <c r="P50" s="45"/>
      <c r="Q50" s="21"/>
      <c r="R50" s="45"/>
      <c r="S50" s="21"/>
      <c r="T50" s="45"/>
      <c r="U50" s="21"/>
      <c r="V50" s="45"/>
      <c r="W50" s="21"/>
      <c r="X50" s="45"/>
      <c r="Y50" s="21" t="s">
        <v>31</v>
      </c>
      <c r="Z50" s="45"/>
      <c r="AA50" s="21"/>
      <c r="AB50" s="45"/>
      <c r="AC50" s="21"/>
      <c r="AD50" s="45"/>
      <c r="AE50" s="21"/>
      <c r="AF50" s="45"/>
      <c r="AG50" s="21"/>
    </row>
    <row r="51" spans="2:33" x14ac:dyDescent="0.3">
      <c r="B51" s="30">
        <f t="shared" si="0"/>
        <v>48</v>
      </c>
      <c r="C51" s="32">
        <v>133</v>
      </c>
      <c r="D51" s="12" t="s">
        <v>779</v>
      </c>
      <c r="E51" s="177">
        <v>642128</v>
      </c>
      <c r="F51" s="18">
        <f t="shared" si="3"/>
        <v>0</v>
      </c>
      <c r="G51" s="49">
        <f t="shared" si="1"/>
        <v>642128</v>
      </c>
      <c r="H51" s="48">
        <f t="shared" si="2"/>
        <v>0</v>
      </c>
      <c r="I51" s="89" t="str" cm="1">
        <f t="array" ref="I51">IFERROR(LOOKUP(2,1/((MOD(COLUMN($K51:$AG51),2)=1)*($K51:$AG51&lt;&gt;"-")*($K51:$AG51&lt;&gt;"")),$K51:$AG51),"-")</f>
        <v>Em elaboração</v>
      </c>
      <c r="J51" s="45"/>
      <c r="K51" s="21"/>
      <c r="L51" s="45"/>
      <c r="M51" s="21"/>
      <c r="N51" s="45"/>
      <c r="O51" s="21"/>
      <c r="P51" s="45"/>
      <c r="Q51" s="21"/>
      <c r="R51" s="45"/>
      <c r="S51" s="21"/>
      <c r="T51" s="45"/>
      <c r="U51" s="21"/>
      <c r="V51" s="45"/>
      <c r="W51" s="21"/>
      <c r="X51" s="45"/>
      <c r="Y51" s="21" t="s">
        <v>77</v>
      </c>
      <c r="Z51" s="45"/>
      <c r="AA51" s="21"/>
      <c r="AB51" s="45"/>
      <c r="AC51" s="21"/>
      <c r="AD51" s="45"/>
      <c r="AE51" s="21"/>
      <c r="AF51" s="45"/>
      <c r="AG51" s="21"/>
    </row>
    <row r="52" spans="2:33" x14ac:dyDescent="0.3">
      <c r="B52" s="30">
        <f t="shared" si="0"/>
        <v>49</v>
      </c>
      <c r="C52" s="32">
        <v>134</v>
      </c>
      <c r="D52" s="12" t="s">
        <v>782</v>
      </c>
      <c r="E52" s="18">
        <v>491317.48</v>
      </c>
      <c r="F52" s="18">
        <f t="shared" si="3"/>
        <v>491307.65</v>
      </c>
      <c r="G52" s="49">
        <f t="shared" si="1"/>
        <v>9.8299999999580905</v>
      </c>
      <c r="H52" s="48">
        <f t="shared" si="2"/>
        <v>0.999979992570181</v>
      </c>
      <c r="I52" s="89" t="str" cm="1">
        <f t="array" ref="I52">IFERROR(LOOKUP(2,1/((MOD(COLUMN($K52:$AG52),2)=1)*($K52:$AG52&lt;&gt;"-")*($K52:$AG52&lt;&gt;"")),$K52:$AG52),"-")</f>
        <v>Concluída</v>
      </c>
      <c r="J52" s="45"/>
      <c r="K52" s="21"/>
      <c r="L52" s="45"/>
      <c r="M52" s="21"/>
      <c r="N52" s="45"/>
      <c r="O52" s="21"/>
      <c r="P52" s="45"/>
      <c r="Q52" s="21"/>
      <c r="R52" s="45"/>
      <c r="S52" s="21"/>
      <c r="T52" s="45"/>
      <c r="U52" s="21"/>
      <c r="V52" s="45">
        <v>491307.65</v>
      </c>
      <c r="W52" s="21" t="s">
        <v>28</v>
      </c>
      <c r="X52" s="45"/>
      <c r="Y52" s="21"/>
      <c r="Z52" s="45"/>
      <c r="AA52" s="21"/>
      <c r="AB52" s="45"/>
      <c r="AC52" s="21"/>
      <c r="AD52" s="45"/>
      <c r="AE52" s="21"/>
      <c r="AF52" s="45"/>
      <c r="AG52" s="21"/>
    </row>
    <row r="53" spans="2:33" x14ac:dyDescent="0.3">
      <c r="B53" s="30">
        <f t="shared" si="0"/>
        <v>50</v>
      </c>
      <c r="C53" s="32">
        <v>135</v>
      </c>
      <c r="D53" s="12" t="s">
        <v>778</v>
      </c>
      <c r="E53" s="18">
        <v>15198.08</v>
      </c>
      <c r="F53" s="18">
        <f t="shared" si="3"/>
        <v>15193.04</v>
      </c>
      <c r="G53" s="49">
        <f t="shared" si="1"/>
        <v>5.0399999999990541</v>
      </c>
      <c r="H53" s="48">
        <f t="shared" si="2"/>
        <v>0.9996683791636839</v>
      </c>
      <c r="I53" s="89" t="str" cm="1">
        <f t="array" ref="I53">IFERROR(LOOKUP(2,1/((MOD(COLUMN($K53:$AG53),2)=1)*($K53:$AG53&lt;&gt;"-")*($K53:$AG53&lt;&gt;"")),$K53:$AG53),"-")</f>
        <v>Concluída</v>
      </c>
      <c r="J53" s="45"/>
      <c r="K53" s="21"/>
      <c r="L53" s="45"/>
      <c r="M53" s="21"/>
      <c r="N53" s="45"/>
      <c r="O53" s="21"/>
      <c r="P53" s="45"/>
      <c r="Q53" s="21"/>
      <c r="R53" s="45"/>
      <c r="S53" s="21"/>
      <c r="T53" s="45"/>
      <c r="U53" s="21"/>
      <c r="V53" s="45"/>
      <c r="W53" s="21" t="s">
        <v>31</v>
      </c>
      <c r="X53" s="45">
        <v>15193.04</v>
      </c>
      <c r="Y53" s="21" t="s">
        <v>28</v>
      </c>
      <c r="Z53" s="45"/>
      <c r="AA53" s="21"/>
      <c r="AB53" s="45"/>
      <c r="AC53" s="21"/>
      <c r="AD53" s="45"/>
      <c r="AE53" s="21"/>
      <c r="AF53" s="45"/>
      <c r="AG53" s="21"/>
    </row>
    <row r="54" spans="2:33" x14ac:dyDescent="0.3">
      <c r="B54" s="30">
        <f t="shared" si="0"/>
        <v>51</v>
      </c>
      <c r="C54" s="32">
        <v>136</v>
      </c>
      <c r="D54" s="12" t="s">
        <v>778</v>
      </c>
      <c r="E54" s="18">
        <v>24522.69</v>
      </c>
      <c r="F54" s="18">
        <f t="shared" si="3"/>
        <v>24517.65</v>
      </c>
      <c r="G54" s="49">
        <f t="shared" si="1"/>
        <v>5.0399999999972351</v>
      </c>
      <c r="H54" s="48">
        <f t="shared" si="2"/>
        <v>0.99979447605462546</v>
      </c>
      <c r="I54" s="89" t="str" cm="1">
        <f t="array" ref="I54">IFERROR(LOOKUP(2,1/((MOD(COLUMN($K54:$AG54),2)=1)*($K54:$AG54&lt;&gt;"-")*($K54:$AG54&lt;&gt;"")),$K54:$AG54),"-")</f>
        <v>Concluída</v>
      </c>
      <c r="J54" s="45"/>
      <c r="K54" s="21"/>
      <c r="L54" s="45"/>
      <c r="M54" s="21"/>
      <c r="N54" s="45"/>
      <c r="O54" s="21"/>
      <c r="P54" s="45"/>
      <c r="Q54" s="21"/>
      <c r="R54" s="45"/>
      <c r="S54" s="21"/>
      <c r="T54" s="45"/>
      <c r="U54" s="21"/>
      <c r="V54" s="45"/>
      <c r="W54" s="21" t="s">
        <v>31</v>
      </c>
      <c r="X54" s="45">
        <v>24517.65</v>
      </c>
      <c r="Y54" s="21" t="s">
        <v>28</v>
      </c>
      <c r="Z54" s="45"/>
      <c r="AA54" s="21"/>
      <c r="AB54" s="45"/>
      <c r="AC54" s="21"/>
      <c r="AD54" s="45"/>
      <c r="AE54" s="21"/>
      <c r="AF54" s="45"/>
      <c r="AG54" s="21"/>
    </row>
    <row r="55" spans="2:33" x14ac:dyDescent="0.3">
      <c r="B55" s="30">
        <f t="shared" si="0"/>
        <v>52</v>
      </c>
      <c r="C55" s="32">
        <v>137</v>
      </c>
      <c r="D55" s="12" t="s">
        <v>778</v>
      </c>
      <c r="E55" s="18">
        <v>6270.18</v>
      </c>
      <c r="F55" s="18">
        <f t="shared" si="3"/>
        <v>6270.18</v>
      </c>
      <c r="G55" s="49">
        <f t="shared" si="1"/>
        <v>0</v>
      </c>
      <c r="H55" s="48">
        <f t="shared" si="2"/>
        <v>1</v>
      </c>
      <c r="I55" s="89" t="str" cm="1">
        <f t="array" ref="I55">IFERROR(LOOKUP(2,1/((MOD(COLUMN($K55:$AG55),2)=1)*($K55:$AG55&lt;&gt;"-")*($K55:$AG55&lt;&gt;"")),$K55:$AG55),"-")</f>
        <v>Concluída</v>
      </c>
      <c r="J55" s="45"/>
      <c r="K55" s="21"/>
      <c r="L55" s="45"/>
      <c r="M55" s="21"/>
      <c r="N55" s="45"/>
      <c r="O55" s="21"/>
      <c r="P55" s="45"/>
      <c r="Q55" s="21"/>
      <c r="R55" s="45"/>
      <c r="S55" s="21"/>
      <c r="T55" s="45"/>
      <c r="U55" s="21"/>
      <c r="V55" s="45"/>
      <c r="W55" s="21" t="s">
        <v>31</v>
      </c>
      <c r="X55" s="45">
        <v>6270.18</v>
      </c>
      <c r="Y55" s="21" t="s">
        <v>28</v>
      </c>
      <c r="Z55" s="45"/>
      <c r="AA55" s="21"/>
      <c r="AB55" s="45"/>
      <c r="AC55" s="21"/>
      <c r="AD55" s="45"/>
      <c r="AE55" s="21"/>
      <c r="AF55" s="45"/>
      <c r="AG55" s="21"/>
    </row>
    <row r="56" spans="2:33" x14ac:dyDescent="0.3">
      <c r="B56" s="30">
        <f t="shared" si="0"/>
        <v>53</v>
      </c>
      <c r="C56" s="32">
        <v>138</v>
      </c>
      <c r="D56" s="12" t="s">
        <v>781</v>
      </c>
      <c r="E56" s="18">
        <v>81472.100000000006</v>
      </c>
      <c r="F56" s="18">
        <f t="shared" si="3"/>
        <v>0</v>
      </c>
      <c r="G56" s="49">
        <f t="shared" si="1"/>
        <v>81472.100000000006</v>
      </c>
      <c r="H56" s="48">
        <f t="shared" si="2"/>
        <v>0</v>
      </c>
      <c r="I56" s="89" t="str" cm="1">
        <f t="array" ref="I56">IFERROR(LOOKUP(2,1/((MOD(COLUMN($K56:$AG56),2)=1)*($K56:$AG56&lt;&gt;"-")*($K56:$AG56&lt;&gt;"")),$K56:$AG56),"-")</f>
        <v>Justificada</v>
      </c>
      <c r="J56" s="45"/>
      <c r="K56" s="21"/>
      <c r="L56" s="45"/>
      <c r="M56" s="21"/>
      <c r="N56" s="45"/>
      <c r="O56" s="21"/>
      <c r="P56" s="45"/>
      <c r="Q56" s="21"/>
      <c r="R56" s="45"/>
      <c r="S56" s="21"/>
      <c r="T56" s="45"/>
      <c r="U56" s="21"/>
      <c r="V56" s="45"/>
      <c r="W56" s="21"/>
      <c r="X56" s="45"/>
      <c r="Y56" s="21" t="s">
        <v>31</v>
      </c>
      <c r="Z56" s="45"/>
      <c r="AA56" s="21"/>
      <c r="AB56" s="45"/>
      <c r="AC56" s="21"/>
      <c r="AD56" s="45"/>
      <c r="AE56" s="21"/>
      <c r="AF56" s="45"/>
      <c r="AG56" s="21"/>
    </row>
    <row r="57" spans="2:33" x14ac:dyDescent="0.3">
      <c r="B57" s="30">
        <f t="shared" si="0"/>
        <v>54</v>
      </c>
      <c r="C57" s="32">
        <v>139</v>
      </c>
      <c r="D57" s="12" t="s">
        <v>779</v>
      </c>
      <c r="E57" s="18">
        <v>1088713.07</v>
      </c>
      <c r="F57" s="18">
        <f t="shared" si="3"/>
        <v>789038.84</v>
      </c>
      <c r="G57" s="49">
        <f t="shared" si="1"/>
        <v>299674.2300000001</v>
      </c>
      <c r="H57" s="48">
        <f t="shared" si="2"/>
        <v>0.72474452795905164</v>
      </c>
      <c r="I57" s="89" t="str" cm="1">
        <f t="array" ref="I57">IFERROR(LOOKUP(2,1/((MOD(COLUMN($K57:$AG57),2)=1)*($K57:$AG57&lt;&gt;"-")*($K57:$AG57&lt;&gt;"")),$K57:$AG57),"-")</f>
        <v>Em andamento</v>
      </c>
      <c r="J57" s="45"/>
      <c r="K57" s="21"/>
      <c r="L57" s="45"/>
      <c r="M57" s="21"/>
      <c r="N57" s="45"/>
      <c r="O57" s="21"/>
      <c r="P57" s="45"/>
      <c r="Q57" s="21"/>
      <c r="R57" s="45"/>
      <c r="S57" s="21"/>
      <c r="T57" s="45"/>
      <c r="U57" s="21"/>
      <c r="V57" s="45">
        <v>626171.61</v>
      </c>
      <c r="W57" s="21" t="s">
        <v>26</v>
      </c>
      <c r="X57" s="45">
        <v>162867.23000000001</v>
      </c>
      <c r="Y57" s="21" t="s">
        <v>26</v>
      </c>
      <c r="Z57" s="45"/>
      <c r="AA57" s="21"/>
      <c r="AB57" s="45"/>
      <c r="AC57" s="21"/>
      <c r="AD57" s="45"/>
      <c r="AE57" s="21"/>
      <c r="AF57" s="45"/>
      <c r="AG57" s="21"/>
    </row>
    <row r="58" spans="2:33" x14ac:dyDescent="0.3">
      <c r="B58" s="30">
        <f t="shared" si="0"/>
        <v>55</v>
      </c>
      <c r="C58" s="32">
        <v>140</v>
      </c>
      <c r="D58" s="12" t="s">
        <v>782</v>
      </c>
      <c r="E58" s="18">
        <v>193097.45</v>
      </c>
      <c r="F58" s="18">
        <f t="shared" si="3"/>
        <v>167350.28</v>
      </c>
      <c r="G58" s="49">
        <f t="shared" si="1"/>
        <v>25747.170000000013</v>
      </c>
      <c r="H58" s="48">
        <f t="shared" si="2"/>
        <v>0.86666229926909955</v>
      </c>
      <c r="I58" s="89" t="str" cm="1">
        <f t="array" ref="I58">IFERROR(LOOKUP(2,1/((MOD(COLUMN($K58:$AG58),2)=1)*($K58:$AG58&lt;&gt;"-")*($K58:$AG58&lt;&gt;"")),$K58:$AG58),"-")</f>
        <v>Concluída</v>
      </c>
      <c r="J58" s="45"/>
      <c r="K58" s="21"/>
      <c r="L58" s="45"/>
      <c r="M58" s="21"/>
      <c r="N58" s="45"/>
      <c r="O58" s="21"/>
      <c r="P58" s="45"/>
      <c r="Q58" s="21"/>
      <c r="R58" s="45"/>
      <c r="S58" s="21"/>
      <c r="T58" s="45"/>
      <c r="U58" s="21"/>
      <c r="V58" s="45">
        <v>167350.28</v>
      </c>
      <c r="W58" s="21" t="s">
        <v>28</v>
      </c>
      <c r="X58" s="45"/>
      <c r="Y58" s="21"/>
      <c r="Z58" s="45"/>
      <c r="AA58" s="21"/>
      <c r="AB58" s="45"/>
      <c r="AC58" s="21"/>
      <c r="AD58" s="45"/>
      <c r="AE58" s="21"/>
      <c r="AF58" s="45"/>
      <c r="AG58" s="21"/>
    </row>
    <row r="59" spans="2:33" x14ac:dyDescent="0.3">
      <c r="B59" s="30">
        <f t="shared" si="0"/>
        <v>56</v>
      </c>
      <c r="C59" s="32">
        <v>141</v>
      </c>
      <c r="D59" s="12" t="s">
        <v>796</v>
      </c>
      <c r="E59" s="18">
        <v>73957.52</v>
      </c>
      <c r="F59" s="18">
        <f t="shared" si="3"/>
        <v>0</v>
      </c>
      <c r="G59" s="49">
        <f t="shared" si="1"/>
        <v>73957.52</v>
      </c>
      <c r="H59" s="48">
        <f t="shared" si="2"/>
        <v>0</v>
      </c>
      <c r="I59" s="89" t="str" cm="1">
        <f t="array" ref="I59">IFERROR(LOOKUP(2,1/((MOD(COLUMN($K59:$AG59),2)=1)*($K59:$AG59&lt;&gt;"-")*($K59:$AG59&lt;&gt;"")),$K59:$AG59),"-")</f>
        <v>Correção Fiscal</v>
      </c>
      <c r="J59" s="45"/>
      <c r="K59" s="21"/>
      <c r="L59" s="45"/>
      <c r="M59" s="21"/>
      <c r="N59" s="45"/>
      <c r="O59" s="21"/>
      <c r="P59" s="45"/>
      <c r="Q59" s="21"/>
      <c r="R59" s="45"/>
      <c r="S59" s="21"/>
      <c r="T59" s="45"/>
      <c r="U59" s="21"/>
      <c r="V59" s="45"/>
      <c r="W59" s="21"/>
      <c r="X59" s="45"/>
      <c r="Y59" s="21" t="s">
        <v>811</v>
      </c>
      <c r="Z59" s="45"/>
      <c r="AA59" s="21"/>
      <c r="AB59" s="45"/>
      <c r="AC59" s="21"/>
      <c r="AD59" s="45"/>
      <c r="AE59" s="21"/>
      <c r="AF59" s="45"/>
      <c r="AG59" s="21"/>
    </row>
    <row r="60" spans="2:33" x14ac:dyDescent="0.3">
      <c r="B60" s="30">
        <f t="shared" si="0"/>
        <v>57</v>
      </c>
      <c r="C60" s="32">
        <v>142</v>
      </c>
      <c r="D60" s="12" t="s">
        <v>796</v>
      </c>
      <c r="E60" s="18">
        <v>23329.32</v>
      </c>
      <c r="F60" s="18">
        <f t="shared" si="3"/>
        <v>0</v>
      </c>
      <c r="G60" s="49">
        <f t="shared" si="1"/>
        <v>23329.32</v>
      </c>
      <c r="H60" s="48">
        <f t="shared" si="2"/>
        <v>0</v>
      </c>
      <c r="I60" s="89" t="str" cm="1">
        <f t="array" ref="I60">IFERROR(LOOKUP(2,1/((MOD(COLUMN($K60:$AG60),2)=1)*($K60:$AG60&lt;&gt;"-")*($K60:$AG60&lt;&gt;"")),$K60:$AG60),"-")</f>
        <v>Correção Fiscal</v>
      </c>
      <c r="J60" s="45"/>
      <c r="K60" s="21"/>
      <c r="L60" s="45"/>
      <c r="M60" s="21"/>
      <c r="N60" s="45"/>
      <c r="O60" s="21"/>
      <c r="P60" s="45"/>
      <c r="Q60" s="21"/>
      <c r="R60" s="45"/>
      <c r="S60" s="21"/>
      <c r="T60" s="45"/>
      <c r="U60" s="21"/>
      <c r="V60" s="45"/>
      <c r="W60" s="21"/>
      <c r="X60" s="45"/>
      <c r="Y60" s="21" t="s">
        <v>811</v>
      </c>
      <c r="Z60" s="45"/>
      <c r="AA60" s="21"/>
      <c r="AB60" s="45"/>
      <c r="AC60" s="21"/>
      <c r="AD60" s="45"/>
      <c r="AE60" s="21"/>
      <c r="AF60" s="45"/>
      <c r="AG60" s="21"/>
    </row>
    <row r="61" spans="2:33" x14ac:dyDescent="0.3">
      <c r="B61" s="30">
        <f t="shared" si="0"/>
        <v>58</v>
      </c>
      <c r="C61" s="32">
        <v>143</v>
      </c>
      <c r="D61" s="12" t="s">
        <v>796</v>
      </c>
      <c r="E61" s="18">
        <v>52496.04</v>
      </c>
      <c r="F61" s="18">
        <f t="shared" si="3"/>
        <v>22711.29</v>
      </c>
      <c r="G61" s="49">
        <f t="shared" si="1"/>
        <v>29784.75</v>
      </c>
      <c r="H61" s="48">
        <f t="shared" si="2"/>
        <v>0.43262863255971307</v>
      </c>
      <c r="I61" s="89" t="str" cm="1">
        <f t="array" ref="I61">IFERROR(LOOKUP(2,1/((MOD(COLUMN($K61:$AG61),2)=1)*($K61:$AG61&lt;&gt;"-")*($K61:$AG61&lt;&gt;"")),$K61:$AG61),"-")</f>
        <v>Em andamento</v>
      </c>
      <c r="J61" s="45"/>
      <c r="K61" s="21"/>
      <c r="L61" s="45"/>
      <c r="M61" s="21"/>
      <c r="N61" s="45"/>
      <c r="O61" s="21"/>
      <c r="P61" s="45"/>
      <c r="Q61" s="21"/>
      <c r="R61" s="45"/>
      <c r="S61" s="21"/>
      <c r="T61" s="45"/>
      <c r="U61" s="21"/>
      <c r="V61" s="45"/>
      <c r="W61" s="21"/>
      <c r="X61" s="45">
        <v>22711.29</v>
      </c>
      <c r="Y61" s="21" t="s">
        <v>26</v>
      </c>
      <c r="Z61" s="45"/>
      <c r="AA61" s="21"/>
      <c r="AB61" s="45"/>
      <c r="AC61" s="21"/>
      <c r="AD61" s="45"/>
      <c r="AE61" s="21"/>
      <c r="AF61" s="45"/>
      <c r="AG61" s="21"/>
    </row>
    <row r="62" spans="2:33" x14ac:dyDescent="0.3">
      <c r="B62" s="30">
        <f t="shared" si="0"/>
        <v>59</v>
      </c>
      <c r="C62" s="32">
        <v>144</v>
      </c>
      <c r="D62" s="12" t="s">
        <v>796</v>
      </c>
      <c r="E62" s="18">
        <v>389994.65</v>
      </c>
      <c r="F62" s="18">
        <f t="shared" si="3"/>
        <v>0</v>
      </c>
      <c r="G62" s="49">
        <f t="shared" si="1"/>
        <v>389994.65</v>
      </c>
      <c r="H62" s="48">
        <f t="shared" si="2"/>
        <v>0</v>
      </c>
      <c r="I62" s="89" t="str" cm="1">
        <f t="array" ref="I62">IFERROR(LOOKUP(2,1/((MOD(COLUMN($K62:$AG62),2)=1)*($K62:$AG62&lt;&gt;"-")*($K62:$AG62&lt;&gt;"")),$K62:$AG62),"-")</f>
        <v>Justificada</v>
      </c>
      <c r="J62" s="45"/>
      <c r="K62" s="21"/>
      <c r="L62" s="45"/>
      <c r="M62" s="21"/>
      <c r="N62" s="45"/>
      <c r="O62" s="21"/>
      <c r="P62" s="45"/>
      <c r="Q62" s="21"/>
      <c r="R62" s="45"/>
      <c r="S62" s="21"/>
      <c r="T62" s="45"/>
      <c r="U62" s="21"/>
      <c r="V62" s="45"/>
      <c r="W62" s="21"/>
      <c r="X62" s="45"/>
      <c r="Y62" s="21" t="s">
        <v>31</v>
      </c>
      <c r="Z62" s="45"/>
      <c r="AA62" s="21"/>
      <c r="AB62" s="45"/>
      <c r="AC62" s="21"/>
      <c r="AD62" s="45"/>
      <c r="AE62" s="21"/>
      <c r="AF62" s="45"/>
      <c r="AG62" s="21"/>
    </row>
    <row r="63" spans="2:33" x14ac:dyDescent="0.3">
      <c r="B63" s="30"/>
      <c r="C63" s="32">
        <v>145</v>
      </c>
      <c r="D63" s="12" t="s">
        <v>839</v>
      </c>
      <c r="E63" s="18">
        <v>9342.85</v>
      </c>
      <c r="F63" s="18">
        <f t="shared" si="3"/>
        <v>0</v>
      </c>
      <c r="G63" s="49">
        <f t="shared" si="1"/>
        <v>9342.85</v>
      </c>
      <c r="H63" s="48">
        <f t="shared" si="2"/>
        <v>0</v>
      </c>
      <c r="I63" s="89" t="str" cm="1">
        <f t="array" ref="I63">IFERROR(LOOKUP(2,1/((MOD(COLUMN($K63:$AG63),2)=1)*($K63:$AG63&lt;&gt;"-")*($K63:$AG63&lt;&gt;"")),$K63:$AG63),"-")</f>
        <v>Em elaboração</v>
      </c>
      <c r="J63" s="45"/>
      <c r="K63" s="21"/>
      <c r="L63" s="45"/>
      <c r="M63" s="21"/>
      <c r="N63" s="45"/>
      <c r="O63" s="21"/>
      <c r="P63" s="45"/>
      <c r="Q63" s="21"/>
      <c r="R63" s="45"/>
      <c r="S63" s="21"/>
      <c r="T63" s="45"/>
      <c r="U63" s="21"/>
      <c r="V63" s="45"/>
      <c r="W63" s="21"/>
      <c r="X63" s="45"/>
      <c r="Y63" s="21"/>
      <c r="Z63" s="45"/>
      <c r="AA63" s="21" t="s">
        <v>77</v>
      </c>
      <c r="AB63" s="45"/>
      <c r="AC63" s="21"/>
      <c r="AD63" s="45"/>
      <c r="AE63" s="21"/>
      <c r="AF63" s="45"/>
      <c r="AG63" s="21"/>
    </row>
    <row r="64" spans="2:33" x14ac:dyDescent="0.3">
      <c r="B64" s="30"/>
      <c r="C64" s="32">
        <v>146</v>
      </c>
      <c r="D64" s="12" t="s">
        <v>839</v>
      </c>
      <c r="E64" s="18">
        <v>18201.23</v>
      </c>
      <c r="F64" s="18">
        <f t="shared" si="3"/>
        <v>0</v>
      </c>
      <c r="G64" s="49">
        <f t="shared" si="1"/>
        <v>18201.23</v>
      </c>
      <c r="H64" s="48">
        <f t="shared" si="2"/>
        <v>0</v>
      </c>
      <c r="I64" s="89" t="str" cm="1">
        <f t="array" ref="I64">IFERROR(LOOKUP(2,1/((MOD(COLUMN($K64:$AG64),2)=1)*($K64:$AG64&lt;&gt;"-")*($K64:$AG64&lt;&gt;"")),$K64:$AG64),"-")</f>
        <v>Em elaboração</v>
      </c>
      <c r="J64" s="45"/>
      <c r="K64" s="21"/>
      <c r="L64" s="45"/>
      <c r="M64" s="21"/>
      <c r="N64" s="45"/>
      <c r="O64" s="21"/>
      <c r="P64" s="45"/>
      <c r="Q64" s="21"/>
      <c r="R64" s="45"/>
      <c r="S64" s="21"/>
      <c r="T64" s="45"/>
      <c r="U64" s="21"/>
      <c r="V64" s="45"/>
      <c r="W64" s="21"/>
      <c r="X64" s="45"/>
      <c r="Y64" s="21"/>
      <c r="Z64" s="45"/>
      <c r="AA64" s="21" t="s">
        <v>77</v>
      </c>
      <c r="AB64" s="45"/>
      <c r="AC64" s="21"/>
      <c r="AD64" s="45"/>
      <c r="AE64" s="21"/>
      <c r="AF64" s="45"/>
      <c r="AG64" s="21"/>
    </row>
    <row r="65" spans="2:33" x14ac:dyDescent="0.3">
      <c r="B65" s="30"/>
      <c r="C65" s="32">
        <v>147</v>
      </c>
      <c r="D65" s="12" t="s">
        <v>839</v>
      </c>
      <c r="E65" s="18">
        <v>4015.73</v>
      </c>
      <c r="F65" s="18">
        <f t="shared" si="3"/>
        <v>0</v>
      </c>
      <c r="G65" s="49">
        <f t="shared" si="1"/>
        <v>4015.73</v>
      </c>
      <c r="H65" s="48">
        <f t="shared" si="2"/>
        <v>0</v>
      </c>
      <c r="I65" s="89" t="str" cm="1">
        <f t="array" ref="I65">IFERROR(LOOKUP(2,1/((MOD(COLUMN($K65:$AG65),2)=1)*($K65:$AG65&lt;&gt;"-")*($K65:$AG65&lt;&gt;"")),$K65:$AG65),"-")</f>
        <v>Em elaboração</v>
      </c>
      <c r="J65" s="45"/>
      <c r="K65" s="21"/>
      <c r="L65" s="45"/>
      <c r="M65" s="21"/>
      <c r="N65" s="45"/>
      <c r="O65" s="21"/>
      <c r="P65" s="45"/>
      <c r="Q65" s="21"/>
      <c r="R65" s="45"/>
      <c r="S65" s="21"/>
      <c r="T65" s="45"/>
      <c r="U65" s="21"/>
      <c r="V65" s="45"/>
      <c r="W65" s="21"/>
      <c r="X65" s="45"/>
      <c r="Y65" s="21"/>
      <c r="Z65" s="45"/>
      <c r="AA65" s="21" t="s">
        <v>77</v>
      </c>
      <c r="AB65" s="45"/>
      <c r="AC65" s="21"/>
      <c r="AD65" s="45"/>
      <c r="AE65" s="21"/>
      <c r="AF65" s="45"/>
      <c r="AG65" s="21"/>
    </row>
    <row r="66" spans="2:33" x14ac:dyDescent="0.3">
      <c r="B66" s="30"/>
      <c r="C66" s="32">
        <v>148</v>
      </c>
      <c r="D66" s="12" t="s">
        <v>840</v>
      </c>
      <c r="E66" s="18">
        <v>25623.86</v>
      </c>
      <c r="F66" s="18">
        <f t="shared" si="3"/>
        <v>0</v>
      </c>
      <c r="G66" s="49">
        <f t="shared" si="1"/>
        <v>25623.86</v>
      </c>
      <c r="H66" s="48">
        <f t="shared" si="2"/>
        <v>0</v>
      </c>
      <c r="I66" s="89" t="str" cm="1">
        <f t="array" ref="I66">IFERROR(LOOKUP(2,1/((MOD(COLUMN($K66:$AG66),2)=1)*($K66:$AG66&lt;&gt;"-")*($K66:$AG66&lt;&gt;"")),$K66:$AG66),"-")</f>
        <v>Em elaboração</v>
      </c>
      <c r="J66" s="45"/>
      <c r="K66" s="21"/>
      <c r="L66" s="45"/>
      <c r="M66" s="21"/>
      <c r="N66" s="45"/>
      <c r="O66" s="21"/>
      <c r="P66" s="45"/>
      <c r="Q66" s="21"/>
      <c r="R66" s="45"/>
      <c r="S66" s="21"/>
      <c r="T66" s="45"/>
      <c r="U66" s="21"/>
      <c r="V66" s="45"/>
      <c r="W66" s="21"/>
      <c r="X66" s="45"/>
      <c r="Y66" s="21"/>
      <c r="Z66" s="45"/>
      <c r="AA66" s="21" t="s">
        <v>77</v>
      </c>
      <c r="AB66" s="45"/>
      <c r="AC66" s="21"/>
      <c r="AD66" s="45"/>
      <c r="AE66" s="21"/>
      <c r="AF66" s="45"/>
      <c r="AG66" s="21"/>
    </row>
    <row r="67" spans="2:33" x14ac:dyDescent="0.3">
      <c r="B67" s="30"/>
      <c r="C67" s="32">
        <v>149</v>
      </c>
      <c r="D67" s="12" t="s">
        <v>840</v>
      </c>
      <c r="E67" s="18">
        <v>0</v>
      </c>
      <c r="F67" s="18">
        <f t="shared" si="3"/>
        <v>0</v>
      </c>
      <c r="G67" s="49">
        <f t="shared" si="1"/>
        <v>0</v>
      </c>
      <c r="H67" s="48" t="e">
        <f t="shared" si="2"/>
        <v>#DIV/0!</v>
      </c>
      <c r="I67" s="89" t="str" cm="1">
        <f t="array" ref="I67">IFERROR(LOOKUP(2,1/((MOD(COLUMN($K67:$AG67),2)=1)*($K67:$AG67&lt;&gt;"-")*($K67:$AG67&lt;&gt;"")),$K67:$AG67),"-")</f>
        <v>Em elaboração</v>
      </c>
      <c r="J67" s="45"/>
      <c r="K67" s="21"/>
      <c r="L67" s="45"/>
      <c r="M67" s="21"/>
      <c r="N67" s="45"/>
      <c r="O67" s="21"/>
      <c r="P67" s="45"/>
      <c r="Q67" s="21"/>
      <c r="R67" s="45"/>
      <c r="S67" s="21"/>
      <c r="T67" s="45"/>
      <c r="U67" s="21"/>
      <c r="V67" s="45"/>
      <c r="W67" s="21"/>
      <c r="X67" s="45"/>
      <c r="Y67" s="21"/>
      <c r="Z67" s="45"/>
      <c r="AA67" s="21" t="s">
        <v>77</v>
      </c>
      <c r="AB67" s="45"/>
      <c r="AC67" s="21"/>
      <c r="AD67" s="45"/>
      <c r="AE67" s="21"/>
      <c r="AF67" s="45"/>
      <c r="AG67" s="21"/>
    </row>
    <row r="68" spans="2:33" x14ac:dyDescent="0.3">
      <c r="B68" s="30"/>
      <c r="C68" s="32">
        <v>150</v>
      </c>
      <c r="D68" s="12" t="s">
        <v>842</v>
      </c>
      <c r="E68" s="18">
        <v>1015435.34</v>
      </c>
      <c r="F68" s="18">
        <f t="shared" si="3"/>
        <v>0</v>
      </c>
      <c r="G68" s="49">
        <f t="shared" si="1"/>
        <v>1015435.34</v>
      </c>
      <c r="H68" s="48">
        <f t="shared" si="2"/>
        <v>0</v>
      </c>
      <c r="I68" s="89" t="str" cm="1">
        <f t="array" ref="I68">IFERROR(LOOKUP(2,1/((MOD(COLUMN($K68:$AG68),2)=1)*($K68:$AG68&lt;&gt;"-")*($K68:$AG68&lt;&gt;"")),$K68:$AG68),"-")</f>
        <v>Correção Fiscal</v>
      </c>
      <c r="J68" s="45"/>
      <c r="K68" s="21"/>
      <c r="L68" s="45"/>
      <c r="M68" s="21"/>
      <c r="N68" s="45"/>
      <c r="O68" s="21"/>
      <c r="P68" s="45"/>
      <c r="Q68" s="21"/>
      <c r="R68" s="45"/>
      <c r="S68" s="21"/>
      <c r="T68" s="45"/>
      <c r="U68" s="21"/>
      <c r="V68" s="45"/>
      <c r="W68" s="21"/>
      <c r="X68" s="45"/>
      <c r="Y68" s="21"/>
      <c r="Z68" s="45"/>
      <c r="AA68" s="21" t="s">
        <v>811</v>
      </c>
      <c r="AB68" s="45"/>
      <c r="AC68" s="21"/>
      <c r="AD68" s="45"/>
      <c r="AE68" s="21"/>
      <c r="AF68" s="45"/>
      <c r="AG68" s="21"/>
    </row>
    <row r="69" spans="2:33" ht="31.8" customHeight="1" x14ac:dyDescent="0.3">
      <c r="B69" s="17"/>
      <c r="C69" s="32"/>
      <c r="D69" s="12"/>
      <c r="E69" s="18"/>
      <c r="F69" s="18"/>
      <c r="G69" s="18"/>
      <c r="H69" s="22"/>
      <c r="I69" s="35"/>
      <c r="J69" s="45"/>
      <c r="K69" s="21"/>
      <c r="L69" s="45"/>
      <c r="M69" s="21"/>
      <c r="N69" s="19"/>
      <c r="O69" s="21"/>
      <c r="P69" s="19"/>
      <c r="Q69" s="21"/>
      <c r="R69" s="19"/>
      <c r="S69" s="21"/>
      <c r="T69" s="19"/>
      <c r="U69" s="20"/>
      <c r="V69" s="19"/>
      <c r="W69" s="20"/>
      <c r="X69" s="19"/>
      <c r="Y69" s="20"/>
      <c r="Z69" s="19"/>
      <c r="AA69" s="20"/>
      <c r="AB69" s="19"/>
      <c r="AC69" s="20"/>
      <c r="AD69" s="19"/>
      <c r="AE69" s="20"/>
      <c r="AF69" s="19"/>
      <c r="AG69" s="20"/>
    </row>
  </sheetData>
  <mergeCells count="13">
    <mergeCell ref="AF2:AG2"/>
    <mergeCell ref="T2:U2"/>
    <mergeCell ref="V2:W2"/>
    <mergeCell ref="X2:Y2"/>
    <mergeCell ref="Z2:AA2"/>
    <mergeCell ref="AB2:AC2"/>
    <mergeCell ref="AD2:AE2"/>
    <mergeCell ref="R2:S2"/>
    <mergeCell ref="B2:I2"/>
    <mergeCell ref="J2:K2"/>
    <mergeCell ref="L2:M2"/>
    <mergeCell ref="N2:O2"/>
    <mergeCell ref="P2:Q2"/>
  </mergeCells>
  <conditionalFormatting sqref="H4:H69">
    <cfRule type="colorScale" priority="48">
      <colorScale>
        <cfvo type="min"/>
        <cfvo type="percentile" val="50"/>
        <cfvo type="max"/>
        <color rgb="FFC00000"/>
        <color rgb="FFFFFF00"/>
        <color rgb="FF92D050"/>
      </colorScale>
    </cfRule>
  </conditionalFormatting>
  <pageMargins left="0.7" right="0.7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31664736-B4C9-4E8F-B3FC-DF73BAEC5B05}">
            <xm:f>NOT(ISERROR(SEARCH('Tabelas Auxiliares'!$M$8,I4)))</xm:f>
            <xm:f>'Tabelas Auxiliares'!$M$8</xm:f>
            <x14:dxf>
              <fill>
                <patternFill>
                  <fgColor rgb="FFFF0000"/>
                  <bgColor rgb="FFFF0000"/>
                </patternFill>
              </fill>
            </x14:dxf>
          </x14:cfRule>
          <x14:cfRule type="containsText" priority="2" operator="containsText" id="{9873A3AA-E4D1-420D-AB04-0ED4222A75F9}">
            <xm:f>NOT(ISERROR(SEARCH('Tabelas Auxiliares'!$M$7,I4)))</xm:f>
            <xm:f>'Tabelas Auxiliares'!$M$7</xm:f>
            <x14:dxf>
              <fill>
                <patternFill>
                  <fgColor rgb="FFFFFF00"/>
                  <bgColor rgb="FFFFFF00"/>
                </patternFill>
              </fill>
            </x14:dxf>
          </x14:cfRule>
          <x14:cfRule type="containsText" priority="3" operator="containsText" id="{B33AA713-676E-480A-98D6-255AFD638C4F}">
            <xm:f>NOT(ISERROR(SEARCH('Tabelas Auxiliares'!$M$6,I4)))</xm:f>
            <xm:f>'Tabelas Auxiliares'!$M$6</xm:f>
            <x14:dxf>
              <fill>
                <patternFill>
                  <fgColor rgb="FF92D050"/>
                  <bgColor rgb="FF92D050"/>
                </patternFill>
              </fill>
            </x14:dxf>
          </x14:cfRule>
          <x14:cfRule type="containsText" priority="4" operator="containsText" id="{D97E10EC-9E74-4562-9BA4-0691B057F054}">
            <xm:f>NOT(ISERROR(SEARCH('Tabelas Auxiliares'!$M$5,I4)))</xm:f>
            <xm:f>'Tabelas Auxiliares'!$M$5</xm:f>
            <x14:dxf>
              <fill>
                <patternFill>
                  <fgColor rgb="FF00B0F0"/>
                  <bgColor rgb="FF00B0F0"/>
                </patternFill>
              </fill>
            </x14:dxf>
          </x14:cfRule>
          <x14:cfRule type="containsText" priority="5" operator="containsText" id="{28214B54-3C93-4C37-AD8A-CE0C373B0767}">
            <xm:f>NOT(ISERROR(SEARCH('Tabelas Auxiliares'!$M$4,I4)))</xm:f>
            <xm:f>'Tabelas Auxiliares'!$M$4</xm:f>
            <x14:dxf>
              <font>
                <color rgb="FF000000"/>
              </font>
              <fill>
                <patternFill patternType="solid">
                  <fgColor indexed="64"/>
                  <bgColor rgb="FFFFFFFF"/>
                </patternFill>
              </fill>
            </x14:dxf>
          </x14:cfRule>
          <xm:sqref>I4:I69</xm:sqref>
        </x14:conditionalFormatting>
        <x14:conditionalFormatting xmlns:xm="http://schemas.microsoft.com/office/excel/2006/main">
          <x14:cfRule type="containsText" priority="49" operator="containsText" id="{C434995E-3927-4723-9CD7-1B2F1305199A}">
            <xm:f>NOT(ISERROR(SEARCH('Tabelas Auxiliares'!$M$9,I4)))</xm:f>
            <xm:f>'Tabelas Auxiliares'!$M$9</xm:f>
            <x14:dxf>
              <font>
                <color rgb="FFFFFFFF"/>
              </font>
              <fill>
                <patternFill patternType="solid">
                  <fgColor indexed="64"/>
                  <bgColor rgb="FF7030A0"/>
                </patternFill>
              </fill>
            </x14:dxf>
          </x14:cfRule>
          <xm:sqref>I4:I69</xm:sqref>
        </x14:conditionalFormatting>
        <x14:conditionalFormatting xmlns:xm="http://schemas.microsoft.com/office/excel/2006/main">
          <x14:cfRule type="containsText" priority="50" operator="containsText" id="{0058C856-0A55-4955-B2E9-A7EA0BD507F6}">
            <xm:f>NOT(ISERROR(SEARCH('Tabelas Auxiliares'!$M$10,I4)))</xm:f>
            <xm:f>'Tabelas Auxiliares'!$M$10</xm:f>
            <x14:dxf>
              <font>
                <color rgb="FFFFFFFF"/>
              </font>
              <fill>
                <patternFill patternType="solid">
                  <fgColor indexed="64"/>
                  <bgColor rgb="FFED7D31"/>
                </patternFill>
              </fill>
            </x14:dxf>
          </x14:cfRule>
          <xm:sqref>I4:I69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AE96042-F27F-41EC-A004-D60583FE3C0E}">
          <x14:formula1>
            <xm:f>'Tabelas Auxiliares'!$M$4:$M$11</xm:f>
          </x14:formula1>
          <xm:sqref>O4:O69 Y4:Y69 U4:U69 Q4:Q69 K4:K69 AC4:AC69 M4:M69 S4:S69 W4:W69 AG4:AG69 AE4:AE69 AA4:AA69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FBE14-0B6D-44E5-B3E0-5C60FC3877B6}">
  <sheetPr codeName="Planilha6"/>
  <dimension ref="A1:N62"/>
  <sheetViews>
    <sheetView zoomScale="85" zoomScaleNormal="85" workbookViewId="0">
      <pane xSplit="1" ySplit="3" topLeftCell="B52" activePane="bottomRight" state="frozen"/>
      <selection pane="topRight" activeCell="B1" sqref="B1"/>
      <selection pane="bottomLeft" activeCell="A4" sqref="A4"/>
      <selection pane="bottomRight" activeCell="M64" sqref="M64"/>
    </sheetView>
  </sheetViews>
  <sheetFormatPr defaultRowHeight="15.6" x14ac:dyDescent="0.3"/>
  <cols>
    <col min="1" max="1" width="3.796875" customWidth="1"/>
    <col min="2" max="2" width="9.765625E-2" customWidth="1"/>
    <col min="3" max="3" width="11.69921875" customWidth="1"/>
    <col min="4" max="4" width="17.09765625" customWidth="1"/>
    <col min="5" max="5" width="9.3984375" customWidth="1"/>
    <col min="6" max="6" width="12.19921875" bestFit="1" customWidth="1"/>
    <col min="7" max="7" width="18.69921875" customWidth="1"/>
    <col min="8" max="8" width="10.8984375" customWidth="1"/>
    <col min="9" max="9" width="60.69921875" customWidth="1"/>
    <col min="10" max="10" width="28.19921875" customWidth="1"/>
    <col min="11" max="11" width="17.5" bestFit="1" customWidth="1"/>
    <col min="12" max="12" width="16" bestFit="1" customWidth="1"/>
    <col min="13" max="13" width="68.59765625" customWidth="1"/>
  </cols>
  <sheetData>
    <row r="1" spans="1:14" ht="16.2" thickBot="1" x14ac:dyDescent="0.35"/>
    <row r="2" spans="1:14" ht="58.2" customHeight="1" thickBot="1" x14ac:dyDescent="0.35">
      <c r="B2" s="301" t="s">
        <v>703</v>
      </c>
      <c r="C2" s="302"/>
      <c r="D2" s="302"/>
      <c r="E2" s="302"/>
      <c r="F2" s="302"/>
      <c r="G2" s="302"/>
      <c r="H2" s="302"/>
      <c r="I2" s="302"/>
      <c r="J2" s="302"/>
      <c r="K2" s="302"/>
      <c r="L2" s="302"/>
      <c r="M2" s="303"/>
    </row>
    <row r="3" spans="1:14" ht="62.4" customHeight="1" thickBot="1" x14ac:dyDescent="0.4">
      <c r="A3" s="1"/>
      <c r="B3" s="24" t="s">
        <v>3</v>
      </c>
      <c r="C3" s="25" t="s">
        <v>4</v>
      </c>
      <c r="D3" s="25" t="s">
        <v>5</v>
      </c>
      <c r="E3" s="25" t="s">
        <v>6</v>
      </c>
      <c r="F3" s="25" t="s">
        <v>7</v>
      </c>
      <c r="G3" s="25" t="s">
        <v>40</v>
      </c>
      <c r="H3" s="25" t="s">
        <v>8</v>
      </c>
      <c r="I3" s="25" t="s">
        <v>0</v>
      </c>
      <c r="J3" s="25" t="s">
        <v>9</v>
      </c>
      <c r="K3" s="25" t="s">
        <v>1</v>
      </c>
      <c r="L3" s="25" t="s">
        <v>10</v>
      </c>
      <c r="M3" s="23" t="s">
        <v>46</v>
      </c>
      <c r="N3" s="2"/>
    </row>
    <row r="4" spans="1:14" ht="31.2" x14ac:dyDescent="0.35">
      <c r="A4" s="1"/>
      <c r="B4" s="29">
        <f>'REGIÃO 03 - HISTÓRICO'!B4</f>
        <v>1</v>
      </c>
      <c r="C4" s="87" t="s">
        <v>797</v>
      </c>
      <c r="D4" s="27" t="str">
        <f>_xlfn.XLOOKUP(tbResumoR03[[#This Row],[REGIÃO]],tbRegioes[Código Região],tbRegioes[Contrato],"")</f>
        <v>002.2025</v>
      </c>
      <c r="E4" s="26">
        <f>'REGIÃO 03 - HISTÓRICO'!C4</f>
        <v>25</v>
      </c>
      <c r="F4" s="88" t="s">
        <v>59</v>
      </c>
      <c r="G4" s="182" t="str">
        <f>'REGIÃO 03 - HISTÓRICO'!D4</f>
        <v>jan/fev</v>
      </c>
      <c r="H4" s="8">
        <v>68</v>
      </c>
      <c r="I4" s="83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TO-010 - TRECHO PALMEIRANTE - ENTR. TO-222 (POVOADO BIELÂNDIA)</v>
      </c>
      <c r="J4" s="85" t="s">
        <v>816</v>
      </c>
      <c r="K4" s="9">
        <f>'REGIÃO 03 - HISTÓRICO'!E4</f>
        <v>158008.29999999999</v>
      </c>
      <c r="L4" s="8" t="str">
        <f>'REGIÃO 03 - HISTÓRICO'!I4</f>
        <v>Cancelada</v>
      </c>
      <c r="M4" s="34"/>
      <c r="N4" s="2"/>
    </row>
    <row r="5" spans="1:14" ht="18" x14ac:dyDescent="0.35">
      <c r="A5" s="1"/>
      <c r="B5" s="29">
        <f>'REGIÃO 03 - HISTÓRICO'!B5</f>
        <v>2</v>
      </c>
      <c r="C5" s="87" t="s">
        <v>797</v>
      </c>
      <c r="D5" s="27" t="str">
        <f>_xlfn.XLOOKUP(tbResumoR03[[#This Row],[REGIÃO]],tbRegioes[Código Região],tbRegioes[Contrato],"")</f>
        <v>002.2025</v>
      </c>
      <c r="E5" s="26">
        <f>'REGIÃO 03 - HISTÓRICO'!C5</f>
        <v>26</v>
      </c>
      <c r="F5" s="88" t="s">
        <v>59</v>
      </c>
      <c r="G5" s="182" t="str">
        <f>'REGIÃO 03 - HISTÓRICO'!D5</f>
        <v>jan/fev</v>
      </c>
      <c r="H5" s="8">
        <v>70</v>
      </c>
      <c r="I5" s="83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TO-010 - TRECHO BABAÇULÂNDIA - WANDERLÂNDIA</v>
      </c>
      <c r="J5" s="85" t="s">
        <v>816</v>
      </c>
      <c r="K5" s="9">
        <f>'REGIÃO 03 - HISTÓRICO'!E5</f>
        <v>32996.15</v>
      </c>
      <c r="L5" s="8" t="str">
        <f>'REGIÃO 03 - HISTÓRICO'!I5</f>
        <v>Cancelada</v>
      </c>
      <c r="M5" s="34"/>
      <c r="N5" s="2"/>
    </row>
    <row r="6" spans="1:14" ht="31.2" x14ac:dyDescent="0.35">
      <c r="A6" s="1"/>
      <c r="B6" s="29">
        <f>'REGIÃO 03 - HISTÓRICO'!B6</f>
        <v>3</v>
      </c>
      <c r="C6" s="87" t="s">
        <v>797</v>
      </c>
      <c r="D6" s="27" t="str">
        <f>_xlfn.XLOOKUP(tbResumoR03[[#This Row],[REGIÃO]],tbRegioes[Código Região],tbRegioes[Contrato],"")</f>
        <v>002.2025</v>
      </c>
      <c r="E6" s="26">
        <f>'REGIÃO 03 - HISTÓRICO'!C6</f>
        <v>27</v>
      </c>
      <c r="F6" s="88" t="s">
        <v>59</v>
      </c>
      <c r="G6" s="182" t="str">
        <f>'REGIÃO 03 - HISTÓRICO'!D6</f>
        <v>jan/fev</v>
      </c>
      <c r="H6" s="8">
        <v>72</v>
      </c>
      <c r="I6" s="83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TO-130 - TRECHO ENTR. TO-424 - TRECHO ENTR. TO-222</v>
      </c>
      <c r="J6" s="85" t="s">
        <v>816</v>
      </c>
      <c r="K6" s="9">
        <f>'REGIÃO 03 - HISTÓRICO'!E6</f>
        <v>9994.4599999999991</v>
      </c>
      <c r="L6" s="8" t="str">
        <f>'REGIÃO 03 - HISTÓRICO'!I6</f>
        <v>Cancelada</v>
      </c>
      <c r="M6" s="34"/>
      <c r="N6" s="2"/>
    </row>
    <row r="7" spans="1:14" ht="31.2" x14ac:dyDescent="0.35">
      <c r="A7" s="1"/>
      <c r="B7" s="29">
        <f>'REGIÃO 03 - HISTÓRICO'!B7</f>
        <v>4</v>
      </c>
      <c r="C7" s="87" t="s">
        <v>797</v>
      </c>
      <c r="D7" s="27" t="str">
        <f>_xlfn.XLOOKUP(tbResumoR03[[#This Row],[REGIÃO]],tbRegioes[Código Região],tbRegioes[Contrato],"")</f>
        <v>002.2025</v>
      </c>
      <c r="E7" s="26">
        <f>'REGIÃO 03 - HISTÓRICO'!C7</f>
        <v>28</v>
      </c>
      <c r="F7" s="88" t="s">
        <v>59</v>
      </c>
      <c r="G7" s="182" t="str">
        <f>'REGIÃO 03 - HISTÓRICO'!D7</f>
        <v>jan/fev</v>
      </c>
      <c r="H7" s="8">
        <v>73</v>
      </c>
      <c r="I7" s="83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TO-130 - TRECHO ENTR. TO-010 - TRECHO BARRA DO OURO - ENTR. BR-010 (POVOADO MORRO GRANDE)</v>
      </c>
      <c r="J7" s="85" t="s">
        <v>816</v>
      </c>
      <c r="K7" s="9">
        <f>'REGIÃO 03 - HISTÓRICO'!E7</f>
        <v>211267.39</v>
      </c>
      <c r="L7" s="8" t="str">
        <f>'REGIÃO 03 - HISTÓRICO'!I7</f>
        <v>Cancelada</v>
      </c>
      <c r="M7" s="34"/>
      <c r="N7" s="2"/>
    </row>
    <row r="8" spans="1:14" ht="31.2" x14ac:dyDescent="0.35">
      <c r="A8" s="1"/>
      <c r="B8" s="29">
        <f>'REGIÃO 03 - HISTÓRICO'!B8</f>
        <v>5</v>
      </c>
      <c r="C8" s="87" t="s">
        <v>797</v>
      </c>
      <c r="D8" s="27" t="str">
        <f>_xlfn.XLOOKUP(tbResumoR03[[#This Row],[REGIÃO]],tbRegioes[Código Região],tbRegioes[Contrato],"")</f>
        <v>002.2025</v>
      </c>
      <c r="E8" s="26">
        <f>'REGIÃO 03 - HISTÓRICO'!C8</f>
        <v>29</v>
      </c>
      <c r="F8" s="88" t="s">
        <v>59</v>
      </c>
      <c r="G8" s="182" t="str">
        <f>'REGIÃO 03 - HISTÓRICO'!D8</f>
        <v>jan/fev</v>
      </c>
      <c r="H8" s="8">
        <v>77</v>
      </c>
      <c r="I8" s="83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TO-226 - TRECHO GOIATINS - CAMPOS LINDOS - DIV TO-MA</v>
      </c>
      <c r="J8" s="85" t="s">
        <v>816</v>
      </c>
      <c r="K8" s="9">
        <f>'REGIÃO 03 - HISTÓRICO'!E8</f>
        <v>349500.81</v>
      </c>
      <c r="L8" s="8" t="str">
        <f>'REGIÃO 03 - HISTÓRICO'!I8</f>
        <v>Cancelada</v>
      </c>
      <c r="M8" s="34"/>
      <c r="N8" s="2"/>
    </row>
    <row r="9" spans="1:14" ht="31.2" x14ac:dyDescent="0.35">
      <c r="A9" s="1"/>
      <c r="B9" s="29">
        <f>'REGIÃO 03 - HISTÓRICO'!B9</f>
        <v>6</v>
      </c>
      <c r="C9" s="87" t="s">
        <v>797</v>
      </c>
      <c r="D9" s="27" t="str">
        <f>_xlfn.XLOOKUP(tbResumoR03[[#This Row],[REGIÃO]],tbRegioes[Código Região],tbRegioes[Contrato],"")</f>
        <v>002.2025</v>
      </c>
      <c r="E9" s="26">
        <f>'REGIÃO 03 - HISTÓRICO'!C9</f>
        <v>30</v>
      </c>
      <c r="F9" s="88" t="s">
        <v>59</v>
      </c>
      <c r="G9" s="182" t="str">
        <f>'REGIÃO 03 - HISTÓRICO'!D9</f>
        <v>jan/fev</v>
      </c>
      <c r="H9" s="8">
        <v>78</v>
      </c>
      <c r="I9" s="83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TO-422 - TRECHO ENTR. BR-153 - TRECHO DISTRITO AGROINDUSTRIAL DE ARAGUAÍNA</v>
      </c>
      <c r="J9" s="85" t="s">
        <v>816</v>
      </c>
      <c r="K9" s="9">
        <f>'REGIÃO 03 - HISTÓRICO'!E9</f>
        <v>4691.2299999999996</v>
      </c>
      <c r="L9" s="8" t="str">
        <f>'REGIÃO 03 - HISTÓRICO'!I9</f>
        <v>Cancelada</v>
      </c>
      <c r="M9" s="34"/>
      <c r="N9" s="2"/>
    </row>
    <row r="10" spans="1:14" ht="31.2" x14ac:dyDescent="0.35">
      <c r="A10" s="1"/>
      <c r="B10" s="29">
        <f>'REGIÃO 03 - HISTÓRICO'!B10</f>
        <v>7</v>
      </c>
      <c r="C10" s="87" t="s">
        <v>797</v>
      </c>
      <c r="D10" s="27" t="str">
        <f>_xlfn.XLOOKUP(tbResumoR03[[#This Row],[REGIÃO]],tbRegioes[Código Região],tbRegioes[Contrato],"")</f>
        <v>002.2025</v>
      </c>
      <c r="E10" s="26">
        <f>'REGIÃO 03 - HISTÓRICO'!C10</f>
        <v>31</v>
      </c>
      <c r="F10" s="88" t="s">
        <v>59</v>
      </c>
      <c r="G10" s="182" t="str">
        <f>'REGIÃO 03 - HISTÓRICO'!D10</f>
        <v>jan/fev</v>
      </c>
      <c r="H10" s="8">
        <v>80</v>
      </c>
      <c r="I10" s="83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TO-424 - TRECHO ENTR. TO-222 (PLAT. MULTI-MODAL) - BABAÇULÂNDIA</v>
      </c>
      <c r="J10" s="85" t="s">
        <v>816</v>
      </c>
      <c r="K10" s="9">
        <f>'REGIÃO 03 - HISTÓRICO'!E10</f>
        <v>22662.53</v>
      </c>
      <c r="L10" s="8" t="str">
        <f>'REGIÃO 03 - HISTÓRICO'!I10</f>
        <v>Cancelada</v>
      </c>
      <c r="M10" s="34"/>
      <c r="N10" s="2"/>
    </row>
    <row r="11" spans="1:14" ht="46.8" x14ac:dyDescent="0.35">
      <c r="A11" s="1"/>
      <c r="B11" s="29">
        <f>'REGIÃO 03 - HISTÓRICO'!B11</f>
        <v>8</v>
      </c>
      <c r="C11" s="87" t="s">
        <v>797</v>
      </c>
      <c r="D11" s="27" t="str">
        <f>_xlfn.XLOOKUP(tbResumoR03[[#This Row],[REGIÃO]],tbRegioes[Código Região],tbRegioes[Contrato],"")</f>
        <v>002.2025</v>
      </c>
      <c r="E11" s="26">
        <f>'REGIÃO 03 - HISTÓRICO'!C11</f>
        <v>32</v>
      </c>
      <c r="F11" s="88" t="s">
        <v>59</v>
      </c>
      <c r="G11" s="182" t="str">
        <f>'REGIÃO 03 - HISTÓRICO'!D11</f>
        <v>jan/fev</v>
      </c>
      <c r="H11" s="8">
        <v>79</v>
      </c>
      <c r="I11" s="83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TO-423 - TRECHO ARAGUAÍNA - ENTR. TO-424</v>
      </c>
      <c r="J11" s="85" t="s">
        <v>681</v>
      </c>
      <c r="K11" s="9">
        <f>'REGIÃO 03 - HISTÓRICO'!E11</f>
        <v>1076148.75</v>
      </c>
      <c r="L11" s="8" t="str">
        <f>'REGIÃO 03 - HISTÓRICO'!I11</f>
        <v>Concluída</v>
      </c>
      <c r="M11" s="34"/>
      <c r="N11" s="2"/>
    </row>
    <row r="12" spans="1:14" ht="46.8" x14ac:dyDescent="0.35">
      <c r="A12" s="1"/>
      <c r="B12" s="29">
        <f>'REGIÃO 03 - HISTÓRICO'!B12</f>
        <v>9</v>
      </c>
      <c r="C12" s="87" t="s">
        <v>797</v>
      </c>
      <c r="D12" s="27" t="str">
        <f>_xlfn.XLOOKUP(tbResumoR03[[#This Row],[REGIÃO]],tbRegioes[Código Região],tbRegioes[Contrato],"")</f>
        <v>002.2025</v>
      </c>
      <c r="E12" s="26">
        <f>'REGIÃO 03 - HISTÓRICO'!C12</f>
        <v>33</v>
      </c>
      <c r="F12" s="88" t="s">
        <v>59</v>
      </c>
      <c r="G12" s="182" t="str">
        <f>'REGIÃO 03 - HISTÓRICO'!D12</f>
        <v>jan/fev</v>
      </c>
      <c r="H12" s="8">
        <v>75</v>
      </c>
      <c r="I12" s="83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TO-226 - TRECHO NOVA OLINDA - ENTR. TO-010</v>
      </c>
      <c r="J12" s="85" t="s">
        <v>681</v>
      </c>
      <c r="K12" s="9">
        <f>'REGIÃO 03 - HISTÓRICO'!E12</f>
        <v>1187884.22</v>
      </c>
      <c r="L12" s="8" t="str">
        <f>'REGIÃO 03 - HISTÓRICO'!I12</f>
        <v>Concluída</v>
      </c>
      <c r="M12" s="34"/>
      <c r="N12" s="2"/>
    </row>
    <row r="13" spans="1:14" ht="31.2" x14ac:dyDescent="0.3">
      <c r="B13" s="31">
        <f>'REGIÃO 03 - HISTÓRICO'!B13</f>
        <v>10</v>
      </c>
      <c r="C13" s="87" t="s">
        <v>797</v>
      </c>
      <c r="D13" s="27" t="str">
        <f>_xlfn.XLOOKUP(tbResumoR03[[#This Row],[REGIÃO]],tbRegioes[Código Região],tbRegioes[Contrato],"")</f>
        <v>002.2025</v>
      </c>
      <c r="E13" s="26">
        <f>'REGIÃO 03 - HISTÓRICO'!C13</f>
        <v>34</v>
      </c>
      <c r="F13" s="88" t="s">
        <v>60</v>
      </c>
      <c r="G13" s="182" t="str">
        <f>'REGIÃO 03 - HISTÓRICO'!D13</f>
        <v>fev</v>
      </c>
      <c r="H13" s="8">
        <v>69</v>
      </c>
      <c r="I13" s="83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TO-010 - TRECHO ENTR. TO-222 (POVOADO FARTURÃO) - BABAÇULÂNDIA</v>
      </c>
      <c r="J13" s="85" t="s">
        <v>104</v>
      </c>
      <c r="K13" s="9">
        <f>'REGIÃO 03 - HISTÓRICO'!E13</f>
        <v>37902.400000000001</v>
      </c>
      <c r="L13" s="8" t="str">
        <f>'REGIÃO 03 - HISTÓRICO'!I13</f>
        <v>Concluída</v>
      </c>
      <c r="M13" s="34"/>
    </row>
    <row r="14" spans="1:14" ht="31.2" x14ac:dyDescent="0.3">
      <c r="B14" s="31">
        <f>'REGIÃO 03 - HISTÓRICO'!B14</f>
        <v>11</v>
      </c>
      <c r="C14" s="87" t="s">
        <v>797</v>
      </c>
      <c r="D14" s="27" t="str">
        <f>_xlfn.XLOOKUP(tbResumoR03[[#This Row],[REGIÃO]],tbRegioes[Código Região],tbRegioes[Contrato],"")</f>
        <v>002.2025</v>
      </c>
      <c r="E14" s="26">
        <f>'REGIÃO 03 - HISTÓRICO'!C14</f>
        <v>35</v>
      </c>
      <c r="F14" s="88" t="s">
        <v>60</v>
      </c>
      <c r="G14" s="182" t="str">
        <f>'REGIÃO 03 - HISTÓRICO'!D14</f>
        <v>fev</v>
      </c>
      <c r="H14" s="8">
        <v>72</v>
      </c>
      <c r="I14" s="83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TO-130 - TRECHO ENTR. TO-424 - TRECHO ENTR. TO-222</v>
      </c>
      <c r="J14" s="85" t="s">
        <v>672</v>
      </c>
      <c r="K14" s="9">
        <f>'REGIÃO 03 - HISTÓRICO'!E14</f>
        <v>9994.4599999999991</v>
      </c>
      <c r="L14" s="8" t="str">
        <f>'REGIÃO 03 - HISTÓRICO'!I14</f>
        <v>Concluída</v>
      </c>
      <c r="M14" s="34"/>
    </row>
    <row r="15" spans="1:14" ht="31.2" x14ac:dyDescent="0.3">
      <c r="B15" s="33">
        <f>'REGIÃO 03 - HISTÓRICO'!B15</f>
        <v>12</v>
      </c>
      <c r="C15" s="87" t="s">
        <v>797</v>
      </c>
      <c r="D15" s="27" t="str">
        <f>_xlfn.XLOOKUP(tbResumoR03[[#This Row],[REGIÃO]],tbRegioes[Código Região],tbRegioes[Contrato],"")</f>
        <v>002.2025</v>
      </c>
      <c r="E15" s="26">
        <f>'REGIÃO 03 - HISTÓRICO'!C15</f>
        <v>36</v>
      </c>
      <c r="F15" s="88" t="s">
        <v>60</v>
      </c>
      <c r="G15" s="182" t="str">
        <f>'REGIÃO 03 - HISTÓRICO'!D15</f>
        <v>fev</v>
      </c>
      <c r="H15" s="8">
        <v>79</v>
      </c>
      <c r="I15" s="83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TO-423 - TRECHO ARAGUAÍNA - ENTR. TO-424</v>
      </c>
      <c r="J15" s="85" t="s">
        <v>803</v>
      </c>
      <c r="K15" s="9">
        <f>'REGIÃO 03 - HISTÓRICO'!E15</f>
        <v>17455.900000000001</v>
      </c>
      <c r="L15" s="8" t="str">
        <f>'REGIÃO 03 - HISTÓRICO'!I15</f>
        <v>Concluída</v>
      </c>
      <c r="M15" s="34"/>
    </row>
    <row r="16" spans="1:14" ht="31.2" x14ac:dyDescent="0.3">
      <c r="B16" s="33">
        <f>'REGIÃO 03 - HISTÓRICO'!B16</f>
        <v>13</v>
      </c>
      <c r="C16" s="87" t="s">
        <v>797</v>
      </c>
      <c r="D16" s="27" t="str">
        <f>_xlfn.XLOOKUP(tbResumoR03[[#This Row],[REGIÃO]],tbRegioes[Código Região],tbRegioes[Contrato],"")</f>
        <v>002.2025</v>
      </c>
      <c r="E16" s="26">
        <f>'REGIÃO 03 - HISTÓRICO'!C16</f>
        <v>37</v>
      </c>
      <c r="F16" s="88" t="s">
        <v>60</v>
      </c>
      <c r="G16" s="182" t="str">
        <f>'REGIÃO 03 - HISTÓRICO'!D16</f>
        <v>fev/mar</v>
      </c>
      <c r="H16" s="8">
        <v>81</v>
      </c>
      <c r="I16" s="83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TO-424 - TRECHO ENTR. TO-010 (BABAÇULÂNDIA) - ENTR. TO-222</v>
      </c>
      <c r="J16" s="85" t="s">
        <v>104</v>
      </c>
      <c r="K16" s="9">
        <f>'REGIÃO 03 - HISTÓRICO'!E16</f>
        <v>30315</v>
      </c>
      <c r="L16" s="8" t="str">
        <f>'REGIÃO 03 - HISTÓRICO'!I16</f>
        <v>Concluída</v>
      </c>
      <c r="M16" s="34"/>
    </row>
    <row r="17" spans="2:13" ht="31.2" x14ac:dyDescent="0.3">
      <c r="B17" s="33">
        <f>'REGIÃO 03 - HISTÓRICO'!B17</f>
        <v>0</v>
      </c>
      <c r="C17" s="87" t="s">
        <v>797</v>
      </c>
      <c r="D17" s="27" t="str">
        <f>_xlfn.XLOOKUP(tbResumoR03[[#This Row],[REGIÃO]],tbRegioes[Código Região],tbRegioes[Contrato],"")</f>
        <v>002.2025</v>
      </c>
      <c r="E17" s="26">
        <f>'REGIÃO 03 - HISTÓRICO'!C17</f>
        <v>38</v>
      </c>
      <c r="F17" s="88" t="s">
        <v>61</v>
      </c>
      <c r="G17" s="182" t="str">
        <f>'REGIÃO 03 - HISTÓRICO'!D17</f>
        <v>mar/abr/mai</v>
      </c>
      <c r="H17" s="8">
        <v>81</v>
      </c>
      <c r="I17" s="83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TO-424 - TRECHO ENTR. TO-010 (BABAÇULÂNDIA) - ENTR. TO-222</v>
      </c>
      <c r="J17" s="85" t="s">
        <v>816</v>
      </c>
      <c r="K17" s="9">
        <f>'REGIÃO 03 - HISTÓRICO'!E17</f>
        <v>392986.8</v>
      </c>
      <c r="L17" s="8" t="str">
        <f>'REGIÃO 03 - HISTÓRICO'!I17</f>
        <v>-</v>
      </c>
      <c r="M17" s="34"/>
    </row>
    <row r="18" spans="2:13" ht="52.8" x14ac:dyDescent="0.3">
      <c r="B18" s="33">
        <f>'REGIÃO 03 - HISTÓRICO'!B18</f>
        <v>0</v>
      </c>
      <c r="C18" s="87" t="s">
        <v>797</v>
      </c>
      <c r="D18" s="27" t="str">
        <f>_xlfn.XLOOKUP(tbResumoR03[[#This Row],[REGIÃO]],tbRegioes[Código Região],tbRegioes[Contrato],"")</f>
        <v>002.2025</v>
      </c>
      <c r="E18" s="26">
        <f>'REGIÃO 03 - HISTÓRICO'!C18</f>
        <v>39</v>
      </c>
      <c r="F18" s="88" t="s">
        <v>61</v>
      </c>
      <c r="G18" s="182" t="str">
        <f>'REGIÃO 03 - HISTÓRICO'!D18</f>
        <v>mar/abr/mai</v>
      </c>
      <c r="H18" s="8">
        <v>69</v>
      </c>
      <c r="I18" s="83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TO-010 - TRECHO ENTR. TO-222 (POVOADO FARTURÃO) - BABAÇULÂNDIA</v>
      </c>
      <c r="J18" s="85" t="s">
        <v>806</v>
      </c>
      <c r="K18" s="9">
        <f>'REGIÃO 03 - HISTÓRICO'!E18</f>
        <v>1257310.3500000001</v>
      </c>
      <c r="L18" s="8" t="str">
        <f>'REGIÃO 03 - HISTÓRICO'!I18</f>
        <v>Cancelada</v>
      </c>
      <c r="M18" s="34" t="s">
        <v>805</v>
      </c>
    </row>
    <row r="19" spans="2:13" ht="52.8" x14ac:dyDescent="0.3">
      <c r="B19" s="33">
        <f>'REGIÃO 03 - HISTÓRICO'!B19</f>
        <v>0</v>
      </c>
      <c r="C19" s="87" t="s">
        <v>797</v>
      </c>
      <c r="D19" s="180" t="str">
        <f>_xlfn.XLOOKUP(tbResumoR03[[#This Row],[REGIÃO]],tbRegioes[Código Região],tbRegioes[Contrato],"")</f>
        <v>002.2025</v>
      </c>
      <c r="E19" s="26">
        <f>'REGIÃO 03 - HISTÓRICO'!C19</f>
        <v>40</v>
      </c>
      <c r="F19" s="88" t="s">
        <v>61</v>
      </c>
      <c r="G19" s="182" t="str">
        <f>'REGIÃO 03 - HISTÓRICO'!D19</f>
        <v>mar/abr</v>
      </c>
      <c r="H19" s="8">
        <v>70</v>
      </c>
      <c r="I19" s="83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TO-010 - TRECHO BABAÇULÂNDIA - WANDERLÂNDIA</v>
      </c>
      <c r="J19" s="85" t="s">
        <v>25</v>
      </c>
      <c r="K19" s="9">
        <f>'REGIÃO 03 - HISTÓRICO'!E19</f>
        <v>33261.25</v>
      </c>
      <c r="L19" s="8" t="str">
        <f>'REGIÃO 03 - HISTÓRICO'!I19</f>
        <v>Cancelada</v>
      </c>
      <c r="M19" s="34" t="s">
        <v>805</v>
      </c>
    </row>
    <row r="20" spans="2:13" ht="31.2" x14ac:dyDescent="0.3">
      <c r="B20" s="33">
        <f>'REGIÃO 03 - HISTÓRICO'!B20</f>
        <v>0</v>
      </c>
      <c r="C20" s="87" t="s">
        <v>797</v>
      </c>
      <c r="D20" s="180" t="str">
        <f>_xlfn.XLOOKUP(tbResumoR03[[#This Row],[REGIÃO]],tbRegioes[Código Região],tbRegioes[Contrato],"")</f>
        <v>002.2025</v>
      </c>
      <c r="E20" s="26">
        <f>'REGIÃO 03 - HISTÓRICO'!C20</f>
        <v>41</v>
      </c>
      <c r="F20" s="88" t="s">
        <v>61</v>
      </c>
      <c r="G20" s="182" t="str">
        <f>'REGIÃO 03 - HISTÓRICO'!D20</f>
        <v>mar/abr/mai</v>
      </c>
      <c r="H20" s="8">
        <v>77</v>
      </c>
      <c r="I20" s="83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TO-226 - TRECHO GOIATINS - CAMPOS LINDOS - DIV TO-MA</v>
      </c>
      <c r="J20" s="85" t="s">
        <v>674</v>
      </c>
      <c r="K20" s="9">
        <f>'REGIÃO 03 - HISTÓRICO'!E20</f>
        <v>492940.26</v>
      </c>
      <c r="L20" s="8" t="str">
        <f>'REGIÃO 03 - HISTÓRICO'!I20</f>
        <v>Concluída</v>
      </c>
      <c r="M20" s="181"/>
    </row>
    <row r="21" spans="2:13" ht="31.2" x14ac:dyDescent="0.3">
      <c r="B21" s="33">
        <f>'REGIÃO 03 - HISTÓRICO'!B21</f>
        <v>0</v>
      </c>
      <c r="C21" s="87" t="s">
        <v>797</v>
      </c>
      <c r="D21" s="180" t="str">
        <f>_xlfn.XLOOKUP(tbResumoR03[[#This Row],[REGIÃO]],tbRegioes[Código Região],tbRegioes[Contrato],"")</f>
        <v>002.2025</v>
      </c>
      <c r="E21" s="26">
        <f>'REGIÃO 03 - HISTÓRICO'!C21</f>
        <v>42</v>
      </c>
      <c r="F21" s="88" t="s">
        <v>61</v>
      </c>
      <c r="G21" s="182" t="str">
        <f>'REGIÃO 03 - HISTÓRICO'!D21</f>
        <v>mar/abr</v>
      </c>
      <c r="H21" s="8">
        <v>68</v>
      </c>
      <c r="I21" s="83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TO-010 - TRECHO PALMEIRANTE - ENTR. TO-222 (POVOADO BIELÂNDIA)</v>
      </c>
      <c r="J21" s="85" t="s">
        <v>674</v>
      </c>
      <c r="K21" s="9">
        <f>'REGIÃO 03 - HISTÓRICO'!E21</f>
        <v>411709.24</v>
      </c>
      <c r="L21" s="8" t="str">
        <f>'REGIÃO 03 - HISTÓRICO'!I21</f>
        <v>Concluída</v>
      </c>
      <c r="M21" s="181"/>
    </row>
    <row r="22" spans="2:13" ht="46.8" x14ac:dyDescent="0.3">
      <c r="B22" s="33">
        <f>'REGIÃO 03 - HISTÓRICO'!B22</f>
        <v>0</v>
      </c>
      <c r="C22" s="87" t="s">
        <v>797</v>
      </c>
      <c r="D22" s="180" t="str">
        <f>_xlfn.XLOOKUP(tbResumoR03[[#This Row],[REGIÃO]],tbRegioes[Código Região],tbRegioes[Contrato],"")</f>
        <v>002.2025</v>
      </c>
      <c r="E22" s="26">
        <f>'REGIÃO 03 - HISTÓRICO'!C22</f>
        <v>43</v>
      </c>
      <c r="F22" s="88" t="s">
        <v>62</v>
      </c>
      <c r="G22" s="182" t="str">
        <f>'REGIÃO 03 - HISTÓRICO'!D22</f>
        <v>abr/mai</v>
      </c>
      <c r="H22" s="8">
        <v>80</v>
      </c>
      <c r="I22" s="83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TO-424 - TRECHO ENTR. TO-222 (PLAT. MULTI-MODAL) - BABAÇULÂNDIA</v>
      </c>
      <c r="J22" s="85" t="s">
        <v>807</v>
      </c>
      <c r="K22" s="9">
        <f>'REGIÃO 03 - HISTÓRICO'!E22</f>
        <v>277454.59999999998</v>
      </c>
      <c r="L22" s="8" t="str">
        <f>'REGIÃO 03 - HISTÓRICO'!I22</f>
        <v>Concluída</v>
      </c>
      <c r="M22" s="181"/>
    </row>
    <row r="23" spans="2:13" ht="31.2" x14ac:dyDescent="0.3">
      <c r="B23" s="33">
        <f>'REGIÃO 03 - HISTÓRICO'!B23</f>
        <v>0</v>
      </c>
      <c r="C23" s="87" t="s">
        <v>797</v>
      </c>
      <c r="D23" s="180" t="str">
        <f>_xlfn.XLOOKUP(tbResumoR03[[#This Row],[REGIÃO]],tbRegioes[Código Região],tbRegioes[Contrato],"")</f>
        <v>002.2025</v>
      </c>
      <c r="E23" s="26">
        <f>'REGIÃO 03 - HISTÓRICO'!C23</f>
        <v>44</v>
      </c>
      <c r="F23" s="88" t="s">
        <v>62</v>
      </c>
      <c r="G23" s="182" t="str">
        <f>'REGIÃO 03 - HISTÓRICO'!D23</f>
        <v>abr/mai/jun</v>
      </c>
      <c r="H23" s="8">
        <v>75</v>
      </c>
      <c r="I23" s="83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TO-226 - TRECHO NOVA OLINDA - ENTR. TO-010</v>
      </c>
      <c r="J23" s="85" t="s">
        <v>803</v>
      </c>
      <c r="K23" s="9">
        <f>'REGIÃO 03 - HISTÓRICO'!E23</f>
        <v>349716.53</v>
      </c>
      <c r="L23" s="8" t="str">
        <f>'REGIÃO 03 - HISTÓRICO'!I23</f>
        <v>Concluída</v>
      </c>
      <c r="M23" s="181"/>
    </row>
    <row r="24" spans="2:13" ht="31.2" x14ac:dyDescent="0.3">
      <c r="B24" s="33">
        <f>'REGIÃO 03 - HISTÓRICO'!B24</f>
        <v>0</v>
      </c>
      <c r="C24" s="87" t="s">
        <v>797</v>
      </c>
      <c r="D24" s="180" t="str">
        <f>_xlfn.XLOOKUP(tbResumoR03[[#This Row],[REGIÃO]],tbRegioes[Código Região],tbRegioes[Contrato],"")</f>
        <v>002.2025</v>
      </c>
      <c r="E24" s="26">
        <f>'REGIÃO 03 - HISTÓRICO'!C24</f>
        <v>45</v>
      </c>
      <c r="F24" s="88" t="s">
        <v>64</v>
      </c>
      <c r="G24" s="182" t="str">
        <f>'REGIÃO 03 - HISTÓRICO'!D24</f>
        <v>jun</v>
      </c>
      <c r="H24" s="8">
        <v>75</v>
      </c>
      <c r="I24" s="83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TO-226 - TRECHO NOVA OLINDA - ENTR. TO-010</v>
      </c>
      <c r="J24" s="85" t="s">
        <v>105</v>
      </c>
      <c r="K24" s="9">
        <f>'REGIÃO 03 - HISTÓRICO'!E24</f>
        <v>355951.85</v>
      </c>
      <c r="L24" s="8" t="str">
        <f>'REGIÃO 03 - HISTÓRICO'!I24</f>
        <v>Concluída</v>
      </c>
      <c r="M24" s="181"/>
    </row>
    <row r="25" spans="2:13" ht="31.2" x14ac:dyDescent="0.3">
      <c r="B25" s="33">
        <f>'REGIÃO 03 - HISTÓRICO'!B25</f>
        <v>0</v>
      </c>
      <c r="C25" s="87" t="s">
        <v>797</v>
      </c>
      <c r="D25" s="180" t="str">
        <f>_xlfn.XLOOKUP(tbResumoR03[[#This Row],[REGIÃO]],tbRegioes[Código Região],tbRegioes[Contrato],"")</f>
        <v>002.2025</v>
      </c>
      <c r="E25" s="26">
        <f>'REGIÃO 03 - HISTÓRICO'!C25</f>
        <v>46</v>
      </c>
      <c r="F25" s="88" t="s">
        <v>64</v>
      </c>
      <c r="G25" s="182" t="str">
        <f>'REGIÃO 03 - HISTÓRICO'!D25</f>
        <v>jun</v>
      </c>
      <c r="H25" s="8">
        <v>69</v>
      </c>
      <c r="I25" s="83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TO-010 - TRECHO ENTR. TO-222 (POVOADO FARTURÃO) - BABAÇULÂNDIA</v>
      </c>
      <c r="J25" s="85" t="s">
        <v>102</v>
      </c>
      <c r="K25" s="9">
        <f>'REGIÃO 03 - HISTÓRICO'!E25</f>
        <v>85081.5</v>
      </c>
      <c r="L25" s="8" t="str">
        <f>'REGIÃO 03 - HISTÓRICO'!I25</f>
        <v>Concluída</v>
      </c>
      <c r="M25" s="181"/>
    </row>
    <row r="26" spans="2:13" ht="31.2" x14ac:dyDescent="0.3">
      <c r="B26" s="33">
        <f>'REGIÃO 03 - HISTÓRICO'!B26</f>
        <v>0</v>
      </c>
      <c r="C26" s="87" t="s">
        <v>797</v>
      </c>
      <c r="D26" s="180" t="str">
        <f>_xlfn.XLOOKUP(tbResumoR03[[#This Row],[REGIÃO]],tbRegioes[Código Região],tbRegioes[Contrato],"")</f>
        <v>002.2025</v>
      </c>
      <c r="E26" s="26">
        <f>'REGIÃO 03 - HISTÓRICO'!C26</f>
        <v>47</v>
      </c>
      <c r="F26" s="88" t="s">
        <v>63</v>
      </c>
      <c r="G26" s="182" t="str">
        <f>'REGIÃO 03 - HISTÓRICO'!D26</f>
        <v>mai/jun/jul</v>
      </c>
      <c r="H26" s="8">
        <v>73</v>
      </c>
      <c r="I26" s="83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TO-130 - TRECHO ENTR. TO-010 - TRECHO BARRA DO OURO - ENTR. BR-010 (POVOADO MORRO GRANDE)</v>
      </c>
      <c r="J26" s="85" t="s">
        <v>816</v>
      </c>
      <c r="K26" s="9">
        <f>'REGIÃO 03 - HISTÓRICO'!E26</f>
        <v>0</v>
      </c>
      <c r="L26" s="8" t="str">
        <f>'REGIÃO 03 - HISTÓRICO'!I26</f>
        <v>Cancelada</v>
      </c>
      <c r="M26" s="193" t="s">
        <v>821</v>
      </c>
    </row>
    <row r="27" spans="2:13" ht="31.2" x14ac:dyDescent="0.3">
      <c r="B27" s="33">
        <f>'REGIÃO 03 - HISTÓRICO'!B27</f>
        <v>0</v>
      </c>
      <c r="C27" s="87" t="s">
        <v>797</v>
      </c>
      <c r="D27" s="180" t="str">
        <f>_xlfn.XLOOKUP(tbResumoR03[[#This Row],[REGIÃO]],tbRegioes[Código Região],tbRegioes[Contrato],"")</f>
        <v>002.2025</v>
      </c>
      <c r="E27" s="26">
        <f>'REGIÃO 03 - HISTÓRICO'!C27</f>
        <v>48</v>
      </c>
      <c r="F27" s="88" t="s">
        <v>63</v>
      </c>
      <c r="G27" s="182" t="str">
        <f>'REGIÃO 03 - HISTÓRICO'!D27</f>
        <v>mai/jun/jul</v>
      </c>
      <c r="H27" s="8">
        <v>81</v>
      </c>
      <c r="I27" s="83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TO-424 - TRECHO ENTR. TO-010 (BABAÇULÂNDIA) - ENTR. TO-222</v>
      </c>
      <c r="J27" s="85" t="s">
        <v>816</v>
      </c>
      <c r="K27" s="9">
        <f>'REGIÃO 03 - HISTÓRICO'!E27</f>
        <v>0</v>
      </c>
      <c r="L27" s="8" t="str">
        <f>'REGIÃO 03 - HISTÓRICO'!I27</f>
        <v>Cancelada</v>
      </c>
      <c r="M27" s="193" t="s">
        <v>821</v>
      </c>
    </row>
    <row r="28" spans="2:13" ht="46.8" x14ac:dyDescent="0.3">
      <c r="B28" s="33">
        <f>'REGIÃO 03 - HISTÓRICO'!B28</f>
        <v>25</v>
      </c>
      <c r="C28" s="87" t="s">
        <v>797</v>
      </c>
      <c r="D28" s="180" t="str">
        <f>_xlfn.XLOOKUP(tbResumoR03[[#This Row],[REGIÃO]],tbRegioes[Código Região],tbRegioes[Contrato],"")</f>
        <v>002.2025</v>
      </c>
      <c r="E28" s="26">
        <f>'REGIÃO 03 - HISTÓRICO'!C28</f>
        <v>49</v>
      </c>
      <c r="F28" s="88" t="s">
        <v>63</v>
      </c>
      <c r="G28" s="182" t="str">
        <f>'REGIÃO 03 - HISTÓRICO'!D28</f>
        <v>mai/jun</v>
      </c>
      <c r="H28" s="8">
        <v>82</v>
      </c>
      <c r="I28" s="83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TO-425 - TRECHO ENTR. TO-130 (BARRA DO OURO) - GOIATINS</v>
      </c>
      <c r="J28" s="85" t="s">
        <v>681</v>
      </c>
      <c r="K28" s="9">
        <f>'REGIÃO 03 - HISTÓRICO'!E28</f>
        <v>999730.13</v>
      </c>
      <c r="L28" s="8" t="str">
        <f>'REGIÃO 03 - HISTÓRICO'!I28</f>
        <v>Concluída</v>
      </c>
      <c r="M28" s="181"/>
    </row>
    <row r="29" spans="2:13" ht="31.2" x14ac:dyDescent="0.3">
      <c r="B29" s="33">
        <f>'REGIÃO 03 - HISTÓRICO'!B29</f>
        <v>26</v>
      </c>
      <c r="C29" s="87" t="s">
        <v>797</v>
      </c>
      <c r="D29" s="180" t="str">
        <f>_xlfn.XLOOKUP(tbResumoR03[[#This Row],[REGIÃO]],tbRegioes[Código Região],tbRegioes[Contrato],"")</f>
        <v>002.2025</v>
      </c>
      <c r="E29" s="26">
        <f>'REGIÃO 03 - HISTÓRICO'!C29</f>
        <v>50</v>
      </c>
      <c r="F29" s="88" t="s">
        <v>63</v>
      </c>
      <c r="G29" s="182" t="str">
        <f>'REGIÃO 03 - HISTÓRICO'!D29</f>
        <v>mai</v>
      </c>
      <c r="H29" s="8">
        <v>69</v>
      </c>
      <c r="I29" s="83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TO-010 - TRECHO ENTR. TO-222 (POVOADO FARTURÃO) - BABAÇULÂNDIA</v>
      </c>
      <c r="J29" s="85" t="s">
        <v>104</v>
      </c>
      <c r="K29" s="9">
        <f>'REGIÃO 03 - HISTÓRICO'!E29</f>
        <v>37152.32</v>
      </c>
      <c r="L29" s="8" t="str">
        <f>'REGIÃO 03 - HISTÓRICO'!I29</f>
        <v>Concluída</v>
      </c>
      <c r="M29" s="181"/>
    </row>
    <row r="30" spans="2:13" ht="52.8" x14ac:dyDescent="0.3">
      <c r="B30" s="33">
        <f>'REGIÃO 03 - HISTÓRICO'!B30</f>
        <v>27</v>
      </c>
      <c r="C30" s="87" t="s">
        <v>797</v>
      </c>
      <c r="D30" s="180" t="str">
        <f>_xlfn.XLOOKUP(tbResumoR03[[#This Row],[REGIÃO]],tbRegioes[Código Região],tbRegioes[Contrato],"")</f>
        <v>002.2025</v>
      </c>
      <c r="E30" s="26">
        <f>'REGIÃO 03 - HISTÓRICO'!C30</f>
        <v>51</v>
      </c>
      <c r="F30" s="88" t="s">
        <v>64</v>
      </c>
      <c r="G30" s="182" t="str">
        <f>'REGIÃO 03 - HISTÓRICO'!D30</f>
        <v>jun</v>
      </c>
      <c r="H30" s="8">
        <v>81</v>
      </c>
      <c r="I30" s="83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TO-424 - TRECHO ENTR. TO-010 (BABAÇULÂNDIA) - ENTR. TO-222</v>
      </c>
      <c r="J30" s="85" t="s">
        <v>104</v>
      </c>
      <c r="K30" s="9">
        <f>'REGIÃO 03 - HISTÓRICO'!E30</f>
        <v>30442.15</v>
      </c>
      <c r="L30" s="8" t="str">
        <f>'REGIÃO 03 - HISTÓRICO'!I30</f>
        <v>Cancelada</v>
      </c>
      <c r="M30" s="34" t="s">
        <v>808</v>
      </c>
    </row>
    <row r="31" spans="2:13" ht="52.8" x14ac:dyDescent="0.3">
      <c r="B31" s="33">
        <f>'REGIÃO 03 - HISTÓRICO'!B31</f>
        <v>28</v>
      </c>
      <c r="C31" s="87" t="s">
        <v>797</v>
      </c>
      <c r="D31" s="180" t="str">
        <f>_xlfn.XLOOKUP(tbResumoR03[[#This Row],[REGIÃO]],tbRegioes[Código Região],tbRegioes[Contrato],"")</f>
        <v>002.2025</v>
      </c>
      <c r="E31" s="26">
        <f>'REGIÃO 03 - HISTÓRICO'!C31</f>
        <v>52</v>
      </c>
      <c r="F31" s="88" t="s">
        <v>64</v>
      </c>
      <c r="G31" s="182" t="str">
        <f>'REGIÃO 03 - HISTÓRICO'!D31</f>
        <v>jun</v>
      </c>
      <c r="H31" s="8">
        <v>72</v>
      </c>
      <c r="I31" s="83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TO-130 - TRECHO ENTR. TO-424 - TRECHO ENTR. TO-222</v>
      </c>
      <c r="J31" s="85" t="s">
        <v>104</v>
      </c>
      <c r="K31" s="9">
        <f>'REGIÃO 03 - HISTÓRICO'!E31</f>
        <v>18687.12</v>
      </c>
      <c r="L31" s="8" t="str">
        <f>'REGIÃO 03 - HISTÓRICO'!I31</f>
        <v>Cancelada</v>
      </c>
      <c r="M31" s="34" t="s">
        <v>808</v>
      </c>
    </row>
    <row r="32" spans="2:13" ht="46.8" x14ac:dyDescent="0.3">
      <c r="B32" s="33">
        <f>'REGIÃO 03 - HISTÓRICO'!B32</f>
        <v>29</v>
      </c>
      <c r="C32" s="87" t="s">
        <v>797</v>
      </c>
      <c r="D32" s="180" t="str">
        <f>_xlfn.XLOOKUP(tbResumoR03[[#This Row],[REGIÃO]],tbRegioes[Código Região],tbRegioes[Contrato],"")</f>
        <v>002.2025</v>
      </c>
      <c r="E32" s="26">
        <f>'REGIÃO 03 - HISTÓRICO'!C32</f>
        <v>53</v>
      </c>
      <c r="F32" s="88" t="s">
        <v>63</v>
      </c>
      <c r="G32" s="182" t="str">
        <f>'REGIÃO 03 - HISTÓRICO'!D32</f>
        <v>mai</v>
      </c>
      <c r="H32" s="8">
        <v>69</v>
      </c>
      <c r="I32" s="83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TO-010 - TRECHO ENTR. TO-222 (POVOADO FARTURÃO) - BABAÇULÂNDIA</v>
      </c>
      <c r="J32" s="85" t="s">
        <v>809</v>
      </c>
      <c r="K32" s="9">
        <f>'REGIÃO 03 - HISTÓRICO'!E32</f>
        <v>1265622.23</v>
      </c>
      <c r="L32" s="8" t="str">
        <f>'REGIÃO 03 - HISTÓRICO'!I32</f>
        <v>Concluída</v>
      </c>
      <c r="M32" s="181"/>
    </row>
    <row r="33" spans="2:13" ht="31.2" x14ac:dyDescent="0.3">
      <c r="B33" s="33">
        <f>'REGIÃO 03 - HISTÓRICO'!B33</f>
        <v>30</v>
      </c>
      <c r="C33" s="87" t="s">
        <v>797</v>
      </c>
      <c r="D33" s="180" t="str">
        <f>_xlfn.XLOOKUP(tbResumoR03[[#This Row],[REGIÃO]],tbRegioes[Código Região],tbRegioes[Contrato],"")</f>
        <v>002.2025</v>
      </c>
      <c r="E33" s="26">
        <f>'REGIÃO 03 - HISTÓRICO'!C33</f>
        <v>54</v>
      </c>
      <c r="F33" s="88" t="s">
        <v>64</v>
      </c>
      <c r="G33" s="182" t="str">
        <f>'REGIÃO 03 - HISTÓRICO'!D33</f>
        <v>jun/jul/ago</v>
      </c>
      <c r="H33" s="8">
        <v>71</v>
      </c>
      <c r="I33" s="83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TO-020 - TRECHO RECURSOLÂNDIA - CAMPOS LINDOS</v>
      </c>
      <c r="J33" s="85" t="s">
        <v>816</v>
      </c>
      <c r="K33" s="9">
        <f>'REGIÃO 03 - HISTÓRICO'!E33</f>
        <v>0</v>
      </c>
      <c r="L33" s="8" t="str">
        <f>'REGIÃO 03 - HISTÓRICO'!I33</f>
        <v>Cancelada</v>
      </c>
      <c r="M33" s="193" t="s">
        <v>821</v>
      </c>
    </row>
    <row r="34" spans="2:13" ht="31.2" x14ac:dyDescent="0.3">
      <c r="B34" s="33">
        <f>'REGIÃO 03 - HISTÓRICO'!B34</f>
        <v>31</v>
      </c>
      <c r="C34" s="87" t="s">
        <v>797</v>
      </c>
      <c r="D34" s="180" t="str">
        <f>_xlfn.XLOOKUP(tbResumoR03[[#This Row],[REGIÃO]],tbRegioes[Código Região],tbRegioes[Contrato],"")</f>
        <v>002.2025</v>
      </c>
      <c r="E34" s="26">
        <f>'REGIÃO 03 - HISTÓRICO'!C34</f>
        <v>55</v>
      </c>
      <c r="F34" s="88" t="s">
        <v>775</v>
      </c>
      <c r="G34" s="182" t="str">
        <f>'REGIÃO 03 - HISTÓRICO'!D34</f>
        <v>jul/ago</v>
      </c>
      <c r="H34" s="8">
        <v>68</v>
      </c>
      <c r="I34" s="83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TO-010 - TRECHO PALMEIRANTE - ENTR. TO-222 (POVOADO BIELÂNDIA)</v>
      </c>
      <c r="J34" s="85" t="s">
        <v>816</v>
      </c>
      <c r="K34" s="9">
        <f>'REGIÃO 03 - HISTÓRICO'!E34</f>
        <v>0</v>
      </c>
      <c r="L34" s="8" t="str">
        <f>'REGIÃO 03 - HISTÓRICO'!I34</f>
        <v>Cancelada</v>
      </c>
      <c r="M34" s="193" t="s">
        <v>821</v>
      </c>
    </row>
    <row r="35" spans="2:13" x14ac:dyDescent="0.3">
      <c r="B35" s="33">
        <f>'REGIÃO 03 - HISTÓRICO'!B35</f>
        <v>32</v>
      </c>
      <c r="C35" s="87" t="s">
        <v>797</v>
      </c>
      <c r="D35" s="180" t="str">
        <f>_xlfn.XLOOKUP(tbResumoR03[[#This Row],[REGIÃO]],tbRegioes[Código Região],tbRegioes[Contrato],"")</f>
        <v>002.2025</v>
      </c>
      <c r="E35" s="26">
        <f>'REGIÃO 03 - HISTÓRICO'!C35</f>
        <v>56</v>
      </c>
      <c r="F35" s="88" t="s">
        <v>775</v>
      </c>
      <c r="G35" s="182" t="str">
        <f>'REGIÃO 03 - HISTÓRICO'!D35</f>
        <v>jul/ago</v>
      </c>
      <c r="H35" s="8">
        <v>70</v>
      </c>
      <c r="I35" s="83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TO-010 - TRECHO BABAÇULÂNDIA - WANDERLÂNDIA</v>
      </c>
      <c r="J35" s="85" t="s">
        <v>816</v>
      </c>
      <c r="K35" s="9">
        <f>'REGIÃO 03 - HISTÓRICO'!E35</f>
        <v>0</v>
      </c>
      <c r="L35" s="8" t="str">
        <f>'REGIÃO 03 - HISTÓRICO'!I35</f>
        <v>Cancelada</v>
      </c>
      <c r="M35" s="193" t="s">
        <v>821</v>
      </c>
    </row>
    <row r="36" spans="2:13" ht="31.2" x14ac:dyDescent="0.3">
      <c r="B36" s="33">
        <f>'REGIÃO 03 - HISTÓRICO'!B36</f>
        <v>33</v>
      </c>
      <c r="C36" s="87" t="s">
        <v>797</v>
      </c>
      <c r="D36" s="180" t="str">
        <f>_xlfn.XLOOKUP(tbResumoR03[[#This Row],[REGIÃO]],tbRegioes[Código Região],tbRegioes[Contrato],"")</f>
        <v>002.2025</v>
      </c>
      <c r="E36" s="26">
        <f>'REGIÃO 03 - HISTÓRICO'!C36</f>
        <v>57</v>
      </c>
      <c r="F36" s="88" t="s">
        <v>775</v>
      </c>
      <c r="G36" s="182" t="str">
        <f>'REGIÃO 03 - HISTÓRICO'!D36</f>
        <v>jul/ago/set</v>
      </c>
      <c r="H36" s="8">
        <v>73</v>
      </c>
      <c r="I36" s="83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TO-130 - TRECHO ENTR. TO-010 - TRECHO BARRA DO OURO - ENTR. BR-010 (POVOADO MORRO GRANDE)</v>
      </c>
      <c r="J36" s="85" t="s">
        <v>816</v>
      </c>
      <c r="K36" s="9">
        <f>'REGIÃO 03 - HISTÓRICO'!E36</f>
        <v>0</v>
      </c>
      <c r="L36" s="8" t="str">
        <f>'REGIÃO 03 - HISTÓRICO'!I36</f>
        <v>Cancelada</v>
      </c>
      <c r="M36" s="193" t="s">
        <v>821</v>
      </c>
    </row>
    <row r="37" spans="2:13" ht="31.2" x14ac:dyDescent="0.3">
      <c r="B37" s="33">
        <f>'REGIÃO 03 - HISTÓRICO'!B37</f>
        <v>34</v>
      </c>
      <c r="C37" s="87" t="s">
        <v>797</v>
      </c>
      <c r="D37" s="180" t="str">
        <f>_xlfn.XLOOKUP(tbResumoR03[[#This Row],[REGIÃO]],tbRegioes[Código Região],tbRegioes[Contrato],"")</f>
        <v>002.2025</v>
      </c>
      <c r="E37" s="26">
        <f>'REGIÃO 03 - HISTÓRICO'!C37</f>
        <v>58</v>
      </c>
      <c r="F37" s="88" t="s">
        <v>775</v>
      </c>
      <c r="G37" s="182" t="str">
        <f>'REGIÃO 03 - HISTÓRICO'!D37</f>
        <v>jul/ago/set</v>
      </c>
      <c r="H37" s="8">
        <v>73</v>
      </c>
      <c r="I37" s="83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TO-130 - TRECHO ENTR. TO-010 - TRECHO BARRA DO OURO - ENTR. BR-010 (POVOADO MORRO GRANDE)</v>
      </c>
      <c r="J37" s="85" t="s">
        <v>816</v>
      </c>
      <c r="K37" s="9">
        <f>'REGIÃO 03 - HISTÓRICO'!E37</f>
        <v>0</v>
      </c>
      <c r="L37" s="8" t="str">
        <f>'REGIÃO 03 - HISTÓRICO'!I37</f>
        <v>Cancelada</v>
      </c>
      <c r="M37" s="193" t="s">
        <v>821</v>
      </c>
    </row>
    <row r="38" spans="2:13" ht="31.2" x14ac:dyDescent="0.3">
      <c r="B38" s="33">
        <f>'REGIÃO 03 - HISTÓRICO'!B38</f>
        <v>0</v>
      </c>
      <c r="C38" s="87" t="s">
        <v>797</v>
      </c>
      <c r="D38" s="180" t="str">
        <f>_xlfn.XLOOKUP(tbResumoR03[[#This Row],[REGIÃO]],tbRegioes[Código Região],tbRegioes[Contrato],"")</f>
        <v>002.2025</v>
      </c>
      <c r="E38" s="26">
        <f>'REGIÃO 03 - HISTÓRICO'!C38</f>
        <v>59</v>
      </c>
      <c r="F38" s="88" t="s">
        <v>775</v>
      </c>
      <c r="G38" s="182" t="str">
        <f>'REGIÃO 03 - HISTÓRICO'!D38</f>
        <v>jul/ago</v>
      </c>
      <c r="H38" s="8">
        <v>77</v>
      </c>
      <c r="I38" s="83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TO-226 - TRECHO GOIATINS - CAMPOS LINDOS - DIV TO-MA</v>
      </c>
      <c r="J38" s="85" t="s">
        <v>816</v>
      </c>
      <c r="K38" s="9">
        <f>'REGIÃO 03 - HISTÓRICO'!E38</f>
        <v>0</v>
      </c>
      <c r="L38" s="8" t="str">
        <f>'REGIÃO 03 - HISTÓRICO'!I38</f>
        <v>Cancelada</v>
      </c>
      <c r="M38" s="193" t="s">
        <v>821</v>
      </c>
    </row>
    <row r="39" spans="2:13" ht="31.2" x14ac:dyDescent="0.3">
      <c r="B39" s="33">
        <f>'REGIÃO 03 - HISTÓRICO'!B39</f>
        <v>0</v>
      </c>
      <c r="C39" s="87" t="s">
        <v>797</v>
      </c>
      <c r="D39" s="180" t="str">
        <f>_xlfn.XLOOKUP(tbResumoR03[[#This Row],[REGIÃO]],tbRegioes[Código Região],tbRegioes[Contrato],"")</f>
        <v>002.2025</v>
      </c>
      <c r="E39" s="26">
        <f>'REGIÃO 03 - HISTÓRICO'!C39</f>
        <v>60</v>
      </c>
      <c r="F39" s="88" t="s">
        <v>775</v>
      </c>
      <c r="G39" s="182" t="str">
        <f>'REGIÃO 03 - HISTÓRICO'!D39</f>
        <v>jul/ago/set</v>
      </c>
      <c r="H39" s="8">
        <v>81</v>
      </c>
      <c r="I39" s="83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TO-424 - TRECHO ENTR. TO-010 (BABAÇULÂNDIA) - ENTR. TO-222</v>
      </c>
      <c r="J39" s="85" t="s">
        <v>816</v>
      </c>
      <c r="K39" s="9">
        <f>'REGIÃO 03 - HISTÓRICO'!E39</f>
        <v>0</v>
      </c>
      <c r="L39" s="8" t="str">
        <f>'REGIÃO 03 - HISTÓRICO'!I39</f>
        <v>Cancelada</v>
      </c>
      <c r="M39" s="193" t="s">
        <v>821</v>
      </c>
    </row>
    <row r="40" spans="2:13" ht="31.2" x14ac:dyDescent="0.3">
      <c r="B40" s="33">
        <f>'REGIÃO 03 - HISTÓRICO'!B40</f>
        <v>0</v>
      </c>
      <c r="C40" s="87" t="s">
        <v>798</v>
      </c>
      <c r="D40" s="27" t="str">
        <f>_xlfn.XLOOKUP(tbResumoR03[[#This Row],[REGIÃO]],tbRegioes[Código Região],tbRegioes[Contrato],"")</f>
        <v>1452.2026</v>
      </c>
      <c r="E40" s="26">
        <f>'REGIÃO 03 - HISTÓRICO'!C40</f>
        <v>1</v>
      </c>
      <c r="F40" s="88" t="s">
        <v>775</v>
      </c>
      <c r="G40" s="182" t="str">
        <f>'REGIÃO 03 - HISTÓRICO'!D40</f>
        <v>jul/ago</v>
      </c>
      <c r="H40" s="8">
        <v>68</v>
      </c>
      <c r="I40" s="83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TO-010 - TRECHO PALMEIRANTE - ENTR. TO-222 (POVOADO BIELÂNDIA)</v>
      </c>
      <c r="J40" s="85" t="s">
        <v>793</v>
      </c>
      <c r="K40" s="9">
        <f>'REGIÃO 03 - HISTÓRICO'!E40</f>
        <v>46653.81</v>
      </c>
      <c r="L40" s="8" t="str">
        <f>'REGIÃO 03 - HISTÓRICO'!I40</f>
        <v>Concluída</v>
      </c>
      <c r="M40" s="34"/>
    </row>
    <row r="41" spans="2:13" ht="31.2" x14ac:dyDescent="0.3">
      <c r="B41" s="33">
        <f>'REGIÃO 03 - HISTÓRICO'!B41</f>
        <v>0</v>
      </c>
      <c r="C41" s="87" t="s">
        <v>798</v>
      </c>
      <c r="D41" s="99" t="str">
        <f>_xlfn.XLOOKUP(tbResumoR03[[#This Row],[REGIÃO]],tbRegioes[Código Região],tbRegioes[Contrato],"")</f>
        <v>1452.2026</v>
      </c>
      <c r="E41" s="26">
        <f>'REGIÃO 03 - HISTÓRICO'!C41</f>
        <v>2</v>
      </c>
      <c r="F41" s="88" t="s">
        <v>775</v>
      </c>
      <c r="G41" s="182" t="str">
        <f>'REGIÃO 03 - HISTÓRICO'!D41</f>
        <v>jul/ago</v>
      </c>
      <c r="H41" s="8">
        <v>70</v>
      </c>
      <c r="I41" s="83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TO-010 - TRECHO BABAÇULÂNDIA - WANDERLÂNDIA</v>
      </c>
      <c r="J41" s="85" t="s">
        <v>793</v>
      </c>
      <c r="K41" s="9">
        <f>'REGIÃO 03 - HISTÓRICO'!E41</f>
        <v>46478.94</v>
      </c>
      <c r="L41" s="8" t="str">
        <f>'REGIÃO 03 - HISTÓRICO'!I41</f>
        <v>Concluída</v>
      </c>
      <c r="M41" s="181"/>
    </row>
    <row r="42" spans="2:13" ht="31.2" x14ac:dyDescent="0.3">
      <c r="B42" s="33">
        <f>'REGIÃO 03 - HISTÓRICO'!B42</f>
        <v>0</v>
      </c>
      <c r="C42" s="87" t="s">
        <v>798</v>
      </c>
      <c r="D42" s="99" t="str">
        <f>_xlfn.XLOOKUP(tbResumoR03[[#This Row],[REGIÃO]],tbRegioes[Código Região],tbRegioes[Contrato],"")</f>
        <v>1452.2026</v>
      </c>
      <c r="E42" s="26">
        <f>'REGIÃO 03 - HISTÓRICO'!C42</f>
        <v>3</v>
      </c>
      <c r="F42" s="88" t="s">
        <v>775</v>
      </c>
      <c r="G42" s="182" t="str">
        <f>'REGIÃO 03 - HISTÓRICO'!D42</f>
        <v>jul/ago/set</v>
      </c>
      <c r="H42" s="8">
        <v>73</v>
      </c>
      <c r="I42" s="83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TO-130 - TRECHO ENTR. TO-010 - TRECHO BARRA DO OURO - ENTR. BR-010 (POVOADO MORRO GRANDE)</v>
      </c>
      <c r="J42" s="85" t="s">
        <v>812</v>
      </c>
      <c r="K42" s="9">
        <f>'REGIÃO 03 - HISTÓRICO'!E42</f>
        <v>132042.38</v>
      </c>
      <c r="L42" s="8" t="str">
        <f>'REGIÃO 03 - HISTÓRICO'!I42</f>
        <v>Em andamento</v>
      </c>
      <c r="M42" s="181"/>
    </row>
    <row r="43" spans="2:13" ht="31.2" x14ac:dyDescent="0.3">
      <c r="B43" s="33">
        <f>'REGIÃO 03 - HISTÓRICO'!B43</f>
        <v>0</v>
      </c>
      <c r="C43" s="87" t="s">
        <v>798</v>
      </c>
      <c r="D43" s="99" t="str">
        <f>_xlfn.XLOOKUP(tbResumoR03[[#This Row],[REGIÃO]],tbRegioes[Código Região],tbRegioes[Contrato],"")</f>
        <v>1452.2026</v>
      </c>
      <c r="E43" s="26">
        <f>'REGIÃO 03 - HISTÓRICO'!C43</f>
        <v>4</v>
      </c>
      <c r="F43" s="179" t="s">
        <v>776</v>
      </c>
      <c r="G43" s="182" t="str">
        <f>'REGIÃO 03 - HISTÓRICO'!D43</f>
        <v>ago/set</v>
      </c>
      <c r="H43" s="8">
        <v>73</v>
      </c>
      <c r="I43" s="83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TO-130 - TRECHO ENTR. TO-010 - TRECHO BARRA DO OURO - ENTR. BR-010 (POVOADO MORRO GRANDE)</v>
      </c>
      <c r="J43" s="85" t="s">
        <v>699</v>
      </c>
      <c r="K43" s="9">
        <f>'REGIÃO 03 - HISTÓRICO'!E43</f>
        <v>290967.96999999997</v>
      </c>
      <c r="L43" s="8" t="str">
        <f>'REGIÃO 03 - HISTÓRICO'!I43</f>
        <v>Em andamento</v>
      </c>
      <c r="M43" s="181"/>
    </row>
    <row r="44" spans="2:13" ht="46.8" x14ac:dyDescent="0.3">
      <c r="B44" s="33">
        <f>'REGIÃO 03 - HISTÓRICO'!B44</f>
        <v>0</v>
      </c>
      <c r="C44" s="87" t="s">
        <v>798</v>
      </c>
      <c r="D44" s="99" t="str">
        <f>_xlfn.XLOOKUP(tbResumoR03[[#This Row],[REGIÃO]],tbRegioes[Código Região],tbRegioes[Contrato],"")</f>
        <v>1452.2026</v>
      </c>
      <c r="E44" s="26">
        <f>'REGIÃO 03 - HISTÓRICO'!C44</f>
        <v>5</v>
      </c>
      <c r="F44" s="88" t="s">
        <v>775</v>
      </c>
      <c r="G44" s="182" t="str">
        <f>'REGIÃO 03 - HISTÓRICO'!D44</f>
        <v>jul/ago/set</v>
      </c>
      <c r="H44" s="8">
        <v>77</v>
      </c>
      <c r="I44" s="83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TO-226 - TRECHO GOIATINS - CAMPOS LINDOS - DIV TO-MA</v>
      </c>
      <c r="J44" s="85" t="s">
        <v>813</v>
      </c>
      <c r="K44" s="9">
        <f>'REGIÃO 03 - HISTÓRICO'!E44</f>
        <v>770799.13</v>
      </c>
      <c r="L44" s="8" t="str">
        <f>'REGIÃO 03 - HISTÓRICO'!I44</f>
        <v>Em andamento</v>
      </c>
      <c r="M44" s="181"/>
    </row>
    <row r="45" spans="2:13" ht="46.8" x14ac:dyDescent="0.3">
      <c r="B45" s="33">
        <f>'REGIÃO 03 - HISTÓRICO'!B45</f>
        <v>0</v>
      </c>
      <c r="C45" s="87" t="s">
        <v>798</v>
      </c>
      <c r="D45" s="99" t="str">
        <f>_xlfn.XLOOKUP(tbResumoR03[[#This Row],[REGIÃO]],tbRegioes[Código Região],tbRegioes[Contrato],"")</f>
        <v>1452.2026</v>
      </c>
      <c r="E45" s="26">
        <f>'REGIÃO 03 - HISTÓRICO'!C45</f>
        <v>6</v>
      </c>
      <c r="F45" s="88" t="s">
        <v>775</v>
      </c>
      <c r="G45" s="182" t="str">
        <f>'REGIÃO 03 - HISTÓRICO'!D45</f>
        <v>jul/ago/set</v>
      </c>
      <c r="H45" s="8">
        <v>81</v>
      </c>
      <c r="I45" s="83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TO-424 - TRECHO ENTR. TO-010 (BABAÇULÂNDIA) - ENTR. TO-222</v>
      </c>
      <c r="J45" s="85" t="s">
        <v>681</v>
      </c>
      <c r="K45" s="9">
        <f>'REGIÃO 03 - HISTÓRICO'!E45</f>
        <v>1298033.19</v>
      </c>
      <c r="L45" s="8" t="str">
        <f>'REGIÃO 03 - HISTÓRICO'!I45</f>
        <v>Em andamento</v>
      </c>
      <c r="M45" s="181"/>
    </row>
    <row r="46" spans="2:13" ht="46.8" x14ac:dyDescent="0.3">
      <c r="B46" s="33">
        <f>'REGIÃO 03 - HISTÓRICO'!B46</f>
        <v>0</v>
      </c>
      <c r="C46" s="87" t="s">
        <v>798</v>
      </c>
      <c r="D46" s="99" t="str">
        <f>_xlfn.XLOOKUP(tbResumoR03[[#This Row],[REGIÃO]],tbRegioes[Código Região],tbRegioes[Contrato],"")</f>
        <v>1452.2026</v>
      </c>
      <c r="E46" s="26">
        <f>'REGIÃO 03 - HISTÓRICO'!C46</f>
        <v>7</v>
      </c>
      <c r="F46" s="88" t="s">
        <v>775</v>
      </c>
      <c r="G46" s="182" t="str">
        <f>'REGIÃO 03 - HISTÓRICO'!D46</f>
        <v>jul/ago</v>
      </c>
      <c r="H46" s="8">
        <v>69</v>
      </c>
      <c r="I46" s="83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TO-010 - TRECHO ENTR. TO-222 (POVOADO FARTURÃO) - BABAÇULÂNDIA</v>
      </c>
      <c r="J46" s="85" t="s">
        <v>814</v>
      </c>
      <c r="K46" s="9">
        <f>'REGIÃO 03 - HISTÓRICO'!E46</f>
        <v>94493.36</v>
      </c>
      <c r="L46" s="8" t="str">
        <f>'REGIÃO 03 - HISTÓRICO'!I46</f>
        <v>Concluída</v>
      </c>
      <c r="M46" s="181"/>
    </row>
    <row r="47" spans="2:13" ht="31.2" x14ac:dyDescent="0.3">
      <c r="B47" s="33">
        <f>'REGIÃO 03 - HISTÓRICO'!B47</f>
        <v>0</v>
      </c>
      <c r="C47" s="87" t="s">
        <v>798</v>
      </c>
      <c r="D47" s="99" t="str">
        <f>_xlfn.XLOOKUP(tbResumoR03[[#This Row],[REGIÃO]],tbRegioes[Código Região],tbRegioes[Contrato],"")</f>
        <v>1452.2026</v>
      </c>
      <c r="E47" s="26">
        <f>'REGIÃO 03 - HISTÓRICO'!C47</f>
        <v>8</v>
      </c>
      <c r="F47" s="179" t="s">
        <v>776</v>
      </c>
      <c r="G47" s="182" t="str">
        <f>'REGIÃO 03 - HISTÓRICO'!D47</f>
        <v>ago/set</v>
      </c>
      <c r="H47" s="8">
        <v>69</v>
      </c>
      <c r="I47" s="83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TO-010 - TRECHO ENTR. TO-222 (POVOADO FARTURÃO) - BABAÇULÂNDIA</v>
      </c>
      <c r="J47" s="85" t="s">
        <v>699</v>
      </c>
      <c r="K47" s="9">
        <f>'REGIÃO 03 - HISTÓRICO'!E47</f>
        <v>25646.7</v>
      </c>
      <c r="L47" s="8" t="str">
        <f>'REGIÃO 03 - HISTÓRICO'!I47</f>
        <v>Justificada</v>
      </c>
      <c r="M47" s="181"/>
    </row>
    <row r="48" spans="2:13" ht="31.2" x14ac:dyDescent="0.3">
      <c r="B48" s="33">
        <f>'REGIÃO 03 - HISTÓRICO'!B48</f>
        <v>0</v>
      </c>
      <c r="C48" s="87" t="s">
        <v>798</v>
      </c>
      <c r="D48" s="27" t="str">
        <f>_xlfn.XLOOKUP(tbResumoR03[[#This Row],[REGIÃO]],tbRegioes[Código Região],tbRegioes[Contrato],"")</f>
        <v>1452.2026</v>
      </c>
      <c r="E48" s="26">
        <f>'REGIÃO 03 - HISTÓRICO'!C48</f>
        <v>9</v>
      </c>
      <c r="F48" s="179" t="s">
        <v>776</v>
      </c>
      <c r="G48" s="182" t="str">
        <f>'REGIÃO 03 - HISTÓRICO'!D48</f>
        <v>ago/set</v>
      </c>
      <c r="H48" s="8">
        <v>67</v>
      </c>
      <c r="I48" s="83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TO-010 - TRECHO ENTR. BR-010 (ITACAJÁ) - PALMEIRANTE</v>
      </c>
      <c r="J48" s="85" t="s">
        <v>104</v>
      </c>
      <c r="K48" s="9">
        <f>'REGIÃO 03 - HISTÓRICO'!E48</f>
        <v>85383</v>
      </c>
      <c r="L48" s="8" t="str">
        <f>'REGIÃO 03 - HISTÓRICO'!I48</f>
        <v>Justificada</v>
      </c>
      <c r="M48" s="34"/>
    </row>
    <row r="49" spans="2:13" ht="31.2" x14ac:dyDescent="0.3">
      <c r="B49" s="33">
        <f>'REGIÃO 03 - HISTÓRICO'!B49</f>
        <v>0</v>
      </c>
      <c r="C49" s="87" t="s">
        <v>798</v>
      </c>
      <c r="D49" s="27" t="str">
        <f>_xlfn.XLOOKUP(tbResumoR03[[#This Row],[REGIÃO]],tbRegioes[Código Região],tbRegioes[Contrato],"")</f>
        <v>1452.2026</v>
      </c>
      <c r="E49" s="26">
        <f>'REGIÃO 03 - HISTÓRICO'!C49</f>
        <v>10</v>
      </c>
      <c r="F49" s="179" t="s">
        <v>776</v>
      </c>
      <c r="G49" s="182" t="str">
        <f>'REGIÃO 03 - HISTÓRICO'!D49</f>
        <v>ago/set/out</v>
      </c>
      <c r="H49" s="8">
        <v>76</v>
      </c>
      <c r="I49" s="83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TO-226 - TRECHO ENTR. TO-010 (POVOADO CAMPOS) - ENTR. BR-010</v>
      </c>
      <c r="J49" s="85" t="s">
        <v>104</v>
      </c>
      <c r="K49" s="9">
        <f>'REGIÃO 03 - HISTÓRICO'!E49</f>
        <v>35515.54</v>
      </c>
      <c r="L49" s="8" t="str">
        <f>'REGIÃO 03 - HISTÓRICO'!I49</f>
        <v>Justificada</v>
      </c>
      <c r="M49" s="34"/>
    </row>
    <row r="50" spans="2:13" ht="46.8" x14ac:dyDescent="0.3">
      <c r="B50" s="33">
        <f>'REGIÃO 03 - HISTÓRICO'!B50</f>
        <v>0</v>
      </c>
      <c r="C50" s="87" t="s">
        <v>798</v>
      </c>
      <c r="D50" s="27" t="str">
        <f>_xlfn.XLOOKUP(tbResumoR03[[#This Row],[REGIÃO]],tbRegioes[Código Região],tbRegioes[Contrato],"")</f>
        <v>1452.2026</v>
      </c>
      <c r="E50" s="26">
        <f>'REGIÃO 03 - HISTÓRICO'!C50</f>
        <v>11</v>
      </c>
      <c r="F50" s="179" t="s">
        <v>841</v>
      </c>
      <c r="G50" s="182" t="str">
        <f>'REGIÃO 03 - HISTÓRICO'!D50</f>
        <v>set/out/nov</v>
      </c>
      <c r="H50" s="8">
        <v>72</v>
      </c>
      <c r="I50" s="83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TO-130 - TRECHO ENTR. TO-424 - TRECHO ENTR. TO-222</v>
      </c>
      <c r="J50" s="85" t="s">
        <v>681</v>
      </c>
      <c r="K50" s="9">
        <f>'REGIÃO 03 - HISTÓRICO'!E50</f>
        <v>781651.02</v>
      </c>
      <c r="L50" s="8" t="str">
        <f>'REGIÃO 03 - HISTÓRICO'!I50</f>
        <v>Correção Fiscal</v>
      </c>
      <c r="M50" s="34"/>
    </row>
    <row r="51" spans="2:13" ht="78" x14ac:dyDescent="0.3">
      <c r="B51" s="33">
        <f>'REGIÃO 03 - HISTÓRICO'!B51</f>
        <v>0</v>
      </c>
      <c r="C51" s="87" t="s">
        <v>798</v>
      </c>
      <c r="D51" s="27" t="str">
        <f>_xlfn.XLOOKUP(tbResumoR03[[#This Row],[REGIÃO]],tbRegioes[Código Região],tbRegioes[Contrato],"")</f>
        <v>1452.2026</v>
      </c>
      <c r="E51" s="26">
        <f>'REGIÃO 03 - HISTÓRICO'!C51</f>
        <v>12</v>
      </c>
      <c r="F51" s="179" t="s">
        <v>841</v>
      </c>
      <c r="G51" s="182" t="str">
        <f>'REGIÃO 03 - HISTÓRICO'!D51</f>
        <v>set/out</v>
      </c>
      <c r="H51" s="8">
        <v>80</v>
      </c>
      <c r="I51" s="83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TO-424 - TRECHO ENTR. TO-222 (PLAT. MULTI-MODAL) - BABAÇULÂNDIA</v>
      </c>
      <c r="J51" s="85" t="s">
        <v>819</v>
      </c>
      <c r="K51" s="9">
        <f>'REGIÃO 03 - HISTÓRICO'!E51</f>
        <v>0</v>
      </c>
      <c r="L51" s="8" t="str">
        <f>'REGIÃO 03 - HISTÓRICO'!I51</f>
        <v>Correção Fiscal</v>
      </c>
      <c r="M51" s="34"/>
    </row>
    <row r="52" spans="2:13" ht="78" x14ac:dyDescent="0.3">
      <c r="B52" s="33">
        <f>'REGIÃO 03 - HISTÓRICO'!B52</f>
        <v>0</v>
      </c>
      <c r="C52" s="87" t="s">
        <v>798</v>
      </c>
      <c r="D52" s="27" t="str">
        <f>_xlfn.XLOOKUP(tbResumoR03[[#This Row],[REGIÃO]],tbRegioes[Código Região],tbRegioes[Contrato],"")</f>
        <v>1452.2026</v>
      </c>
      <c r="E52" s="26">
        <f>'REGIÃO 03 - HISTÓRICO'!C52</f>
        <v>13</v>
      </c>
      <c r="F52" s="179" t="s">
        <v>776</v>
      </c>
      <c r="G52" s="182" t="str">
        <f>'REGIÃO 03 - HISTÓRICO'!D52</f>
        <v>ago/set</v>
      </c>
      <c r="H52" s="8">
        <v>83</v>
      </c>
      <c r="I52" s="83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TO-426 - TRECHO POVOADO CRAOLÂNDIA - ENTR. TO-226</v>
      </c>
      <c r="J52" s="85" t="s">
        <v>820</v>
      </c>
      <c r="K52" s="9">
        <f>'REGIÃO 03 - HISTÓRICO'!E52</f>
        <v>511761.32</v>
      </c>
      <c r="L52" s="8" t="str">
        <f>'REGIÃO 03 - HISTÓRICO'!I52</f>
        <v>Correção Fiscal</v>
      </c>
      <c r="M52" s="34"/>
    </row>
    <row r="53" spans="2:13" ht="31.2" x14ac:dyDescent="0.3">
      <c r="B53" s="33">
        <f>'REGIÃO 03 - HISTÓRICO'!B53</f>
        <v>0</v>
      </c>
      <c r="C53" s="87" t="s">
        <v>798</v>
      </c>
      <c r="D53" s="27" t="str">
        <f>_xlfn.XLOOKUP(tbResumoR03[[#This Row],[REGIÃO]],tbRegioes[Código Região],tbRegioes[Contrato],"")</f>
        <v>1452.2026</v>
      </c>
      <c r="E53" s="26">
        <f>'REGIÃO 03 - HISTÓRICO'!C53</f>
        <v>14</v>
      </c>
      <c r="F53" s="179" t="s">
        <v>776</v>
      </c>
      <c r="G53" s="182" t="str">
        <f>'REGIÃO 03 - HISTÓRICO'!D53</f>
        <v>ago/set/out</v>
      </c>
      <c r="H53" s="8">
        <v>71</v>
      </c>
      <c r="I53" s="83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TO-020 - TRECHO RECURSOLÂNDIA - CAMPOS LINDOS</v>
      </c>
      <c r="J53" s="85" t="s">
        <v>816</v>
      </c>
      <c r="K53" s="9">
        <f>'REGIÃO 03 - HISTÓRICO'!E53</f>
        <v>0</v>
      </c>
      <c r="L53" s="8" t="str">
        <f>'REGIÃO 03 - HISTÓRICO'!I53</f>
        <v>Em elaboração</v>
      </c>
      <c r="M53" s="34"/>
    </row>
    <row r="54" spans="2:13" x14ac:dyDescent="0.3">
      <c r="B54" s="33">
        <f>'REGIÃO 03 - HISTÓRICO'!B54</f>
        <v>0</v>
      </c>
      <c r="C54" s="87" t="s">
        <v>798</v>
      </c>
      <c r="D54" s="99" t="str">
        <f>_xlfn.XLOOKUP(tbResumoR03[[#This Row],[REGIÃO]],tbRegioes[Código Região],tbRegioes[Contrato],"")</f>
        <v>1452.2026</v>
      </c>
      <c r="E54" s="26">
        <f>'REGIÃO 03 - HISTÓRICO'!C54</f>
        <v>15</v>
      </c>
      <c r="F54" s="179" t="s">
        <v>841</v>
      </c>
      <c r="G54" s="182" t="str">
        <f>'REGIÃO 03 - HISTÓRICO'!D54</f>
        <v>set/out/nov</v>
      </c>
      <c r="H54" s="8">
        <v>83</v>
      </c>
      <c r="I54" s="187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TO-426 - TRECHO POVOADO CRAOLÂNDIA - ENTR. TO-226</v>
      </c>
      <c r="J54" s="85" t="s">
        <v>816</v>
      </c>
      <c r="K54" s="9">
        <f>'REGIÃO 03 - HISTÓRICO'!E54</f>
        <v>0</v>
      </c>
      <c r="L54" s="188" t="str">
        <f>'REGIÃO 03 - HISTÓRICO'!I54</f>
        <v>Em elaboração</v>
      </c>
      <c r="M54" s="181"/>
    </row>
    <row r="55" spans="2:13" x14ac:dyDescent="0.3">
      <c r="B55" s="33">
        <f>'REGIÃO 03 - HISTÓRICO'!B55</f>
        <v>0</v>
      </c>
      <c r="C55" s="87" t="s">
        <v>798</v>
      </c>
      <c r="D55" s="99" t="str">
        <f>_xlfn.XLOOKUP(tbResumoR03[[#This Row],[REGIÃO]],tbRegioes[Código Região],tbRegioes[Contrato],"")</f>
        <v>1452.2026</v>
      </c>
      <c r="E55" s="26">
        <f>'REGIÃO 03 - HISTÓRICO'!C55</f>
        <v>16</v>
      </c>
      <c r="F55" s="179" t="s">
        <v>841</v>
      </c>
      <c r="G55" s="182" t="str">
        <f>'REGIÃO 03 - HISTÓRICO'!D55</f>
        <v>set/out/nov</v>
      </c>
      <c r="H55" s="8">
        <v>83</v>
      </c>
      <c r="I55" s="187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TO-426 - TRECHO POVOADO CRAOLÂNDIA - ENTR. TO-226</v>
      </c>
      <c r="J55" s="85" t="s">
        <v>816</v>
      </c>
      <c r="K55" s="9">
        <f>'REGIÃO 03 - HISTÓRICO'!E55</f>
        <v>0</v>
      </c>
      <c r="L55" s="188" t="str">
        <f>'REGIÃO 03 - HISTÓRICO'!I55</f>
        <v>Em elaboração</v>
      </c>
      <c r="M55" s="181"/>
    </row>
    <row r="56" spans="2:13" x14ac:dyDescent="0.3">
      <c r="B56" s="33">
        <f>'REGIÃO 03 - HISTÓRICO'!B54</f>
        <v>0</v>
      </c>
      <c r="C56" s="87" t="s">
        <v>798</v>
      </c>
      <c r="D56" s="99" t="str">
        <f>_xlfn.XLOOKUP(tbResumoR03[[#This Row],[REGIÃO]],tbRegioes[Código Região],tbRegioes[Contrato],"")</f>
        <v>1452.2026</v>
      </c>
      <c r="E56" s="26">
        <f>'REGIÃO 03 - HISTÓRICO'!C56</f>
        <v>17</v>
      </c>
      <c r="F56" s="179" t="s">
        <v>776</v>
      </c>
      <c r="G56" s="182" t="str">
        <f>'REGIÃO 03 - HISTÓRICO'!D56</f>
        <v>ago/set/out</v>
      </c>
      <c r="H56" s="8">
        <v>83</v>
      </c>
      <c r="I56" s="187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TO-426 - TRECHO POVOADO CRAOLÂNDIA - ENTR. TO-226</v>
      </c>
      <c r="J56" s="85" t="s">
        <v>816</v>
      </c>
      <c r="K56" s="9">
        <f>'REGIÃO 03 - HISTÓRICO'!E56</f>
        <v>0</v>
      </c>
      <c r="L56" s="188" t="str">
        <f>'REGIÃO 03 - HISTÓRICO'!I56</f>
        <v>Em elaboração</v>
      </c>
      <c r="M56" s="181"/>
    </row>
    <row r="57" spans="2:13" ht="31.2" x14ac:dyDescent="0.3">
      <c r="B57" s="33">
        <f>'REGIÃO 03 - HISTÓRICO'!B57</f>
        <v>0</v>
      </c>
      <c r="C57" s="87" t="s">
        <v>798</v>
      </c>
      <c r="D57" s="195" t="str">
        <f>_xlfn.XLOOKUP(tbResumoR03[[#This Row],[REGIÃO]],tbRegioes[Código Região],tbRegioes[Contrato],"")</f>
        <v>1452.2026</v>
      </c>
      <c r="E57" s="202">
        <f>'REGIÃO 03 - HISTÓRICO'!C57</f>
        <v>18</v>
      </c>
      <c r="F57" s="179" t="s">
        <v>841</v>
      </c>
      <c r="G57" s="182" t="str">
        <f>'REGIÃO 03 - HISTÓRICO'!D57</f>
        <v>set/out</v>
      </c>
      <c r="H57" s="8">
        <v>78</v>
      </c>
      <c r="I57" s="199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TO-422 - TRECHO ENTR. BR-153 - TRECHO DISTRITO AGROINDUSTRIAL DE ARAGUAÍNA</v>
      </c>
      <c r="J57" s="85" t="s">
        <v>816</v>
      </c>
      <c r="K57" s="9">
        <f>'REGIÃO 03 - HISTÓRICO'!E57</f>
        <v>0</v>
      </c>
      <c r="L57" s="201" t="str">
        <f>'REGIÃO 03 - HISTÓRICO'!I57</f>
        <v>Em elaboração</v>
      </c>
      <c r="M57" s="192"/>
    </row>
    <row r="58" spans="2:13" x14ac:dyDescent="0.3">
      <c r="B58" s="33">
        <f>'REGIÃO 03 - HISTÓRICO'!B58</f>
        <v>0</v>
      </c>
      <c r="C58" s="87" t="s">
        <v>798</v>
      </c>
      <c r="D58" s="195" t="str">
        <f>_xlfn.XLOOKUP(tbResumoR03[[#This Row],[REGIÃO]],tbRegioes[Código Região],tbRegioes[Contrato],"")</f>
        <v>1452.2026</v>
      </c>
      <c r="E58" s="202">
        <f>'REGIÃO 03 - HISTÓRICO'!C58</f>
        <v>19</v>
      </c>
      <c r="F58" s="179" t="s">
        <v>841</v>
      </c>
      <c r="G58" s="182" t="str">
        <f>'REGIÃO 03 - HISTÓRICO'!D58</f>
        <v>set/out/nov</v>
      </c>
      <c r="H58" s="8">
        <v>75</v>
      </c>
      <c r="I58" s="199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TO-226 - TRECHO NOVA OLINDA - ENTR. TO-010</v>
      </c>
      <c r="J58" s="85" t="s">
        <v>816</v>
      </c>
      <c r="K58" s="9">
        <f>'REGIÃO 03 - HISTÓRICO'!E58</f>
        <v>0</v>
      </c>
      <c r="L58" s="201" t="str">
        <f>'REGIÃO 03 - HISTÓRICO'!I58</f>
        <v>Em elaboração</v>
      </c>
      <c r="M58" s="192"/>
    </row>
    <row r="59" spans="2:13" x14ac:dyDescent="0.3">
      <c r="B59" s="33">
        <f>'REGIÃO 03 - HISTÓRICO'!B55</f>
        <v>0</v>
      </c>
      <c r="C59" s="87" t="s">
        <v>798</v>
      </c>
      <c r="D59" s="99" t="str">
        <f>_xlfn.XLOOKUP(tbResumoR03[[#This Row],[REGIÃO]],tbRegioes[Código Região],tbRegioes[Contrato],"")</f>
        <v>1452.2026</v>
      </c>
      <c r="E59" s="202">
        <f>'REGIÃO 03 - HISTÓRICO'!C59</f>
        <v>20</v>
      </c>
      <c r="F59" s="179" t="s">
        <v>841</v>
      </c>
      <c r="G59" s="182" t="str">
        <f>'REGIÃO 03 - HISTÓRICO'!D59</f>
        <v>set/out</v>
      </c>
      <c r="H59" s="8">
        <v>74</v>
      </c>
      <c r="I59" s="199" t="str">
        <f>IF(tbResumoR03[[#This Row],[N° TRECHO]]="","",IFERROR(INDEX('REGIÃO 01 - TRECHOS'!$F$4:$F$119,MATCH(tbResumoR03[[#This Row],[N° TRECHO]],'REGIÃO 01 - TRECHOS'!$E$4:$E$119,0)),IFERROR(INDEX('REGIÃO 02 - TRECHOS'!$F$4:$F$76,MATCH(tbResumoR03[[#This Row],[N° TRECHO]],'REGIÃO 02 - TRECHOS'!$E$4:$E$76,0)),IFERROR(INDEX('REGIÃO 03 - TRECHOS'!$F$4:$F$53,MATCH(tbResumoR03[[#This Row],[N° TRECHO]],'REGIÃO 03 - TRECHOS'!$E$4:$E$53,0)),"Trecho não cadastrado"))))</f>
        <v>RODOVIA TO-222 - TRECHO ARAGUAÍNA - FILADÉLFIA</v>
      </c>
      <c r="J59" s="85" t="s">
        <v>816</v>
      </c>
      <c r="K59" s="9">
        <f>'REGIÃO 03 - HISTÓRICO'!E59</f>
        <v>61825.52</v>
      </c>
      <c r="L59" s="201" t="str">
        <f>'REGIÃO 03 - HISTÓRICO'!I59</f>
        <v>Correção Fiscal</v>
      </c>
      <c r="M59" s="34"/>
    </row>
    <row r="60" spans="2:13" x14ac:dyDescent="0.3">
      <c r="B60" s="10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</row>
    <row r="61" spans="2:13" x14ac:dyDescent="0.3">
      <c r="B61" s="10"/>
      <c r="C61" s="10"/>
      <c r="D61" s="10"/>
      <c r="E61" s="10"/>
      <c r="F61" s="10"/>
      <c r="H61" s="10"/>
    </row>
    <row r="62" spans="2:13" x14ac:dyDescent="0.3">
      <c r="B62" s="10"/>
      <c r="C62" s="10"/>
      <c r="D62" s="10"/>
      <c r="E62" s="10"/>
      <c r="F62" s="10"/>
      <c r="H62" s="10"/>
    </row>
  </sheetData>
  <sheetProtection formatCells="0" formatColumns="0" formatRows="0" insertColumns="0" insertRows="0" insertHyperlinks="0" deleteColumns="0" deleteRows="0" sort="0" autoFilter="0" pivotTables="0"/>
  <mergeCells count="2">
    <mergeCell ref="B2:M2"/>
    <mergeCell ref="C60:M60"/>
  </mergeCells>
  <phoneticPr fontId="3" type="noConversion"/>
  <dataValidations count="1">
    <dataValidation allowBlank="1" showInputMessage="1" showErrorMessage="1" sqref="D4:D59" xr:uid="{42999EC1-AC81-4793-842C-B94A551FFC18}"/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32900C4-9550-4C96-A52E-45A97074886F}">
          <x14:formula1>
            <xm:f>'Tabelas Auxiliares'!$B$4:$B$10</xm:f>
          </x14:formula1>
          <xm:sqref>C4:C59</xm:sqref>
        </x14:dataValidation>
        <x14:dataValidation type="list" allowBlank="1" showInputMessage="1" showErrorMessage="1" xr:uid="{12298777-084C-4348-81D1-79F0390DF7FC}">
          <x14:formula1>
            <xm:f>'Tabelas Auxiliares'!$M$4:$M$11</xm:f>
          </x14:formula1>
          <xm:sqref>L4:L59</xm:sqref>
        </x14:dataValidation>
        <x14:dataValidation type="list" allowBlank="1" showInputMessage="1" showErrorMessage="1" xr:uid="{2073AC4B-04D1-448A-A612-B561372C4056}">
          <x14:formula1>
            <xm:f>'Tabelas Auxiliares'!$H$3:$H$81</xm:f>
          </x14:formula1>
          <xm:sqref>J4:J59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72EDF-E67A-4755-971E-E1B9B41E599E}">
  <sheetPr codeName="Planilha7"/>
  <dimension ref="B2:AG60"/>
  <sheetViews>
    <sheetView zoomScale="85" zoomScaleNormal="85" workbookViewId="0">
      <pane xSplit="9" ySplit="3" topLeftCell="U37" activePane="bottomRight" state="frozen"/>
      <selection pane="topRight" activeCell="J1" sqref="J1"/>
      <selection pane="bottomLeft" activeCell="A4" sqref="A4"/>
      <selection pane="bottomRight" activeCell="Z50" sqref="Z50"/>
    </sheetView>
  </sheetViews>
  <sheetFormatPr defaultRowHeight="15.6" x14ac:dyDescent="0.3"/>
  <cols>
    <col min="1" max="1" width="3" customWidth="1"/>
    <col min="2" max="2" width="4.19921875" style="10" hidden="1" customWidth="1"/>
    <col min="3" max="3" width="11.69921875" style="10" customWidth="1"/>
    <col min="4" max="4" width="20" style="10" customWidth="1"/>
    <col min="5" max="7" width="22.5" customWidth="1"/>
    <col min="8" max="8" width="14.8984375" customWidth="1"/>
    <col min="9" max="9" width="22.5" style="36" customWidth="1"/>
    <col min="10" max="10" width="15.8984375" style="46" customWidth="1"/>
    <col min="11" max="11" width="14.69921875" style="10" customWidth="1"/>
    <col min="12" max="12" width="15.5" style="46" customWidth="1"/>
    <col min="13" max="13" width="14.796875" style="10" customWidth="1"/>
    <col min="14" max="14" width="15.59765625" customWidth="1"/>
    <col min="15" max="15" width="14.69921875" style="10" customWidth="1"/>
    <col min="16" max="16" width="15.59765625" customWidth="1"/>
    <col min="17" max="17" width="14.69921875" customWidth="1"/>
    <col min="18" max="18" width="15.59765625" customWidth="1"/>
    <col min="19" max="19" width="14.69921875" customWidth="1"/>
    <col min="20" max="20" width="15.59765625" customWidth="1"/>
    <col min="21" max="21" width="14.69921875" customWidth="1"/>
    <col min="22" max="22" width="15.59765625" customWidth="1"/>
    <col min="23" max="23" width="14.69921875" customWidth="1"/>
    <col min="24" max="24" width="15.59765625" customWidth="1"/>
    <col min="25" max="25" width="14.69921875" customWidth="1"/>
    <col min="26" max="26" width="15.59765625" customWidth="1"/>
    <col min="27" max="27" width="14.69921875" customWidth="1"/>
    <col min="28" max="28" width="15.59765625" customWidth="1"/>
    <col min="29" max="29" width="14.69921875" customWidth="1"/>
    <col min="30" max="30" width="15.59765625" customWidth="1"/>
    <col min="31" max="31" width="14.69921875" customWidth="1"/>
    <col min="32" max="32" width="15.59765625" customWidth="1"/>
    <col min="33" max="33" width="14.69921875" customWidth="1"/>
  </cols>
  <sheetData>
    <row r="2" spans="2:33" ht="30.6" customHeight="1" x14ac:dyDescent="0.3">
      <c r="B2" s="218" t="s">
        <v>703</v>
      </c>
      <c r="C2" s="219"/>
      <c r="D2" s="219"/>
      <c r="E2" s="219"/>
      <c r="F2" s="219"/>
      <c r="G2" s="219"/>
      <c r="H2" s="219"/>
      <c r="I2" s="219"/>
      <c r="J2" s="216">
        <v>46023</v>
      </c>
      <c r="K2" s="217"/>
      <c r="L2" s="220">
        <v>46054</v>
      </c>
      <c r="M2" s="221"/>
      <c r="N2" s="222">
        <v>46082</v>
      </c>
      <c r="O2" s="223"/>
      <c r="P2" s="224">
        <v>46113</v>
      </c>
      <c r="Q2" s="225"/>
      <c r="R2" s="216">
        <v>46143</v>
      </c>
      <c r="S2" s="217"/>
      <c r="T2" s="220">
        <v>46174</v>
      </c>
      <c r="U2" s="221"/>
      <c r="V2" s="222">
        <v>46204</v>
      </c>
      <c r="W2" s="223"/>
      <c r="X2" s="224">
        <v>46235</v>
      </c>
      <c r="Y2" s="225"/>
      <c r="Z2" s="216">
        <v>46266</v>
      </c>
      <c r="AA2" s="217"/>
      <c r="AB2" s="220">
        <v>46296</v>
      </c>
      <c r="AC2" s="221"/>
      <c r="AD2" s="222">
        <v>46327</v>
      </c>
      <c r="AE2" s="223"/>
      <c r="AF2" s="224">
        <v>46357</v>
      </c>
      <c r="AG2" s="225"/>
    </row>
    <row r="3" spans="2:33" ht="31.2" x14ac:dyDescent="0.3">
      <c r="B3" s="16" t="s">
        <v>3</v>
      </c>
      <c r="C3" s="16" t="s">
        <v>6</v>
      </c>
      <c r="D3" s="16" t="s">
        <v>40</v>
      </c>
      <c r="E3" s="16" t="s">
        <v>1</v>
      </c>
      <c r="F3" s="16" t="s">
        <v>42</v>
      </c>
      <c r="G3" s="16" t="s">
        <v>43</v>
      </c>
      <c r="H3" s="16" t="s">
        <v>45</v>
      </c>
      <c r="I3" s="50" t="s">
        <v>44</v>
      </c>
      <c r="J3" s="51" t="s">
        <v>39</v>
      </c>
      <c r="K3" s="13" t="s">
        <v>10</v>
      </c>
      <c r="L3" s="11" t="s">
        <v>39</v>
      </c>
      <c r="M3" s="11" t="s">
        <v>10</v>
      </c>
      <c r="N3" s="14" t="s">
        <v>39</v>
      </c>
      <c r="O3" s="14" t="s">
        <v>10</v>
      </c>
      <c r="P3" s="15" t="s">
        <v>39</v>
      </c>
      <c r="Q3" s="15" t="s">
        <v>10</v>
      </c>
      <c r="R3" s="13" t="s">
        <v>39</v>
      </c>
      <c r="S3" s="13" t="s">
        <v>10</v>
      </c>
      <c r="T3" s="11" t="s">
        <v>39</v>
      </c>
      <c r="U3" s="11" t="s">
        <v>10</v>
      </c>
      <c r="V3" s="14" t="s">
        <v>39</v>
      </c>
      <c r="W3" s="14" t="s">
        <v>10</v>
      </c>
      <c r="X3" s="15" t="s">
        <v>39</v>
      </c>
      <c r="Y3" s="15" t="s">
        <v>10</v>
      </c>
      <c r="Z3" s="13" t="s">
        <v>39</v>
      </c>
      <c r="AA3" s="13" t="s">
        <v>10</v>
      </c>
      <c r="AB3" s="11" t="s">
        <v>39</v>
      </c>
      <c r="AC3" s="11" t="s">
        <v>10</v>
      </c>
      <c r="AD3" s="14" t="s">
        <v>39</v>
      </c>
      <c r="AE3" s="14" t="s">
        <v>10</v>
      </c>
      <c r="AF3" s="15" t="s">
        <v>39</v>
      </c>
      <c r="AG3" s="15" t="s">
        <v>10</v>
      </c>
    </row>
    <row r="4" spans="2:33" x14ac:dyDescent="0.3">
      <c r="B4" s="30">
        <f t="shared" ref="B4:B37" si="0">ROW()-ROW($B$3)</f>
        <v>1</v>
      </c>
      <c r="C4" s="32">
        <v>25</v>
      </c>
      <c r="D4" s="12" t="s">
        <v>38</v>
      </c>
      <c r="E4" s="18">
        <v>158008.29999999999</v>
      </c>
      <c r="F4" s="18">
        <f>SUM(J4,L4,N4,P4,R4,T4,V4,X4,Z4,AB4,AD4,AF4)</f>
        <v>0</v>
      </c>
      <c r="G4" s="49">
        <f t="shared" ref="G4:G53" si="1">E4-F4</f>
        <v>158008.29999999999</v>
      </c>
      <c r="H4" s="48">
        <f>F4/E4</f>
        <v>0</v>
      </c>
      <c r="I4" s="312" t="str" cm="1">
        <f t="array" ref="I4">IFERROR(LOOKUP(2,1/((MOD(COLUMN($K4:$AG4),2)=1)*($K4:$AG4&lt;&gt;"-")*($K4:$AG4&lt;&gt;"")),$K4:$AG4),"-")</f>
        <v>Cancelada</v>
      </c>
      <c r="J4" s="45">
        <v>0</v>
      </c>
      <c r="K4" s="21" t="s">
        <v>34</v>
      </c>
      <c r="L4" s="45"/>
      <c r="M4" s="21"/>
      <c r="N4" s="45"/>
      <c r="O4" s="21"/>
      <c r="P4" s="45"/>
      <c r="Q4" s="21"/>
      <c r="R4" s="45"/>
      <c r="S4" s="21"/>
      <c r="T4" s="45"/>
      <c r="U4" s="21"/>
      <c r="V4" s="45"/>
      <c r="W4" s="21"/>
      <c r="X4" s="45"/>
      <c r="Y4" s="21"/>
      <c r="Z4" s="45"/>
      <c r="AA4" s="21"/>
      <c r="AB4" s="45"/>
      <c r="AC4" s="21"/>
      <c r="AD4" s="45"/>
      <c r="AE4" s="21"/>
      <c r="AF4" s="45"/>
      <c r="AG4" s="21"/>
    </row>
    <row r="5" spans="2:33" x14ac:dyDescent="0.3">
      <c r="B5" s="30">
        <f t="shared" si="0"/>
        <v>2</v>
      </c>
      <c r="C5" s="32">
        <v>26</v>
      </c>
      <c r="D5" s="12" t="s">
        <v>38</v>
      </c>
      <c r="E5" s="18">
        <v>32996.15</v>
      </c>
      <c r="F5" s="18">
        <f t="shared" ref="F5:F53" si="2">SUM(J5,L5,N5,P5,R5,T5,V5,X5,Z5,AB5,AD5,AF5)</f>
        <v>0</v>
      </c>
      <c r="G5" s="49">
        <f t="shared" si="1"/>
        <v>32996.15</v>
      </c>
      <c r="H5" s="48">
        <f t="shared" ref="H5:H56" si="3">F5/E5</f>
        <v>0</v>
      </c>
      <c r="I5" s="312" t="str" cm="1">
        <f t="array" ref="I5">IFERROR(LOOKUP(2,1/((MOD(COLUMN($K5:$AG5),2)=1)*($K5:$AG5&lt;&gt;"-")*($K5:$AG5&lt;&gt;"")),$K5:$AG5),"-")</f>
        <v>Cancelada</v>
      </c>
      <c r="J5" s="45">
        <v>0</v>
      </c>
      <c r="K5" s="21" t="s">
        <v>34</v>
      </c>
      <c r="L5" s="45"/>
      <c r="M5" s="21"/>
      <c r="N5" s="45"/>
      <c r="O5" s="21"/>
      <c r="P5" s="45"/>
      <c r="Q5" s="21"/>
      <c r="R5" s="45"/>
      <c r="S5" s="21"/>
      <c r="T5" s="45"/>
      <c r="U5" s="21"/>
      <c r="V5" s="45"/>
      <c r="W5" s="21"/>
      <c r="X5" s="45"/>
      <c r="Y5" s="21"/>
      <c r="Z5" s="45"/>
      <c r="AA5" s="21"/>
      <c r="AB5" s="45"/>
      <c r="AC5" s="21"/>
      <c r="AD5" s="45"/>
      <c r="AE5" s="21"/>
      <c r="AF5" s="45"/>
      <c r="AG5" s="21"/>
    </row>
    <row r="6" spans="2:33" x14ac:dyDescent="0.3">
      <c r="B6" s="30">
        <f t="shared" si="0"/>
        <v>3</v>
      </c>
      <c r="C6" s="32">
        <v>27</v>
      </c>
      <c r="D6" s="12" t="s">
        <v>38</v>
      </c>
      <c r="E6" s="18">
        <v>9994.4599999999991</v>
      </c>
      <c r="F6" s="18">
        <f t="shared" si="2"/>
        <v>0</v>
      </c>
      <c r="G6" s="49">
        <f t="shared" si="1"/>
        <v>9994.4599999999991</v>
      </c>
      <c r="H6" s="48">
        <f t="shared" si="3"/>
        <v>0</v>
      </c>
      <c r="I6" s="312" t="str" cm="1">
        <f t="array" ref="I6">IFERROR(LOOKUP(2,1/((MOD(COLUMN($K6:$AG6),2)=1)*($K6:$AG6&lt;&gt;"-")*($K6:$AG6&lt;&gt;"")),$K6:$AG6),"-")</f>
        <v>Cancelada</v>
      </c>
      <c r="J6" s="45">
        <v>0</v>
      </c>
      <c r="K6" s="21" t="s">
        <v>34</v>
      </c>
      <c r="L6" s="45"/>
      <c r="M6" s="21"/>
      <c r="N6" s="45"/>
      <c r="O6" s="21"/>
      <c r="P6" s="45"/>
      <c r="Q6" s="21"/>
      <c r="R6" s="45"/>
      <c r="S6" s="21"/>
      <c r="T6" s="45"/>
      <c r="U6" s="21"/>
      <c r="V6" s="45"/>
      <c r="W6" s="21"/>
      <c r="X6" s="45"/>
      <c r="Y6" s="21"/>
      <c r="Z6" s="45"/>
      <c r="AA6" s="21"/>
      <c r="AB6" s="45"/>
      <c r="AC6" s="21"/>
      <c r="AD6" s="45"/>
      <c r="AE6" s="21"/>
      <c r="AF6" s="45"/>
      <c r="AG6" s="21"/>
    </row>
    <row r="7" spans="2:33" x14ac:dyDescent="0.3">
      <c r="B7" s="30">
        <f t="shared" si="0"/>
        <v>4</v>
      </c>
      <c r="C7" s="32">
        <v>28</v>
      </c>
      <c r="D7" s="12" t="s">
        <v>38</v>
      </c>
      <c r="E7" s="18">
        <v>211267.39</v>
      </c>
      <c r="F7" s="18">
        <f t="shared" si="2"/>
        <v>0</v>
      </c>
      <c r="G7" s="49">
        <f t="shared" si="1"/>
        <v>211267.39</v>
      </c>
      <c r="H7" s="48">
        <f t="shared" si="3"/>
        <v>0</v>
      </c>
      <c r="I7" s="312" t="str" cm="1">
        <f t="array" ref="I7">IFERROR(LOOKUP(2,1/((MOD(COLUMN($K7:$AG7),2)=1)*($K7:$AG7&lt;&gt;"-")*($K7:$AG7&lt;&gt;"")),$K7:$AG7),"-")</f>
        <v>Cancelada</v>
      </c>
      <c r="J7" s="45">
        <v>0</v>
      </c>
      <c r="K7" s="21" t="s">
        <v>34</v>
      </c>
      <c r="L7" s="45"/>
      <c r="M7" s="21"/>
      <c r="N7" s="45"/>
      <c r="O7" s="21"/>
      <c r="P7" s="45"/>
      <c r="Q7" s="21"/>
      <c r="R7" s="45"/>
      <c r="S7" s="21"/>
      <c r="T7" s="45"/>
      <c r="U7" s="21"/>
      <c r="V7" s="45"/>
      <c r="W7" s="21"/>
      <c r="X7" s="45"/>
      <c r="Y7" s="21"/>
      <c r="Z7" s="45"/>
      <c r="AA7" s="21"/>
      <c r="AB7" s="45"/>
      <c r="AC7" s="21"/>
      <c r="AD7" s="45"/>
      <c r="AE7" s="21"/>
      <c r="AF7" s="45"/>
      <c r="AG7" s="21"/>
    </row>
    <row r="8" spans="2:33" x14ac:dyDescent="0.3">
      <c r="B8" s="30">
        <f t="shared" si="0"/>
        <v>5</v>
      </c>
      <c r="C8" s="32">
        <v>29</v>
      </c>
      <c r="D8" s="12" t="s">
        <v>38</v>
      </c>
      <c r="E8" s="18">
        <v>349500.81</v>
      </c>
      <c r="F8" s="18">
        <f t="shared" si="2"/>
        <v>0</v>
      </c>
      <c r="G8" s="49">
        <f t="shared" si="1"/>
        <v>349500.81</v>
      </c>
      <c r="H8" s="48">
        <f t="shared" si="3"/>
        <v>0</v>
      </c>
      <c r="I8" s="312" t="str" cm="1">
        <f t="array" ref="I8">IFERROR(LOOKUP(2,1/((MOD(COLUMN($K8:$AG8),2)=1)*($K8:$AG8&lt;&gt;"-")*($K8:$AG8&lt;&gt;"")),$K8:$AG8),"-")</f>
        <v>Cancelada</v>
      </c>
      <c r="J8" s="45">
        <v>0</v>
      </c>
      <c r="K8" s="21" t="s">
        <v>34</v>
      </c>
      <c r="L8" s="45"/>
      <c r="M8" s="21"/>
      <c r="N8" s="45"/>
      <c r="O8" s="21"/>
      <c r="P8" s="45"/>
      <c r="Q8" s="21"/>
      <c r="R8" s="45"/>
      <c r="S8" s="21"/>
      <c r="T8" s="45"/>
      <c r="U8" s="21"/>
      <c r="V8" s="45"/>
      <c r="W8" s="21"/>
      <c r="X8" s="45"/>
      <c r="Y8" s="21"/>
      <c r="Z8" s="45"/>
      <c r="AA8" s="21"/>
      <c r="AB8" s="45"/>
      <c r="AC8" s="21"/>
      <c r="AD8" s="45"/>
      <c r="AE8" s="21"/>
      <c r="AF8" s="45"/>
      <c r="AG8" s="21"/>
    </row>
    <row r="9" spans="2:33" x14ac:dyDescent="0.3">
      <c r="B9" s="30">
        <f t="shared" si="0"/>
        <v>6</v>
      </c>
      <c r="C9" s="32">
        <v>30</v>
      </c>
      <c r="D9" s="12" t="s">
        <v>38</v>
      </c>
      <c r="E9" s="18">
        <v>4691.2299999999996</v>
      </c>
      <c r="F9" s="18">
        <f t="shared" si="2"/>
        <v>0</v>
      </c>
      <c r="G9" s="49">
        <f t="shared" si="1"/>
        <v>4691.2299999999996</v>
      </c>
      <c r="H9" s="48">
        <f t="shared" si="3"/>
        <v>0</v>
      </c>
      <c r="I9" s="312" t="str" cm="1">
        <f t="array" ref="I9">IFERROR(LOOKUP(2,1/((MOD(COLUMN($K9:$AG9),2)=1)*($K9:$AG9&lt;&gt;"-")*($K9:$AG9&lt;&gt;"")),$K9:$AG9),"-")</f>
        <v>Cancelada</v>
      </c>
      <c r="J9" s="45">
        <v>0</v>
      </c>
      <c r="K9" s="21" t="s">
        <v>34</v>
      </c>
      <c r="L9" s="45"/>
      <c r="M9" s="21"/>
      <c r="N9" s="45"/>
      <c r="O9" s="21"/>
      <c r="P9" s="45"/>
      <c r="Q9" s="21"/>
      <c r="R9" s="45"/>
      <c r="S9" s="21"/>
      <c r="T9" s="45"/>
      <c r="U9" s="21"/>
      <c r="V9" s="45"/>
      <c r="W9" s="21"/>
      <c r="X9" s="45"/>
      <c r="Y9" s="21"/>
      <c r="Z9" s="45"/>
      <c r="AA9" s="21"/>
      <c r="AB9" s="45"/>
      <c r="AC9" s="21"/>
      <c r="AD9" s="45"/>
      <c r="AE9" s="21"/>
      <c r="AF9" s="45"/>
      <c r="AG9" s="21"/>
    </row>
    <row r="10" spans="2:33" x14ac:dyDescent="0.3">
      <c r="B10" s="30">
        <f t="shared" si="0"/>
        <v>7</v>
      </c>
      <c r="C10" s="32">
        <v>31</v>
      </c>
      <c r="D10" s="12" t="s">
        <v>38</v>
      </c>
      <c r="E10" s="18">
        <v>22662.53</v>
      </c>
      <c r="F10" s="18">
        <f t="shared" si="2"/>
        <v>0</v>
      </c>
      <c r="G10" s="49">
        <f t="shared" si="1"/>
        <v>22662.53</v>
      </c>
      <c r="H10" s="48">
        <f t="shared" si="3"/>
        <v>0</v>
      </c>
      <c r="I10" s="312" t="str" cm="1">
        <f t="array" ref="I10">IFERROR(LOOKUP(2,1/((MOD(COLUMN($K10:$AG10),2)=1)*($K10:$AG10&lt;&gt;"-")*($K10:$AG10&lt;&gt;"")),$K10:$AG10),"-")</f>
        <v>Cancelada</v>
      </c>
      <c r="J10" s="45">
        <v>0</v>
      </c>
      <c r="K10" s="21" t="s">
        <v>34</v>
      </c>
      <c r="L10" s="45"/>
      <c r="M10" s="21"/>
      <c r="N10" s="45"/>
      <c r="O10" s="21"/>
      <c r="P10" s="45"/>
      <c r="Q10" s="21"/>
      <c r="R10" s="45"/>
      <c r="S10" s="21"/>
      <c r="T10" s="45"/>
      <c r="U10" s="21"/>
      <c r="V10" s="45"/>
      <c r="W10" s="21"/>
      <c r="X10" s="45"/>
      <c r="Y10" s="21"/>
      <c r="Z10" s="45"/>
      <c r="AA10" s="21"/>
      <c r="AB10" s="45"/>
      <c r="AC10" s="21"/>
      <c r="AD10" s="45"/>
      <c r="AE10" s="21"/>
      <c r="AF10" s="45"/>
      <c r="AG10" s="21"/>
    </row>
    <row r="11" spans="2:33" x14ac:dyDescent="0.3">
      <c r="B11" s="30">
        <f t="shared" si="0"/>
        <v>8</v>
      </c>
      <c r="C11" s="32">
        <v>32</v>
      </c>
      <c r="D11" s="12" t="s">
        <v>38</v>
      </c>
      <c r="E11" s="18">
        <v>1076148.75</v>
      </c>
      <c r="F11" s="18">
        <f t="shared" si="2"/>
        <v>1075445.71</v>
      </c>
      <c r="G11" s="49">
        <f t="shared" si="1"/>
        <v>703.04000000003725</v>
      </c>
      <c r="H11" s="48">
        <f t="shared" si="3"/>
        <v>0.9993467074138217</v>
      </c>
      <c r="I11" s="312" t="str" cm="1">
        <f t="array" ref="I11">IFERROR(LOOKUP(2,1/((MOD(COLUMN($K11:$AG11),2)=1)*($K11:$AG11&lt;&gt;"-")*($K11:$AG11&lt;&gt;"")),$K11:$AG11),"-")</f>
        <v>Concluída</v>
      </c>
      <c r="J11" s="45">
        <v>1075445.71</v>
      </c>
      <c r="K11" s="21" t="s">
        <v>28</v>
      </c>
      <c r="L11" s="45"/>
      <c r="M11" s="21"/>
      <c r="N11" s="45"/>
      <c r="O11" s="21"/>
      <c r="P11" s="45"/>
      <c r="Q11" s="21"/>
      <c r="R11" s="45"/>
      <c r="S11" s="21"/>
      <c r="T11" s="45"/>
      <c r="U11" s="21"/>
      <c r="V11" s="45"/>
      <c r="W11" s="21"/>
      <c r="X11" s="45"/>
      <c r="Y11" s="21"/>
      <c r="Z11" s="45"/>
      <c r="AA11" s="21"/>
      <c r="AB11" s="45"/>
      <c r="AC11" s="21"/>
      <c r="AD11" s="45"/>
      <c r="AE11" s="21"/>
      <c r="AF11" s="45"/>
      <c r="AG11" s="21"/>
    </row>
    <row r="12" spans="2:33" x14ac:dyDescent="0.3">
      <c r="B12" s="30">
        <f t="shared" si="0"/>
        <v>9</v>
      </c>
      <c r="C12" s="32">
        <v>33</v>
      </c>
      <c r="D12" s="12" t="s">
        <v>38</v>
      </c>
      <c r="E12" s="18">
        <v>1187884.22</v>
      </c>
      <c r="F12" s="18">
        <f t="shared" si="2"/>
        <v>1185944.6299999999</v>
      </c>
      <c r="G12" s="49">
        <f t="shared" si="1"/>
        <v>1939.5900000000838</v>
      </c>
      <c r="H12" s="48">
        <f t="shared" si="3"/>
        <v>0.9983671893545315</v>
      </c>
      <c r="I12" s="312" t="str" cm="1">
        <f t="array" ref="I12">IFERROR(LOOKUP(2,1/((MOD(COLUMN($K12:$AG12),2)=1)*($K12:$AG12&lt;&gt;"-")*($K12:$AG12&lt;&gt;"")),$K12:$AG12),"-")</f>
        <v>Concluída</v>
      </c>
      <c r="J12" s="45">
        <v>1185944.6299999999</v>
      </c>
      <c r="K12" s="21" t="s">
        <v>28</v>
      </c>
      <c r="L12" s="45"/>
      <c r="M12" s="21"/>
      <c r="N12" s="45"/>
      <c r="O12" s="21"/>
      <c r="P12" s="45"/>
      <c r="Q12" s="21"/>
      <c r="R12" s="45"/>
      <c r="S12" s="21"/>
      <c r="T12" s="45"/>
      <c r="U12" s="21"/>
      <c r="V12" s="45"/>
      <c r="W12" s="21"/>
      <c r="X12" s="45"/>
      <c r="Y12" s="21"/>
      <c r="Z12" s="45"/>
      <c r="AA12" s="21"/>
      <c r="AB12" s="45"/>
      <c r="AC12" s="21"/>
      <c r="AD12" s="45"/>
      <c r="AE12" s="21"/>
      <c r="AF12" s="45"/>
      <c r="AG12" s="21"/>
    </row>
    <row r="13" spans="2:33" x14ac:dyDescent="0.3">
      <c r="B13" s="30">
        <f t="shared" si="0"/>
        <v>10</v>
      </c>
      <c r="C13" s="32">
        <v>34</v>
      </c>
      <c r="D13" s="12" t="s">
        <v>55</v>
      </c>
      <c r="E13" s="18">
        <v>37902.400000000001</v>
      </c>
      <c r="F13" s="18">
        <f t="shared" si="2"/>
        <v>36931.269999999997</v>
      </c>
      <c r="G13" s="49">
        <f t="shared" si="1"/>
        <v>971.13000000000466</v>
      </c>
      <c r="H13" s="48">
        <f t="shared" si="3"/>
        <v>0.97437813964287212</v>
      </c>
      <c r="I13" s="312" t="str" cm="1">
        <f t="array" ref="I13">IFERROR(LOOKUP(2,1/((MOD(COLUMN($K13:$AG13),2)=1)*($K13:$AG13&lt;&gt;"-")*($K13:$AG13&lt;&gt;"")),$K13:$AG13),"-")</f>
        <v>Concluída</v>
      </c>
      <c r="J13" s="45"/>
      <c r="K13" s="21"/>
      <c r="L13" s="45">
        <v>36931.269999999997</v>
      </c>
      <c r="M13" s="21" t="s">
        <v>28</v>
      </c>
      <c r="N13" s="45"/>
      <c r="O13" s="21"/>
      <c r="P13" s="45"/>
      <c r="Q13" s="21"/>
      <c r="R13" s="45"/>
      <c r="S13" s="21"/>
      <c r="T13" s="45"/>
      <c r="U13" s="21"/>
      <c r="V13" s="45"/>
      <c r="W13" s="21"/>
      <c r="X13" s="45"/>
      <c r="Y13" s="21"/>
      <c r="Z13" s="45"/>
      <c r="AA13" s="21"/>
      <c r="AB13" s="45"/>
      <c r="AC13" s="21"/>
      <c r="AD13" s="45"/>
      <c r="AE13" s="21"/>
      <c r="AF13" s="45"/>
      <c r="AG13" s="21"/>
    </row>
    <row r="14" spans="2:33" x14ac:dyDescent="0.3">
      <c r="B14" s="30">
        <f t="shared" si="0"/>
        <v>11</v>
      </c>
      <c r="C14" s="32">
        <v>35</v>
      </c>
      <c r="D14" s="12" t="s">
        <v>55</v>
      </c>
      <c r="E14" s="18">
        <v>9994.4599999999991</v>
      </c>
      <c r="F14" s="18">
        <f t="shared" si="2"/>
        <v>9994.4599999999991</v>
      </c>
      <c r="G14" s="49">
        <f t="shared" si="1"/>
        <v>0</v>
      </c>
      <c r="H14" s="48">
        <f t="shared" si="3"/>
        <v>1</v>
      </c>
      <c r="I14" s="312" t="str" cm="1">
        <f t="array" ref="I14">IFERROR(LOOKUP(2,1/((MOD(COLUMN($K14:$AG14),2)=1)*($K14:$AG14&lt;&gt;"-")*($K14:$AG14&lt;&gt;"")),$K14:$AG14),"-")</f>
        <v>Concluída</v>
      </c>
      <c r="J14" s="45"/>
      <c r="K14" s="21"/>
      <c r="L14" s="45">
        <v>9994.4599999999991</v>
      </c>
      <c r="M14" s="21" t="s">
        <v>28</v>
      </c>
      <c r="N14" s="45"/>
      <c r="O14" s="21"/>
      <c r="P14" s="45"/>
      <c r="Q14" s="21"/>
      <c r="R14" s="45"/>
      <c r="S14" s="21"/>
      <c r="T14" s="45"/>
      <c r="U14" s="21"/>
      <c r="V14" s="45"/>
      <c r="W14" s="21"/>
      <c r="X14" s="45"/>
      <c r="Y14" s="21"/>
      <c r="Z14" s="45"/>
      <c r="AA14" s="21"/>
      <c r="AB14" s="45"/>
      <c r="AC14" s="21"/>
      <c r="AD14" s="45"/>
      <c r="AE14" s="21"/>
      <c r="AF14" s="45"/>
      <c r="AG14" s="21"/>
    </row>
    <row r="15" spans="2:33" x14ac:dyDescent="0.3">
      <c r="B15" s="30">
        <f t="shared" si="0"/>
        <v>12</v>
      </c>
      <c r="C15" s="32">
        <v>36</v>
      </c>
      <c r="D15" s="12" t="s">
        <v>55</v>
      </c>
      <c r="E15" s="18">
        <v>17455.900000000001</v>
      </c>
      <c r="F15" s="18">
        <f t="shared" si="2"/>
        <v>17096.34</v>
      </c>
      <c r="G15" s="49">
        <f t="shared" si="1"/>
        <v>359.56000000000131</v>
      </c>
      <c r="H15" s="48">
        <f t="shared" si="3"/>
        <v>0.9794018068389484</v>
      </c>
      <c r="I15" s="312" t="str" cm="1">
        <f t="array" ref="I15">IFERROR(LOOKUP(2,1/((MOD(COLUMN($K15:$AG15),2)=1)*($K15:$AG15&lt;&gt;"-")*($K15:$AG15&lt;&gt;"")),$K15:$AG15),"-")</f>
        <v>Concluída</v>
      </c>
      <c r="J15" s="45"/>
      <c r="K15" s="21"/>
      <c r="L15" s="45">
        <v>17096.34</v>
      </c>
      <c r="M15" s="21" t="s">
        <v>28</v>
      </c>
      <c r="N15" s="45"/>
      <c r="O15" s="21"/>
      <c r="P15" s="45"/>
      <c r="Q15" s="21"/>
      <c r="R15" s="45"/>
      <c r="S15" s="21"/>
      <c r="T15" s="45"/>
      <c r="U15" s="21"/>
      <c r="V15" s="45"/>
      <c r="W15" s="21"/>
      <c r="X15" s="45"/>
      <c r="Y15" s="21"/>
      <c r="Z15" s="45"/>
      <c r="AA15" s="21"/>
      <c r="AB15" s="45"/>
      <c r="AC15" s="21"/>
      <c r="AD15" s="45"/>
      <c r="AE15" s="21"/>
      <c r="AF15" s="45"/>
      <c r="AG15" s="21"/>
    </row>
    <row r="16" spans="2:33" x14ac:dyDescent="0.3">
      <c r="B16" s="30">
        <f t="shared" si="0"/>
        <v>13</v>
      </c>
      <c r="C16" s="32">
        <v>37</v>
      </c>
      <c r="D16" s="12" t="s">
        <v>56</v>
      </c>
      <c r="E16" s="18">
        <v>30315</v>
      </c>
      <c r="F16" s="18">
        <f t="shared" si="2"/>
        <v>30315</v>
      </c>
      <c r="G16" s="49">
        <f t="shared" si="1"/>
        <v>0</v>
      </c>
      <c r="H16" s="48">
        <f t="shared" si="3"/>
        <v>1</v>
      </c>
      <c r="I16" s="312" t="str" cm="1">
        <f t="array" ref="I16">IFERROR(LOOKUP(2,1/((MOD(COLUMN($K16:$AG16),2)=1)*($K16:$AG16&lt;&gt;"-")*($K16:$AG16&lt;&gt;"")),$K16:$AG16),"-")</f>
        <v>Concluída</v>
      </c>
      <c r="J16" s="45"/>
      <c r="K16" s="21"/>
      <c r="L16" s="45">
        <v>30315</v>
      </c>
      <c r="M16" s="21" t="s">
        <v>28</v>
      </c>
      <c r="N16" s="45"/>
      <c r="O16" s="21"/>
      <c r="P16" s="45"/>
      <c r="Q16" s="21"/>
      <c r="R16" s="45"/>
      <c r="S16" s="21"/>
      <c r="T16" s="45"/>
      <c r="U16" s="21"/>
      <c r="V16" s="45"/>
      <c r="W16" s="21"/>
      <c r="X16" s="45"/>
      <c r="Y16" s="21"/>
      <c r="Z16" s="45"/>
      <c r="AA16" s="21"/>
      <c r="AB16" s="45"/>
      <c r="AC16" s="21"/>
      <c r="AD16" s="45"/>
      <c r="AE16" s="21"/>
      <c r="AF16" s="45"/>
      <c r="AG16" s="21"/>
    </row>
    <row r="17" spans="2:33" x14ac:dyDescent="0.3">
      <c r="B17" s="30"/>
      <c r="C17" s="32">
        <v>38</v>
      </c>
      <c r="D17" s="12" t="s">
        <v>74</v>
      </c>
      <c r="E17" s="18">
        <v>392986.8</v>
      </c>
      <c r="F17" s="18">
        <f t="shared" si="2"/>
        <v>0</v>
      </c>
      <c r="G17" s="49">
        <f t="shared" si="1"/>
        <v>392986.8</v>
      </c>
      <c r="H17" s="48">
        <f t="shared" si="3"/>
        <v>0</v>
      </c>
      <c r="I17" s="312" t="str" cm="1">
        <f t="array" ref="I17">IFERROR(LOOKUP(2,1/((MOD(COLUMN($K17:$AG17),2)=1)*($K17:$AG17&lt;&gt;"-")*($K17:$AG17&lt;&gt;"")),$K17:$AG17),"-")</f>
        <v>-</v>
      </c>
      <c r="J17" s="45"/>
      <c r="K17" s="21"/>
      <c r="L17" s="45"/>
      <c r="M17" s="21"/>
      <c r="N17" s="45"/>
      <c r="O17" s="21"/>
      <c r="P17" s="45"/>
      <c r="Q17" s="21"/>
      <c r="R17" s="45"/>
      <c r="S17" s="21"/>
      <c r="T17" s="45"/>
      <c r="U17" s="21"/>
      <c r="V17" s="45"/>
      <c r="W17" s="21"/>
      <c r="X17" s="45"/>
      <c r="Y17" s="21"/>
      <c r="Z17" s="45"/>
      <c r="AA17" s="21"/>
      <c r="AB17" s="45"/>
      <c r="AC17" s="21"/>
      <c r="AD17" s="45"/>
      <c r="AE17" s="21"/>
      <c r="AF17" s="45"/>
      <c r="AG17" s="21"/>
    </row>
    <row r="18" spans="2:33" x14ac:dyDescent="0.3">
      <c r="B18" s="30"/>
      <c r="C18" s="32">
        <v>39</v>
      </c>
      <c r="D18" s="12" t="s">
        <v>74</v>
      </c>
      <c r="E18" s="18">
        <v>1257310.3500000001</v>
      </c>
      <c r="F18" s="18">
        <f t="shared" si="2"/>
        <v>0</v>
      </c>
      <c r="G18" s="49">
        <f t="shared" si="1"/>
        <v>1257310.3500000001</v>
      </c>
      <c r="H18" s="48">
        <f t="shared" si="3"/>
        <v>0</v>
      </c>
      <c r="I18" s="312" t="str" cm="1">
        <f t="array" ref="I18">IFERROR(LOOKUP(2,1/((MOD(COLUMN($K18:$AG18),2)=1)*($K18:$AG18&lt;&gt;"-")*($K18:$AG18&lt;&gt;"")),$K18:$AG18),"-")</f>
        <v>Cancelada</v>
      </c>
      <c r="J18" s="45"/>
      <c r="K18" s="21"/>
      <c r="L18" s="45"/>
      <c r="M18" s="21"/>
      <c r="N18" s="45">
        <v>0</v>
      </c>
      <c r="O18" s="21" t="s">
        <v>31</v>
      </c>
      <c r="P18" s="45">
        <v>0</v>
      </c>
      <c r="Q18" s="21" t="s">
        <v>34</v>
      </c>
      <c r="R18" s="45"/>
      <c r="S18" s="21"/>
      <c r="T18" s="45"/>
      <c r="U18" s="21"/>
      <c r="V18" s="45"/>
      <c r="W18" s="21"/>
      <c r="X18" s="45"/>
      <c r="Y18" s="21"/>
      <c r="Z18" s="45"/>
      <c r="AA18" s="21"/>
      <c r="AB18" s="45"/>
      <c r="AC18" s="21"/>
      <c r="AD18" s="45"/>
      <c r="AE18" s="21"/>
      <c r="AF18" s="45"/>
      <c r="AG18" s="21"/>
    </row>
    <row r="19" spans="2:33" x14ac:dyDescent="0.3">
      <c r="B19" s="30"/>
      <c r="C19" s="32">
        <v>40</v>
      </c>
      <c r="D19" s="12" t="s">
        <v>57</v>
      </c>
      <c r="E19" s="18">
        <v>33261.25</v>
      </c>
      <c r="F19" s="18">
        <f t="shared" si="2"/>
        <v>0</v>
      </c>
      <c r="G19" s="49">
        <f t="shared" si="1"/>
        <v>33261.25</v>
      </c>
      <c r="H19" s="48">
        <f t="shared" si="3"/>
        <v>0</v>
      </c>
      <c r="I19" s="312" t="str" cm="1">
        <f t="array" ref="I19">IFERROR(LOOKUP(2,1/((MOD(COLUMN($K19:$AG19),2)=1)*($K19:$AG19&lt;&gt;"-")*($K19:$AG19&lt;&gt;"")),$K19:$AG19),"-")</f>
        <v>Cancelada</v>
      </c>
      <c r="J19" s="45"/>
      <c r="K19" s="21"/>
      <c r="L19" s="45"/>
      <c r="M19" s="21"/>
      <c r="N19" s="45">
        <v>0</v>
      </c>
      <c r="O19" s="21" t="s">
        <v>31</v>
      </c>
      <c r="P19" s="45">
        <v>0</v>
      </c>
      <c r="Q19" s="21" t="s">
        <v>34</v>
      </c>
      <c r="R19" s="45"/>
      <c r="S19" s="21"/>
      <c r="T19" s="45"/>
      <c r="U19" s="21"/>
      <c r="V19" s="45"/>
      <c r="W19" s="21"/>
      <c r="X19" s="45"/>
      <c r="Y19" s="21"/>
      <c r="Z19" s="45"/>
      <c r="AA19" s="21"/>
      <c r="AB19" s="45"/>
      <c r="AC19" s="21"/>
      <c r="AD19" s="45"/>
      <c r="AE19" s="21"/>
      <c r="AF19" s="45"/>
      <c r="AG19" s="21"/>
    </row>
    <row r="20" spans="2:33" x14ac:dyDescent="0.3">
      <c r="B20" s="30"/>
      <c r="C20" s="32">
        <v>41</v>
      </c>
      <c r="D20" s="12" t="s">
        <v>74</v>
      </c>
      <c r="E20" s="18">
        <v>492940.26</v>
      </c>
      <c r="F20" s="18">
        <f t="shared" si="2"/>
        <v>427162.94</v>
      </c>
      <c r="G20" s="49">
        <f t="shared" si="1"/>
        <v>65777.320000000007</v>
      </c>
      <c r="H20" s="48">
        <f t="shared" si="3"/>
        <v>0.86656127458528143</v>
      </c>
      <c r="I20" s="312" t="str" cm="1">
        <f t="array" ref="I20">IFERROR(LOOKUP(2,1/((MOD(COLUMN($K20:$AG20),2)=1)*($K20:$AG20&lt;&gt;"-")*($K20:$AG20&lt;&gt;"")),$K20:$AG20),"-")</f>
        <v>Concluída</v>
      </c>
      <c r="J20" s="45"/>
      <c r="K20" s="21"/>
      <c r="L20" s="45"/>
      <c r="M20" s="21"/>
      <c r="N20" s="45">
        <v>348787.48</v>
      </c>
      <c r="O20" s="21" t="s">
        <v>26</v>
      </c>
      <c r="P20" s="45">
        <v>78375.460000000006</v>
      </c>
      <c r="Q20" s="21" t="s">
        <v>26</v>
      </c>
      <c r="R20" s="45">
        <v>0</v>
      </c>
      <c r="S20" s="21" t="s">
        <v>28</v>
      </c>
      <c r="T20" s="45"/>
      <c r="U20" s="21"/>
      <c r="V20" s="45"/>
      <c r="W20" s="21"/>
      <c r="X20" s="45"/>
      <c r="Y20" s="21"/>
      <c r="Z20" s="45"/>
      <c r="AA20" s="21"/>
      <c r="AB20" s="45"/>
      <c r="AC20" s="21"/>
      <c r="AD20" s="45"/>
      <c r="AE20" s="21"/>
      <c r="AF20" s="45"/>
      <c r="AG20" s="21"/>
    </row>
    <row r="21" spans="2:33" x14ac:dyDescent="0.3">
      <c r="B21" s="30"/>
      <c r="C21" s="32">
        <v>42</v>
      </c>
      <c r="D21" s="12" t="s">
        <v>57</v>
      </c>
      <c r="E21" s="18">
        <v>411709.24</v>
      </c>
      <c r="F21" s="18">
        <f t="shared" si="2"/>
        <v>257921.37</v>
      </c>
      <c r="G21" s="49">
        <f t="shared" si="1"/>
        <v>153787.87</v>
      </c>
      <c r="H21" s="48">
        <f t="shared" si="3"/>
        <v>0.62646485660608442</v>
      </c>
      <c r="I21" s="312" t="str" cm="1">
        <f t="array" ref="I21">IFERROR(LOOKUP(2,1/((MOD(COLUMN($K21:$AG21),2)=1)*($K21:$AG21&lt;&gt;"-")*($K21:$AG21&lt;&gt;"")),$K21:$AG21),"-")</f>
        <v>Concluída</v>
      </c>
      <c r="J21" s="45"/>
      <c r="K21" s="21"/>
      <c r="L21" s="45"/>
      <c r="M21" s="21"/>
      <c r="N21" s="45">
        <v>257921.37</v>
      </c>
      <c r="O21" s="21" t="s">
        <v>26</v>
      </c>
      <c r="P21" s="45">
        <v>0</v>
      </c>
      <c r="Q21" s="21" t="s">
        <v>28</v>
      </c>
      <c r="R21" s="45"/>
      <c r="S21" s="21"/>
      <c r="T21" s="45"/>
      <c r="U21" s="21"/>
      <c r="V21" s="45"/>
      <c r="W21" s="21"/>
      <c r="X21" s="45"/>
      <c r="Y21" s="21"/>
      <c r="Z21" s="45"/>
      <c r="AA21" s="21"/>
      <c r="AB21" s="45"/>
      <c r="AC21" s="21"/>
      <c r="AD21" s="45"/>
      <c r="AE21" s="21"/>
      <c r="AF21" s="45"/>
      <c r="AG21" s="21"/>
    </row>
    <row r="22" spans="2:33" x14ac:dyDescent="0.3">
      <c r="B22" s="30"/>
      <c r="C22" s="32">
        <v>43</v>
      </c>
      <c r="D22" s="12" t="s">
        <v>76</v>
      </c>
      <c r="E22" s="18">
        <v>277454.59999999998</v>
      </c>
      <c r="F22" s="18">
        <f t="shared" si="2"/>
        <v>99180.97</v>
      </c>
      <c r="G22" s="49">
        <f t="shared" si="1"/>
        <v>178273.62999999998</v>
      </c>
      <c r="H22" s="48">
        <f t="shared" si="3"/>
        <v>0.35746738385307003</v>
      </c>
      <c r="I22" s="312" t="str" cm="1">
        <f t="array" ref="I22">IFERROR(LOOKUP(2,1/((MOD(COLUMN($K22:$AG22),2)=1)*($K22:$AG22&lt;&gt;"-")*($K22:$AG22&lt;&gt;"")),$K22:$AG22),"-")</f>
        <v>Concluída</v>
      </c>
      <c r="J22" s="45"/>
      <c r="K22" s="21"/>
      <c r="L22" s="45"/>
      <c r="M22" s="21"/>
      <c r="N22" s="45"/>
      <c r="O22" s="21"/>
      <c r="P22" s="45">
        <v>99180.97</v>
      </c>
      <c r="Q22" s="21" t="s">
        <v>26</v>
      </c>
      <c r="R22" s="45">
        <v>0</v>
      </c>
      <c r="S22" s="21" t="s">
        <v>28</v>
      </c>
      <c r="T22" s="45"/>
      <c r="U22" s="21"/>
      <c r="V22" s="45"/>
      <c r="W22" s="21"/>
      <c r="X22" s="45"/>
      <c r="Y22" s="21"/>
      <c r="Z22" s="45"/>
      <c r="AA22" s="21"/>
      <c r="AB22" s="45"/>
      <c r="AC22" s="21"/>
      <c r="AD22" s="45"/>
      <c r="AE22" s="21"/>
      <c r="AF22" s="45"/>
      <c r="AG22" s="21"/>
    </row>
    <row r="23" spans="2:33" x14ac:dyDescent="0.3">
      <c r="B23" s="30"/>
      <c r="C23" s="32">
        <v>44</v>
      </c>
      <c r="D23" s="12" t="s">
        <v>696</v>
      </c>
      <c r="E23" s="18">
        <v>349716.53</v>
      </c>
      <c r="F23" s="18">
        <f t="shared" si="2"/>
        <v>349716.53</v>
      </c>
      <c r="G23" s="49">
        <f t="shared" si="1"/>
        <v>0</v>
      </c>
      <c r="H23" s="48">
        <f t="shared" si="3"/>
        <v>1</v>
      </c>
      <c r="I23" s="312" t="str" cm="1">
        <f t="array" ref="I23">IFERROR(LOOKUP(2,1/((MOD(COLUMN($K23:$AG23),2)=1)*($K23:$AG23&lt;&gt;"-")*($K23:$AG23&lt;&gt;"")),$K23:$AG23),"-")</f>
        <v>Concluída</v>
      </c>
      <c r="J23" s="45"/>
      <c r="K23" s="21"/>
      <c r="L23" s="45"/>
      <c r="M23" s="21"/>
      <c r="N23" s="45"/>
      <c r="O23" s="21"/>
      <c r="P23" s="45">
        <v>349716.53</v>
      </c>
      <c r="Q23" s="21" t="s">
        <v>28</v>
      </c>
      <c r="R23" s="45"/>
      <c r="S23" s="21"/>
      <c r="T23" s="45"/>
      <c r="U23" s="21"/>
      <c r="V23" s="45"/>
      <c r="W23" s="21"/>
      <c r="X23" s="45"/>
      <c r="Y23" s="21"/>
      <c r="Z23" s="45"/>
      <c r="AA23" s="21"/>
      <c r="AB23" s="45"/>
      <c r="AC23" s="21"/>
      <c r="AD23" s="45"/>
      <c r="AE23" s="21"/>
      <c r="AF23" s="45"/>
      <c r="AG23" s="21"/>
    </row>
    <row r="24" spans="2:33" x14ac:dyDescent="0.3">
      <c r="B24" s="30"/>
      <c r="C24" s="32">
        <v>45</v>
      </c>
      <c r="D24" s="12" t="s">
        <v>804</v>
      </c>
      <c r="E24" s="18">
        <v>355951.85</v>
      </c>
      <c r="F24" s="18">
        <f t="shared" si="2"/>
        <v>284761.49</v>
      </c>
      <c r="G24" s="49">
        <f t="shared" si="1"/>
        <v>71190.359999999986</v>
      </c>
      <c r="H24" s="48">
        <f t="shared" si="3"/>
        <v>0.80000002809368742</v>
      </c>
      <c r="I24" s="312" t="str" cm="1">
        <f t="array" ref="I24">IFERROR(LOOKUP(2,1/((MOD(COLUMN($K24:$AG24),2)=1)*($K24:$AG24&lt;&gt;"-")*($K24:$AG24&lt;&gt;"")),$K24:$AG24),"-")</f>
        <v>Concluída</v>
      </c>
      <c r="J24" s="45"/>
      <c r="K24" s="21"/>
      <c r="L24" s="45"/>
      <c r="M24" s="21"/>
      <c r="N24" s="45"/>
      <c r="O24" s="21"/>
      <c r="P24" s="45"/>
      <c r="Q24" s="21"/>
      <c r="R24" s="45"/>
      <c r="S24" s="21"/>
      <c r="T24" s="45">
        <v>284761.49</v>
      </c>
      <c r="U24" s="21" t="s">
        <v>28</v>
      </c>
      <c r="V24" s="45"/>
      <c r="W24" s="21"/>
      <c r="X24" s="45"/>
      <c r="Y24" s="21"/>
      <c r="Z24" s="45"/>
      <c r="AA24" s="21"/>
      <c r="AB24" s="45"/>
      <c r="AC24" s="21"/>
      <c r="AD24" s="45"/>
      <c r="AE24" s="21"/>
      <c r="AF24" s="45"/>
      <c r="AG24" s="21"/>
    </row>
    <row r="25" spans="2:33" x14ac:dyDescent="0.3">
      <c r="B25" s="30"/>
      <c r="C25" s="32">
        <v>46</v>
      </c>
      <c r="D25" s="12" t="s">
        <v>804</v>
      </c>
      <c r="E25" s="18">
        <v>85081.5</v>
      </c>
      <c r="F25" s="18">
        <f t="shared" si="2"/>
        <v>85081.5</v>
      </c>
      <c r="G25" s="49">
        <f t="shared" si="1"/>
        <v>0</v>
      </c>
      <c r="H25" s="48">
        <f t="shared" si="3"/>
        <v>1</v>
      </c>
      <c r="I25" s="312" t="str" cm="1">
        <f t="array" ref="I25">IFERROR(LOOKUP(2,1/((MOD(COLUMN($K25:$AG25),2)=1)*($K25:$AG25&lt;&gt;"-")*($K25:$AG25&lt;&gt;"")),$K25:$AG25),"-")</f>
        <v>Concluída</v>
      </c>
      <c r="J25" s="45"/>
      <c r="K25" s="21"/>
      <c r="L25" s="45"/>
      <c r="M25" s="21"/>
      <c r="N25" s="45"/>
      <c r="O25" s="21"/>
      <c r="P25" s="45"/>
      <c r="Q25" s="21"/>
      <c r="R25" s="45"/>
      <c r="S25" s="21"/>
      <c r="T25" s="45">
        <v>85081.5</v>
      </c>
      <c r="U25" s="21" t="s">
        <v>28</v>
      </c>
      <c r="V25" s="45"/>
      <c r="W25" s="21"/>
      <c r="X25" s="45"/>
      <c r="Y25" s="21"/>
      <c r="Z25" s="45"/>
      <c r="AA25" s="21"/>
      <c r="AB25" s="45"/>
      <c r="AC25" s="21"/>
      <c r="AD25" s="45"/>
      <c r="AE25" s="21"/>
      <c r="AF25" s="45"/>
      <c r="AG25" s="21"/>
    </row>
    <row r="26" spans="2:33" x14ac:dyDescent="0.3">
      <c r="B26" s="30"/>
      <c r="C26" s="32">
        <v>47</v>
      </c>
      <c r="D26" s="12" t="s">
        <v>695</v>
      </c>
      <c r="E26" s="18">
        <v>0</v>
      </c>
      <c r="F26" s="18">
        <f t="shared" si="2"/>
        <v>0</v>
      </c>
      <c r="G26" s="49">
        <f t="shared" si="1"/>
        <v>0</v>
      </c>
      <c r="H26" s="48" t="e">
        <f t="shared" si="3"/>
        <v>#DIV/0!</v>
      </c>
      <c r="I26" s="312" t="str" cm="1">
        <f t="array" ref="I26">IFERROR(LOOKUP(2,1/((MOD(COLUMN($K26:$AG26),2)=1)*($K26:$AG26&lt;&gt;"-")*($K26:$AG26&lt;&gt;"")),$K26:$AG26),"-")</f>
        <v>Cancelada</v>
      </c>
      <c r="J26" s="45"/>
      <c r="K26" s="21"/>
      <c r="L26" s="45"/>
      <c r="M26" s="21"/>
      <c r="N26" s="45"/>
      <c r="O26" s="21"/>
      <c r="P26" s="45"/>
      <c r="Q26" s="21"/>
      <c r="R26" s="45">
        <v>0</v>
      </c>
      <c r="S26" s="21" t="s">
        <v>77</v>
      </c>
      <c r="T26" s="45">
        <v>0</v>
      </c>
      <c r="U26" s="21" t="s">
        <v>34</v>
      </c>
      <c r="V26" s="45"/>
      <c r="W26" s="21"/>
      <c r="X26" s="45"/>
      <c r="Y26" s="21"/>
      <c r="Z26" s="45"/>
      <c r="AA26" s="21"/>
      <c r="AB26" s="45"/>
      <c r="AC26" s="21"/>
      <c r="AD26" s="45"/>
      <c r="AE26" s="21"/>
      <c r="AF26" s="45"/>
      <c r="AG26" s="21"/>
    </row>
    <row r="27" spans="2:33" x14ac:dyDescent="0.3">
      <c r="B27" s="30"/>
      <c r="C27" s="32">
        <v>48</v>
      </c>
      <c r="D27" s="12" t="s">
        <v>695</v>
      </c>
      <c r="E27" s="18">
        <v>0</v>
      </c>
      <c r="F27" s="18">
        <f t="shared" si="2"/>
        <v>0</v>
      </c>
      <c r="G27" s="49">
        <f t="shared" si="1"/>
        <v>0</v>
      </c>
      <c r="H27" s="48" t="e">
        <f t="shared" si="3"/>
        <v>#DIV/0!</v>
      </c>
      <c r="I27" s="312" t="str" cm="1">
        <f t="array" ref="I27">IFERROR(LOOKUP(2,1/((MOD(COLUMN($K27:$AG27),2)=1)*($K27:$AG27&lt;&gt;"-")*($K27:$AG27&lt;&gt;"")),$K27:$AG27),"-")</f>
        <v>Cancelada</v>
      </c>
      <c r="J27" s="45"/>
      <c r="K27" s="21"/>
      <c r="L27" s="45"/>
      <c r="M27" s="21"/>
      <c r="N27" s="45"/>
      <c r="O27" s="21"/>
      <c r="P27" s="45"/>
      <c r="Q27" s="21"/>
      <c r="R27" s="45">
        <v>0</v>
      </c>
      <c r="S27" s="21" t="s">
        <v>77</v>
      </c>
      <c r="T27" s="45">
        <v>0</v>
      </c>
      <c r="U27" s="21" t="s">
        <v>34</v>
      </c>
      <c r="V27" s="45"/>
      <c r="W27" s="21"/>
      <c r="X27" s="45"/>
      <c r="Y27" s="21"/>
      <c r="Z27" s="45"/>
      <c r="AA27" s="21"/>
      <c r="AB27" s="45"/>
      <c r="AC27" s="21"/>
      <c r="AD27" s="45"/>
      <c r="AE27" s="21"/>
      <c r="AF27" s="45"/>
      <c r="AG27" s="21"/>
    </row>
    <row r="28" spans="2:33" x14ac:dyDescent="0.3">
      <c r="B28" s="30">
        <f t="shared" si="0"/>
        <v>25</v>
      </c>
      <c r="C28" s="32">
        <v>49</v>
      </c>
      <c r="D28" s="12" t="s">
        <v>698</v>
      </c>
      <c r="E28" s="18">
        <v>999730.13</v>
      </c>
      <c r="F28" s="18">
        <f t="shared" si="2"/>
        <v>702353.9</v>
      </c>
      <c r="G28" s="49">
        <f t="shared" si="1"/>
        <v>297376.23</v>
      </c>
      <c r="H28" s="48">
        <f t="shared" si="3"/>
        <v>0.70254349541310712</v>
      </c>
      <c r="I28" s="312" t="str" cm="1">
        <f t="array" ref="I28">IFERROR(LOOKUP(2,1/((MOD(COLUMN($K28:$AG28),2)=1)*($K28:$AG28&lt;&gt;"-")*($K28:$AG28&lt;&gt;"")),$K28:$AG28),"-")</f>
        <v>Concluída</v>
      </c>
      <c r="J28" s="45"/>
      <c r="K28" s="21"/>
      <c r="L28" s="45"/>
      <c r="M28" s="21"/>
      <c r="N28" s="45"/>
      <c r="O28" s="21"/>
      <c r="P28" s="45"/>
      <c r="Q28" s="21"/>
      <c r="R28" s="45">
        <v>0</v>
      </c>
      <c r="S28" s="21" t="s">
        <v>31</v>
      </c>
      <c r="T28" s="45">
        <v>702353.9</v>
      </c>
      <c r="U28" s="21" t="s">
        <v>28</v>
      </c>
      <c r="V28" s="45"/>
      <c r="W28" s="21"/>
      <c r="X28" s="45"/>
      <c r="Y28" s="21"/>
      <c r="Z28" s="45"/>
      <c r="AA28" s="21"/>
      <c r="AB28" s="45"/>
      <c r="AC28" s="21"/>
      <c r="AD28" s="45"/>
      <c r="AE28" s="21"/>
      <c r="AF28" s="45"/>
      <c r="AG28" s="21"/>
    </row>
    <row r="29" spans="2:33" x14ac:dyDescent="0.3">
      <c r="B29" s="30">
        <f t="shared" si="0"/>
        <v>26</v>
      </c>
      <c r="C29" s="32">
        <v>50</v>
      </c>
      <c r="D29" s="12" t="s">
        <v>78</v>
      </c>
      <c r="E29" s="18">
        <v>37152.32</v>
      </c>
      <c r="F29" s="18">
        <f t="shared" si="2"/>
        <v>37152.32</v>
      </c>
      <c r="G29" s="49">
        <f t="shared" si="1"/>
        <v>0</v>
      </c>
      <c r="H29" s="48">
        <f t="shared" si="3"/>
        <v>1</v>
      </c>
      <c r="I29" s="312" t="str" cm="1">
        <f t="array" ref="I29">IFERROR(LOOKUP(2,1/((MOD(COLUMN($K29:$AG29),2)=1)*($K29:$AG29&lt;&gt;"-")*($K29:$AG29&lt;&gt;"")),$K29:$AG29),"-")</f>
        <v>Concluída</v>
      </c>
      <c r="J29" s="45"/>
      <c r="K29" s="21"/>
      <c r="L29" s="45"/>
      <c r="M29" s="21"/>
      <c r="N29" s="45"/>
      <c r="O29" s="21"/>
      <c r="P29" s="45"/>
      <c r="Q29" s="21"/>
      <c r="R29" s="45">
        <v>37152.32</v>
      </c>
      <c r="S29" s="21" t="s">
        <v>28</v>
      </c>
      <c r="T29" s="45"/>
      <c r="U29" s="21"/>
      <c r="V29" s="45"/>
      <c r="W29" s="21"/>
      <c r="X29" s="45"/>
      <c r="Y29" s="21"/>
      <c r="Z29" s="45"/>
      <c r="AA29" s="21"/>
      <c r="AB29" s="45"/>
      <c r="AC29" s="21"/>
      <c r="AD29" s="45"/>
      <c r="AE29" s="21"/>
      <c r="AF29" s="45"/>
      <c r="AG29" s="21"/>
    </row>
    <row r="30" spans="2:33" x14ac:dyDescent="0.3">
      <c r="B30" s="30">
        <f t="shared" si="0"/>
        <v>27</v>
      </c>
      <c r="C30" s="32">
        <v>51</v>
      </c>
      <c r="D30" s="12" t="s">
        <v>804</v>
      </c>
      <c r="E30" s="18">
        <v>30442.15</v>
      </c>
      <c r="F30" s="18">
        <f t="shared" si="2"/>
        <v>0</v>
      </c>
      <c r="G30" s="49">
        <f t="shared" si="1"/>
        <v>30442.15</v>
      </c>
      <c r="H30" s="48">
        <f t="shared" si="3"/>
        <v>0</v>
      </c>
      <c r="I30" s="312" t="str" cm="1">
        <f t="array" ref="I30">IFERROR(LOOKUP(2,1/((MOD(COLUMN($K30:$AG30),2)=1)*($K30:$AG30&lt;&gt;"-")*($K30:$AG30&lt;&gt;"")),$K30:$AG30),"-")</f>
        <v>Cancelada</v>
      </c>
      <c r="J30" s="45"/>
      <c r="K30" s="21"/>
      <c r="L30" s="45"/>
      <c r="M30" s="21"/>
      <c r="N30" s="45"/>
      <c r="O30" s="21"/>
      <c r="P30" s="45"/>
      <c r="Q30" s="21"/>
      <c r="R30" s="45"/>
      <c r="S30" s="21"/>
      <c r="T30" s="45">
        <v>0</v>
      </c>
      <c r="U30" s="21" t="s">
        <v>34</v>
      </c>
      <c r="V30" s="45"/>
      <c r="W30" s="21"/>
      <c r="X30" s="45"/>
      <c r="Y30" s="21"/>
      <c r="Z30" s="45"/>
      <c r="AA30" s="21"/>
      <c r="AB30" s="45"/>
      <c r="AC30" s="21"/>
      <c r="AD30" s="45"/>
      <c r="AE30" s="21"/>
      <c r="AF30" s="45"/>
      <c r="AG30" s="21"/>
    </row>
    <row r="31" spans="2:33" x14ac:dyDescent="0.3">
      <c r="B31" s="30">
        <f t="shared" si="0"/>
        <v>28</v>
      </c>
      <c r="C31" s="32">
        <v>52</v>
      </c>
      <c r="D31" s="12" t="s">
        <v>804</v>
      </c>
      <c r="E31" s="18">
        <v>18687.12</v>
      </c>
      <c r="F31" s="18">
        <f t="shared" si="2"/>
        <v>0</v>
      </c>
      <c r="G31" s="49">
        <f t="shared" si="1"/>
        <v>18687.12</v>
      </c>
      <c r="H31" s="48">
        <f t="shared" si="3"/>
        <v>0</v>
      </c>
      <c r="I31" s="312" t="str" cm="1">
        <f t="array" ref="I31">IFERROR(LOOKUP(2,1/((MOD(COLUMN($K31:$AG31),2)=1)*($K31:$AG31&lt;&gt;"-")*($K31:$AG31&lt;&gt;"")),$K31:$AG31),"-")</f>
        <v>Cancelada</v>
      </c>
      <c r="J31" s="45"/>
      <c r="K31" s="21"/>
      <c r="L31" s="45"/>
      <c r="M31" s="21"/>
      <c r="N31" s="45"/>
      <c r="O31" s="21"/>
      <c r="P31" s="45"/>
      <c r="Q31" s="21"/>
      <c r="R31" s="45"/>
      <c r="S31" s="21"/>
      <c r="T31" s="45">
        <v>0</v>
      </c>
      <c r="U31" s="21" t="s">
        <v>34</v>
      </c>
      <c r="V31" s="45"/>
      <c r="W31" s="21"/>
      <c r="X31" s="45"/>
      <c r="Y31" s="21"/>
      <c r="Z31" s="45"/>
      <c r="AA31" s="21"/>
      <c r="AB31" s="45"/>
      <c r="AC31" s="21"/>
      <c r="AD31" s="45"/>
      <c r="AE31" s="21"/>
      <c r="AF31" s="45"/>
      <c r="AG31" s="21"/>
    </row>
    <row r="32" spans="2:33" x14ac:dyDescent="0.3">
      <c r="B32" s="30">
        <f t="shared" si="0"/>
        <v>29</v>
      </c>
      <c r="C32" s="32">
        <v>53</v>
      </c>
      <c r="D32" s="12" t="s">
        <v>78</v>
      </c>
      <c r="E32" s="18">
        <v>1265622.23</v>
      </c>
      <c r="F32" s="18">
        <f t="shared" si="2"/>
        <v>1157211.4099999999</v>
      </c>
      <c r="G32" s="49">
        <f t="shared" si="1"/>
        <v>108410.82000000007</v>
      </c>
      <c r="H32" s="48">
        <f t="shared" si="3"/>
        <v>0.91434188067319266</v>
      </c>
      <c r="I32" s="312" t="str" cm="1">
        <f t="array" ref="I32">IFERROR(LOOKUP(2,1/((MOD(COLUMN($K32:$AG32),2)=1)*($K32:$AG32&lt;&gt;"-")*($K32:$AG32&lt;&gt;"")),$K32:$AG32),"-")</f>
        <v>Concluída</v>
      </c>
      <c r="J32" s="45"/>
      <c r="K32" s="21"/>
      <c r="L32" s="45"/>
      <c r="M32" s="21"/>
      <c r="N32" s="45"/>
      <c r="O32" s="21"/>
      <c r="P32" s="45"/>
      <c r="Q32" s="21"/>
      <c r="R32" s="45">
        <v>1157211.4099999999</v>
      </c>
      <c r="S32" s="21" t="s">
        <v>28</v>
      </c>
      <c r="T32" s="45"/>
      <c r="U32" s="21"/>
      <c r="V32" s="45"/>
      <c r="W32" s="21"/>
      <c r="X32" s="45"/>
      <c r="Y32" s="21"/>
      <c r="Z32" s="45"/>
      <c r="AA32" s="21"/>
      <c r="AB32" s="45"/>
      <c r="AC32" s="21"/>
      <c r="AD32" s="45"/>
      <c r="AE32" s="21"/>
      <c r="AF32" s="45"/>
      <c r="AG32" s="21"/>
    </row>
    <row r="33" spans="2:33" x14ac:dyDescent="0.3">
      <c r="B33" s="30">
        <f t="shared" si="0"/>
        <v>30</v>
      </c>
      <c r="C33" s="32">
        <v>54</v>
      </c>
      <c r="D33" s="12" t="s">
        <v>777</v>
      </c>
      <c r="E33" s="18">
        <v>0</v>
      </c>
      <c r="F33" s="18">
        <f t="shared" si="2"/>
        <v>0</v>
      </c>
      <c r="G33" s="49">
        <f t="shared" si="1"/>
        <v>0</v>
      </c>
      <c r="H33" s="48" t="e">
        <f t="shared" si="3"/>
        <v>#DIV/0!</v>
      </c>
      <c r="I33" s="312" t="str" cm="1">
        <f t="array" ref="I33">IFERROR(LOOKUP(2,1/((MOD(COLUMN($K33:$AG33),2)=1)*($K33:$AG33&lt;&gt;"-")*($K33:$AG33&lt;&gt;"")),$K33:$AG33),"-")</f>
        <v>Cancelada</v>
      </c>
      <c r="J33" s="45"/>
      <c r="K33" s="21"/>
      <c r="L33" s="45"/>
      <c r="M33" s="21"/>
      <c r="N33" s="45"/>
      <c r="O33" s="21"/>
      <c r="P33" s="45"/>
      <c r="Q33" s="21"/>
      <c r="R33" s="45"/>
      <c r="S33" s="21"/>
      <c r="T33" s="45">
        <v>0</v>
      </c>
      <c r="U33" s="21" t="s">
        <v>34</v>
      </c>
      <c r="V33" s="45"/>
      <c r="W33" s="21"/>
      <c r="X33" s="45"/>
      <c r="Y33" s="21"/>
      <c r="Z33" s="45"/>
      <c r="AA33" s="21"/>
      <c r="AB33" s="45"/>
      <c r="AC33" s="21"/>
      <c r="AD33" s="45"/>
      <c r="AE33" s="21"/>
      <c r="AF33" s="45"/>
      <c r="AG33" s="21"/>
    </row>
    <row r="34" spans="2:33" x14ac:dyDescent="0.3">
      <c r="B34" s="30">
        <f t="shared" si="0"/>
        <v>31</v>
      </c>
      <c r="C34" s="32">
        <v>55</v>
      </c>
      <c r="D34" s="12" t="s">
        <v>778</v>
      </c>
      <c r="E34" s="18">
        <v>0</v>
      </c>
      <c r="F34" s="18">
        <f t="shared" si="2"/>
        <v>0</v>
      </c>
      <c r="G34" s="49">
        <f t="shared" si="1"/>
        <v>0</v>
      </c>
      <c r="H34" s="48" t="e">
        <f t="shared" si="3"/>
        <v>#DIV/0!</v>
      </c>
      <c r="I34" s="312" t="str" cm="1">
        <f t="array" ref="I34">IFERROR(LOOKUP(2,1/((MOD(COLUMN($K34:$AG34),2)=1)*($K34:$AG34&lt;&gt;"-")*($K34:$AG34&lt;&gt;"")),$K34:$AG34),"-")</f>
        <v>Cancelada</v>
      </c>
      <c r="J34" s="45"/>
      <c r="K34" s="21"/>
      <c r="L34" s="45"/>
      <c r="M34" s="21"/>
      <c r="N34" s="45"/>
      <c r="O34" s="21"/>
      <c r="P34" s="45"/>
      <c r="Q34" s="21"/>
      <c r="R34" s="45"/>
      <c r="S34" s="21"/>
      <c r="T34" s="45"/>
      <c r="U34" s="21"/>
      <c r="V34" s="45"/>
      <c r="W34" s="21" t="s">
        <v>34</v>
      </c>
      <c r="X34" s="45"/>
      <c r="Y34" s="21"/>
      <c r="Z34" s="45"/>
      <c r="AA34" s="21"/>
      <c r="AB34" s="45"/>
      <c r="AC34" s="21"/>
      <c r="AD34" s="45"/>
      <c r="AE34" s="21"/>
      <c r="AF34" s="45"/>
      <c r="AG34" s="21"/>
    </row>
    <row r="35" spans="2:33" x14ac:dyDescent="0.3">
      <c r="B35" s="30">
        <f t="shared" si="0"/>
        <v>32</v>
      </c>
      <c r="C35" s="32">
        <v>56</v>
      </c>
      <c r="D35" s="12" t="s">
        <v>778</v>
      </c>
      <c r="E35" s="18">
        <v>0</v>
      </c>
      <c r="F35" s="18">
        <f t="shared" si="2"/>
        <v>0</v>
      </c>
      <c r="G35" s="49">
        <f t="shared" si="1"/>
        <v>0</v>
      </c>
      <c r="H35" s="48" t="e">
        <f t="shared" si="3"/>
        <v>#DIV/0!</v>
      </c>
      <c r="I35" s="312" t="str" cm="1">
        <f t="array" ref="I35">IFERROR(LOOKUP(2,1/((MOD(COLUMN($K35:$AG35),2)=1)*($K35:$AG35&lt;&gt;"-")*($K35:$AG35&lt;&gt;"")),$K35:$AG35),"-")</f>
        <v>Cancelada</v>
      </c>
      <c r="J35" s="45"/>
      <c r="K35" s="21"/>
      <c r="L35" s="45"/>
      <c r="M35" s="21"/>
      <c r="N35" s="45"/>
      <c r="O35" s="21"/>
      <c r="P35" s="45"/>
      <c r="Q35" s="21"/>
      <c r="R35" s="45"/>
      <c r="S35" s="21"/>
      <c r="T35" s="45"/>
      <c r="U35" s="21"/>
      <c r="V35" s="45"/>
      <c r="W35" s="21" t="s">
        <v>34</v>
      </c>
      <c r="X35" s="45"/>
      <c r="Y35" s="21"/>
      <c r="Z35" s="45"/>
      <c r="AA35" s="21"/>
      <c r="AB35" s="45"/>
      <c r="AC35" s="21"/>
      <c r="AD35" s="45"/>
      <c r="AE35" s="21"/>
      <c r="AF35" s="45"/>
      <c r="AG35" s="21"/>
    </row>
    <row r="36" spans="2:33" x14ac:dyDescent="0.3">
      <c r="B36" s="30">
        <f t="shared" si="0"/>
        <v>33</v>
      </c>
      <c r="C36" s="32">
        <v>57</v>
      </c>
      <c r="D36" s="12" t="s">
        <v>779</v>
      </c>
      <c r="E36" s="18">
        <v>0</v>
      </c>
      <c r="F36" s="18">
        <f t="shared" si="2"/>
        <v>0</v>
      </c>
      <c r="G36" s="49">
        <f t="shared" si="1"/>
        <v>0</v>
      </c>
      <c r="H36" s="48" t="e">
        <f t="shared" si="3"/>
        <v>#DIV/0!</v>
      </c>
      <c r="I36" s="312" t="str" cm="1">
        <f t="array" ref="I36">IFERROR(LOOKUP(2,1/((MOD(COLUMN($K36:$AG36),2)=1)*($K36:$AG36&lt;&gt;"-")*($K36:$AG36&lt;&gt;"")),$K36:$AG36),"-")</f>
        <v>Cancelada</v>
      </c>
      <c r="J36" s="45"/>
      <c r="K36" s="21"/>
      <c r="L36" s="45"/>
      <c r="M36" s="21"/>
      <c r="N36" s="45"/>
      <c r="O36" s="21"/>
      <c r="P36" s="45"/>
      <c r="Q36" s="21"/>
      <c r="R36" s="45"/>
      <c r="S36" s="21"/>
      <c r="T36" s="45"/>
      <c r="U36" s="21"/>
      <c r="V36" s="45"/>
      <c r="W36" s="21" t="s">
        <v>34</v>
      </c>
      <c r="X36" s="45"/>
      <c r="Y36" s="21"/>
      <c r="Z36" s="45"/>
      <c r="AA36" s="21"/>
      <c r="AB36" s="45"/>
      <c r="AC36" s="21"/>
      <c r="AD36" s="45"/>
      <c r="AE36" s="21"/>
      <c r="AF36" s="45"/>
      <c r="AG36" s="21"/>
    </row>
    <row r="37" spans="2:33" x14ac:dyDescent="0.3">
      <c r="B37" s="30">
        <f t="shared" si="0"/>
        <v>34</v>
      </c>
      <c r="C37" s="32">
        <v>58</v>
      </c>
      <c r="D37" s="12" t="s">
        <v>779</v>
      </c>
      <c r="E37" s="18">
        <v>0</v>
      </c>
      <c r="F37" s="18">
        <f t="shared" si="2"/>
        <v>0</v>
      </c>
      <c r="G37" s="49">
        <f t="shared" si="1"/>
        <v>0</v>
      </c>
      <c r="H37" s="48" t="e">
        <f t="shared" si="3"/>
        <v>#DIV/0!</v>
      </c>
      <c r="I37" s="312" t="str" cm="1">
        <f t="array" ref="I37">IFERROR(LOOKUP(2,1/((MOD(COLUMN($K37:$AG37),2)=1)*($K37:$AG37&lt;&gt;"-")*($K37:$AG37&lt;&gt;"")),$K37:$AG37),"-")</f>
        <v>Cancelada</v>
      </c>
      <c r="J37" s="45"/>
      <c r="K37" s="21"/>
      <c r="L37" s="45"/>
      <c r="M37" s="21"/>
      <c r="N37" s="45"/>
      <c r="O37" s="21"/>
      <c r="P37" s="45"/>
      <c r="Q37" s="21"/>
      <c r="R37" s="45"/>
      <c r="S37" s="21"/>
      <c r="T37" s="45"/>
      <c r="U37" s="21"/>
      <c r="V37" s="45"/>
      <c r="W37" s="21" t="s">
        <v>34</v>
      </c>
      <c r="X37" s="45"/>
      <c r="Y37" s="21"/>
      <c r="Z37" s="45"/>
      <c r="AA37" s="21"/>
      <c r="AB37" s="45"/>
      <c r="AC37" s="21"/>
      <c r="AD37" s="45"/>
      <c r="AE37" s="21"/>
      <c r="AF37" s="45"/>
      <c r="AG37" s="21"/>
    </row>
    <row r="38" spans="2:33" x14ac:dyDescent="0.3">
      <c r="B38" s="30"/>
      <c r="C38" s="32">
        <v>59</v>
      </c>
      <c r="D38" s="12" t="s">
        <v>778</v>
      </c>
      <c r="E38" s="18">
        <v>0</v>
      </c>
      <c r="F38" s="18">
        <f t="shared" si="2"/>
        <v>0</v>
      </c>
      <c r="G38" s="49">
        <f t="shared" si="1"/>
        <v>0</v>
      </c>
      <c r="H38" s="48" t="e">
        <f t="shared" si="3"/>
        <v>#DIV/0!</v>
      </c>
      <c r="I38" s="312" t="str" cm="1">
        <f t="array" ref="I38">IFERROR(LOOKUP(2,1/((MOD(COLUMN($K38:$AG38),2)=1)*($K38:$AG38&lt;&gt;"-")*($K38:$AG38&lt;&gt;"")),$K38:$AG38),"-")</f>
        <v>Cancelada</v>
      </c>
      <c r="J38" s="45"/>
      <c r="K38" s="21"/>
      <c r="L38" s="45"/>
      <c r="M38" s="21"/>
      <c r="N38" s="45"/>
      <c r="O38" s="21"/>
      <c r="P38" s="45"/>
      <c r="Q38" s="21"/>
      <c r="R38" s="45"/>
      <c r="S38" s="21"/>
      <c r="T38" s="45"/>
      <c r="U38" s="21"/>
      <c r="V38" s="45"/>
      <c r="W38" s="21" t="s">
        <v>34</v>
      </c>
      <c r="X38" s="45"/>
      <c r="Y38" s="21"/>
      <c r="Z38" s="45"/>
      <c r="AA38" s="21"/>
      <c r="AB38" s="45"/>
      <c r="AC38" s="21"/>
      <c r="AD38" s="45"/>
      <c r="AE38" s="21"/>
      <c r="AF38" s="45"/>
      <c r="AG38" s="21"/>
    </row>
    <row r="39" spans="2:33" s="334" customFormat="1" ht="16.2" thickBot="1" x14ac:dyDescent="0.35">
      <c r="B39" s="325"/>
      <c r="C39" s="326">
        <v>60</v>
      </c>
      <c r="D39" s="327" t="s">
        <v>779</v>
      </c>
      <c r="E39" s="328">
        <v>0</v>
      </c>
      <c r="F39" s="328">
        <f t="shared" si="2"/>
        <v>0</v>
      </c>
      <c r="G39" s="329">
        <f t="shared" si="1"/>
        <v>0</v>
      </c>
      <c r="H39" s="330" t="e">
        <f t="shared" si="3"/>
        <v>#DIV/0!</v>
      </c>
      <c r="I39" s="331" t="str" cm="1">
        <f t="array" ref="I39">IFERROR(LOOKUP(2,1/((MOD(COLUMN($K39:$AG39),2)=1)*($K39:$AG39&lt;&gt;"-")*($K39:$AG39&lt;&gt;"")),$K39:$AG39),"-")</f>
        <v>Cancelada</v>
      </c>
      <c r="J39" s="332"/>
      <c r="K39" s="333"/>
      <c r="L39" s="332"/>
      <c r="M39" s="333"/>
      <c r="N39" s="332"/>
      <c r="O39" s="333"/>
      <c r="P39" s="332"/>
      <c r="Q39" s="333"/>
      <c r="R39" s="332"/>
      <c r="S39" s="333"/>
      <c r="T39" s="332"/>
      <c r="U39" s="333"/>
      <c r="V39" s="332"/>
      <c r="W39" s="333" t="s">
        <v>34</v>
      </c>
      <c r="X39" s="332"/>
      <c r="Y39" s="333"/>
      <c r="Z39" s="332"/>
      <c r="AA39" s="333"/>
      <c r="AB39" s="332"/>
      <c r="AC39" s="333"/>
      <c r="AD39" s="332"/>
      <c r="AE39" s="333"/>
      <c r="AF39" s="332"/>
      <c r="AG39" s="333"/>
    </row>
    <row r="40" spans="2:33" x14ac:dyDescent="0.3">
      <c r="B40" s="30"/>
      <c r="C40" s="17">
        <v>1</v>
      </c>
      <c r="D40" s="318" t="s">
        <v>778</v>
      </c>
      <c r="E40" s="319">
        <v>46653.81</v>
      </c>
      <c r="F40" s="319">
        <f t="shared" si="2"/>
        <v>34263.85</v>
      </c>
      <c r="G40" s="320">
        <f t="shared" si="1"/>
        <v>12389.96</v>
      </c>
      <c r="H40" s="321">
        <f t="shared" si="3"/>
        <v>0.73442769197199542</v>
      </c>
      <c r="I40" s="322" t="str" cm="1">
        <f t="array" ref="I40">IFERROR(LOOKUP(2,1/((MOD(COLUMN($K40:$AG40),2)=1)*($K40:$AG40&lt;&gt;"-")*($K40:$AG40&lt;&gt;"")),$K40:$AG40),"-")</f>
        <v>Concluída</v>
      </c>
      <c r="J40" s="323"/>
      <c r="K40" s="324"/>
      <c r="L40" s="323"/>
      <c r="M40" s="324"/>
      <c r="N40" s="323"/>
      <c r="O40" s="324"/>
      <c r="P40" s="323"/>
      <c r="Q40" s="324"/>
      <c r="R40" s="323"/>
      <c r="S40" s="324"/>
      <c r="T40" s="323"/>
      <c r="U40" s="324"/>
      <c r="V40" s="323">
        <v>31912.65</v>
      </c>
      <c r="W40" s="324" t="s">
        <v>26</v>
      </c>
      <c r="X40" s="323">
        <v>2351.1999999999998</v>
      </c>
      <c r="Y40" s="324" t="s">
        <v>28</v>
      </c>
      <c r="Z40" s="323"/>
      <c r="AA40" s="324"/>
      <c r="AB40" s="323"/>
      <c r="AC40" s="324"/>
      <c r="AD40" s="323"/>
      <c r="AE40" s="324"/>
      <c r="AF40" s="323"/>
      <c r="AG40" s="324"/>
    </row>
    <row r="41" spans="2:33" x14ac:dyDescent="0.3">
      <c r="B41" s="30"/>
      <c r="C41" s="32">
        <v>2</v>
      </c>
      <c r="D41" s="12" t="s">
        <v>778</v>
      </c>
      <c r="E41" s="18">
        <v>46478.94</v>
      </c>
      <c r="F41" s="18">
        <f t="shared" si="2"/>
        <v>37135.129999999997</v>
      </c>
      <c r="G41" s="49">
        <f t="shared" si="1"/>
        <v>9343.8100000000049</v>
      </c>
      <c r="H41" s="48">
        <f t="shared" si="3"/>
        <v>0.79896680087798899</v>
      </c>
      <c r="I41" s="312" t="str" cm="1">
        <f t="array" ref="I41">IFERROR(LOOKUP(2,1/((MOD(COLUMN($K41:$AG41),2)=1)*($K41:$AG41&lt;&gt;"-")*($K41:$AG41&lt;&gt;"")),$K41:$AG41),"-")</f>
        <v>Concluída</v>
      </c>
      <c r="J41" s="45"/>
      <c r="K41" s="21"/>
      <c r="L41" s="45"/>
      <c r="M41" s="21"/>
      <c r="N41" s="45"/>
      <c r="O41" s="21"/>
      <c r="P41" s="45"/>
      <c r="Q41" s="21"/>
      <c r="R41" s="45"/>
      <c r="S41" s="21"/>
      <c r="T41" s="45"/>
      <c r="U41" s="21"/>
      <c r="V41" s="45"/>
      <c r="W41" s="21" t="s">
        <v>77</v>
      </c>
      <c r="X41" s="45">
        <v>37135.129999999997</v>
      </c>
      <c r="Y41" s="21" t="s">
        <v>28</v>
      </c>
      <c r="Z41" s="45"/>
      <c r="AA41" s="21"/>
      <c r="AB41" s="45"/>
      <c r="AC41" s="21"/>
      <c r="AD41" s="45"/>
      <c r="AE41" s="21"/>
      <c r="AF41" s="45"/>
      <c r="AG41" s="21"/>
    </row>
    <row r="42" spans="2:33" x14ac:dyDescent="0.3">
      <c r="B42" s="30"/>
      <c r="C42" s="32">
        <v>3</v>
      </c>
      <c r="D42" s="12" t="s">
        <v>779</v>
      </c>
      <c r="E42" s="18">
        <v>132042.38</v>
      </c>
      <c r="F42" s="18">
        <f t="shared" si="2"/>
        <v>26827.809999999998</v>
      </c>
      <c r="G42" s="49">
        <f t="shared" si="1"/>
        <v>105214.57</v>
      </c>
      <c r="H42" s="48">
        <f t="shared" si="3"/>
        <v>0.20317575311805192</v>
      </c>
      <c r="I42" s="312" t="str" cm="1">
        <f t="array" ref="I42">IFERROR(LOOKUP(2,1/((MOD(COLUMN($K42:$AG42),2)=1)*($K42:$AG42&lt;&gt;"-")*($K42:$AG42&lt;&gt;"")),$K42:$AG42),"-")</f>
        <v>Em andamento</v>
      </c>
      <c r="J42" s="45"/>
      <c r="K42" s="21"/>
      <c r="L42" s="45"/>
      <c r="M42" s="21"/>
      <c r="N42" s="45"/>
      <c r="O42" s="21"/>
      <c r="P42" s="45"/>
      <c r="Q42" s="21"/>
      <c r="R42" s="45"/>
      <c r="S42" s="21"/>
      <c r="T42" s="45"/>
      <c r="U42" s="21"/>
      <c r="V42" s="45">
        <v>21416.57</v>
      </c>
      <c r="W42" s="21" t="s">
        <v>26</v>
      </c>
      <c r="X42" s="45">
        <v>5411.24</v>
      </c>
      <c r="Y42" s="21" t="s">
        <v>26</v>
      </c>
      <c r="Z42" s="45"/>
      <c r="AA42" s="21"/>
      <c r="AB42" s="45"/>
      <c r="AC42" s="21"/>
      <c r="AD42" s="45"/>
      <c r="AE42" s="21"/>
      <c r="AF42" s="45"/>
      <c r="AG42" s="21"/>
    </row>
    <row r="43" spans="2:33" x14ac:dyDescent="0.3">
      <c r="B43" s="30"/>
      <c r="C43" s="32">
        <v>4</v>
      </c>
      <c r="D43" s="12" t="s">
        <v>796</v>
      </c>
      <c r="E43" s="18">
        <v>290967.96999999997</v>
      </c>
      <c r="F43" s="18">
        <f t="shared" si="2"/>
        <v>208759.13</v>
      </c>
      <c r="G43" s="49">
        <f t="shared" si="1"/>
        <v>82208.839999999967</v>
      </c>
      <c r="H43" s="48">
        <f t="shared" si="3"/>
        <v>0.71746429684339486</v>
      </c>
      <c r="I43" s="312" t="str" cm="1">
        <f t="array" ref="I43">IFERROR(LOOKUP(2,1/((MOD(COLUMN($K43:$AG43),2)=1)*($K43:$AG43&lt;&gt;"-")*($K43:$AG43&lt;&gt;"")),$K43:$AG43),"-")</f>
        <v>Em andamento</v>
      </c>
      <c r="J43" s="45"/>
      <c r="K43" s="21"/>
      <c r="L43" s="45"/>
      <c r="M43" s="21"/>
      <c r="N43" s="45"/>
      <c r="O43" s="21"/>
      <c r="P43" s="45"/>
      <c r="Q43" s="21"/>
      <c r="R43" s="45"/>
      <c r="S43" s="21"/>
      <c r="T43" s="45"/>
      <c r="U43" s="21"/>
      <c r="V43" s="45"/>
      <c r="W43" s="21"/>
      <c r="X43" s="45">
        <v>208759.13</v>
      </c>
      <c r="Y43" s="21" t="s">
        <v>26</v>
      </c>
      <c r="Z43" s="45"/>
      <c r="AA43" s="21" t="s">
        <v>26</v>
      </c>
      <c r="AB43" s="45"/>
      <c r="AC43" s="21"/>
      <c r="AD43" s="45"/>
      <c r="AE43" s="21"/>
      <c r="AF43" s="45"/>
      <c r="AG43" s="21"/>
    </row>
    <row r="44" spans="2:33" x14ac:dyDescent="0.3">
      <c r="B44" s="30"/>
      <c r="C44" s="32">
        <v>5</v>
      </c>
      <c r="D44" s="12" t="s">
        <v>779</v>
      </c>
      <c r="E44" s="18">
        <v>770799.13</v>
      </c>
      <c r="F44" s="18">
        <f t="shared" si="2"/>
        <v>521385.6</v>
      </c>
      <c r="G44" s="49">
        <f t="shared" si="1"/>
        <v>249413.53000000003</v>
      </c>
      <c r="H44" s="48">
        <f t="shared" si="3"/>
        <v>0.67642214385997035</v>
      </c>
      <c r="I44" s="312" t="str" cm="1">
        <f t="array" ref="I44">IFERROR(LOOKUP(2,1/((MOD(COLUMN($K44:$AG44),2)=1)*($K44:$AG44&lt;&gt;"-")*($K44:$AG44&lt;&gt;"")),$K44:$AG44),"-")</f>
        <v>Em andamento</v>
      </c>
      <c r="J44" s="45"/>
      <c r="K44" s="21"/>
      <c r="L44" s="45"/>
      <c r="M44" s="21"/>
      <c r="N44" s="45"/>
      <c r="O44" s="21"/>
      <c r="P44" s="45"/>
      <c r="Q44" s="21"/>
      <c r="R44" s="45"/>
      <c r="S44" s="21"/>
      <c r="T44" s="45"/>
      <c r="U44" s="21"/>
      <c r="V44" s="45">
        <v>520344.41</v>
      </c>
      <c r="W44" s="21" t="s">
        <v>26</v>
      </c>
      <c r="X44" s="45">
        <v>1041.19</v>
      </c>
      <c r="Y44" s="21" t="s">
        <v>26</v>
      </c>
      <c r="Z44" s="45"/>
      <c r="AA44" s="21"/>
      <c r="AB44" s="45"/>
      <c r="AC44" s="21"/>
      <c r="AD44" s="45"/>
      <c r="AE44" s="21"/>
      <c r="AF44" s="45"/>
      <c r="AG44" s="21"/>
    </row>
    <row r="45" spans="2:33" x14ac:dyDescent="0.3">
      <c r="B45" s="30"/>
      <c r="C45" s="32">
        <v>6</v>
      </c>
      <c r="D45" s="12" t="s">
        <v>779</v>
      </c>
      <c r="E45" s="18">
        <v>1298033.19</v>
      </c>
      <c r="F45" s="18">
        <f t="shared" si="2"/>
        <v>1235780.5900000001</v>
      </c>
      <c r="G45" s="49">
        <f t="shared" si="1"/>
        <v>62252.59999999986</v>
      </c>
      <c r="H45" s="48">
        <f t="shared" si="3"/>
        <v>0.95204082570492676</v>
      </c>
      <c r="I45" s="312" t="str" cm="1">
        <f t="array" ref="I45">IFERROR(LOOKUP(2,1/((MOD(COLUMN($K45:$AG45),2)=1)*($K45:$AG45&lt;&gt;"-")*($K45:$AG45&lt;&gt;"")),$K45:$AG45),"-")</f>
        <v>Em andamento</v>
      </c>
      <c r="J45" s="45"/>
      <c r="K45" s="21"/>
      <c r="L45" s="45"/>
      <c r="M45" s="21"/>
      <c r="N45" s="45"/>
      <c r="O45" s="21"/>
      <c r="P45" s="45"/>
      <c r="Q45" s="21"/>
      <c r="R45" s="45"/>
      <c r="S45" s="21"/>
      <c r="T45" s="45"/>
      <c r="U45" s="21"/>
      <c r="V45" s="45">
        <v>264610.45</v>
      </c>
      <c r="W45" s="21" t="s">
        <v>26</v>
      </c>
      <c r="X45" s="45">
        <v>971170.14</v>
      </c>
      <c r="Y45" s="21" t="s">
        <v>26</v>
      </c>
      <c r="Z45" s="45"/>
      <c r="AA45" s="21"/>
      <c r="AB45" s="45"/>
      <c r="AC45" s="21"/>
      <c r="AD45" s="45"/>
      <c r="AE45" s="21"/>
      <c r="AF45" s="45"/>
      <c r="AG45" s="21"/>
    </row>
    <row r="46" spans="2:33" x14ac:dyDescent="0.3">
      <c r="B46" s="30"/>
      <c r="C46" s="32">
        <v>7</v>
      </c>
      <c r="D46" s="12" t="s">
        <v>778</v>
      </c>
      <c r="E46" s="18">
        <v>94493.36</v>
      </c>
      <c r="F46" s="18">
        <f t="shared" si="2"/>
        <v>49943.73</v>
      </c>
      <c r="G46" s="49">
        <f t="shared" si="1"/>
        <v>44549.63</v>
      </c>
      <c r="H46" s="48">
        <f t="shared" si="3"/>
        <v>0.52854221714626304</v>
      </c>
      <c r="I46" s="312" t="str" cm="1">
        <f t="array" ref="I46">IFERROR(LOOKUP(2,1/((MOD(COLUMN($K46:$AG46),2)=1)*($K46:$AG46&lt;&gt;"-")*($K46:$AG46&lt;&gt;"")),$K46:$AG46),"-")</f>
        <v>Concluída</v>
      </c>
      <c r="J46" s="45"/>
      <c r="K46" s="21"/>
      <c r="L46" s="45"/>
      <c r="M46" s="21"/>
      <c r="N46" s="45"/>
      <c r="O46" s="21"/>
      <c r="P46" s="45"/>
      <c r="Q46" s="21"/>
      <c r="R46" s="45"/>
      <c r="S46" s="21"/>
      <c r="T46" s="45"/>
      <c r="U46" s="21"/>
      <c r="V46" s="45">
        <v>49943.73</v>
      </c>
      <c r="W46" s="21" t="s">
        <v>28</v>
      </c>
      <c r="X46" s="45"/>
      <c r="Y46" s="21"/>
      <c r="Z46" s="45"/>
      <c r="AA46" s="21"/>
      <c r="AB46" s="45"/>
      <c r="AC46" s="21"/>
      <c r="AD46" s="45"/>
      <c r="AE46" s="21"/>
      <c r="AF46" s="45"/>
      <c r="AG46" s="21"/>
    </row>
    <row r="47" spans="2:33" x14ac:dyDescent="0.3">
      <c r="B47" s="30"/>
      <c r="C47" s="32">
        <v>8</v>
      </c>
      <c r="D47" s="12" t="s">
        <v>796</v>
      </c>
      <c r="E47" s="18">
        <v>25646.7</v>
      </c>
      <c r="F47" s="18">
        <f t="shared" si="2"/>
        <v>0</v>
      </c>
      <c r="G47" s="49">
        <f t="shared" si="1"/>
        <v>25646.7</v>
      </c>
      <c r="H47" s="48">
        <f t="shared" si="3"/>
        <v>0</v>
      </c>
      <c r="I47" s="312" t="str" cm="1">
        <f t="array" ref="I47">IFERROR(LOOKUP(2,1/((MOD(COLUMN($K47:$AG47),2)=1)*($K47:$AG47&lt;&gt;"-")*($K47:$AG47&lt;&gt;"")),$K47:$AG47),"-")</f>
        <v>Justificada</v>
      </c>
      <c r="J47" s="45"/>
      <c r="K47" s="21"/>
      <c r="L47" s="45"/>
      <c r="M47" s="21"/>
      <c r="N47" s="45"/>
      <c r="O47" s="21"/>
      <c r="P47" s="45"/>
      <c r="Q47" s="21"/>
      <c r="R47" s="45"/>
      <c r="S47" s="21"/>
      <c r="T47" s="45"/>
      <c r="U47" s="21"/>
      <c r="V47" s="45"/>
      <c r="W47" s="21"/>
      <c r="X47" s="45"/>
      <c r="Y47" s="21" t="s">
        <v>31</v>
      </c>
      <c r="Z47" s="45"/>
      <c r="AA47" s="21"/>
      <c r="AB47" s="45"/>
      <c r="AC47" s="21"/>
      <c r="AD47" s="45"/>
      <c r="AE47" s="21"/>
      <c r="AF47" s="45"/>
      <c r="AG47" s="21"/>
    </row>
    <row r="48" spans="2:33" x14ac:dyDescent="0.3">
      <c r="B48" s="30"/>
      <c r="C48" s="32">
        <v>9</v>
      </c>
      <c r="D48" s="12" t="s">
        <v>796</v>
      </c>
      <c r="E48" s="18">
        <v>85383</v>
      </c>
      <c r="F48" s="18">
        <f t="shared" si="2"/>
        <v>0</v>
      </c>
      <c r="G48" s="49">
        <f t="shared" si="1"/>
        <v>85383</v>
      </c>
      <c r="H48" s="48">
        <f t="shared" si="3"/>
        <v>0</v>
      </c>
      <c r="I48" s="312" t="str" cm="1">
        <f t="array" ref="I48">IFERROR(LOOKUP(2,1/((MOD(COLUMN($K48:$AG48),2)=1)*($K48:$AG48&lt;&gt;"-")*($K48:$AG48&lt;&gt;"")),$K48:$AG48),"-")</f>
        <v>Justificada</v>
      </c>
      <c r="J48" s="45"/>
      <c r="K48" s="21"/>
      <c r="L48" s="45"/>
      <c r="M48" s="21"/>
      <c r="N48" s="45"/>
      <c r="O48" s="21"/>
      <c r="P48" s="45"/>
      <c r="Q48" s="21"/>
      <c r="R48" s="45"/>
      <c r="S48" s="21"/>
      <c r="T48" s="45"/>
      <c r="U48" s="21"/>
      <c r="V48" s="45"/>
      <c r="W48" s="21"/>
      <c r="X48" s="45"/>
      <c r="Y48" s="21" t="s">
        <v>31</v>
      </c>
      <c r="Z48" s="45"/>
      <c r="AA48" s="21"/>
      <c r="AB48" s="45"/>
      <c r="AC48" s="21"/>
      <c r="AD48" s="45"/>
      <c r="AE48" s="21"/>
      <c r="AF48" s="45"/>
      <c r="AG48" s="21"/>
    </row>
    <row r="49" spans="2:33" x14ac:dyDescent="0.3">
      <c r="B49" s="30"/>
      <c r="C49" s="32">
        <v>10</v>
      </c>
      <c r="D49" s="12" t="s">
        <v>781</v>
      </c>
      <c r="E49" s="18">
        <v>35515.54</v>
      </c>
      <c r="F49" s="18">
        <f t="shared" si="2"/>
        <v>0</v>
      </c>
      <c r="G49" s="49">
        <f t="shared" si="1"/>
        <v>35515.54</v>
      </c>
      <c r="H49" s="48">
        <f t="shared" si="3"/>
        <v>0</v>
      </c>
      <c r="I49" s="312" t="str" cm="1">
        <f t="array" ref="I49">IFERROR(LOOKUP(2,1/((MOD(COLUMN($K49:$AG49),2)=1)*($K49:$AG49&lt;&gt;"-")*($K49:$AG49&lt;&gt;"")),$K49:$AG49),"-")</f>
        <v>Justificada</v>
      </c>
      <c r="J49" s="45"/>
      <c r="K49" s="21"/>
      <c r="L49" s="45"/>
      <c r="M49" s="21"/>
      <c r="N49" s="45"/>
      <c r="O49" s="21"/>
      <c r="P49" s="45"/>
      <c r="Q49" s="21"/>
      <c r="R49" s="45"/>
      <c r="S49" s="21"/>
      <c r="T49" s="45"/>
      <c r="U49" s="21"/>
      <c r="V49" s="45"/>
      <c r="W49" s="21"/>
      <c r="X49" s="45"/>
      <c r="Y49" s="21" t="s">
        <v>31</v>
      </c>
      <c r="Z49" s="45"/>
      <c r="AA49" s="21"/>
      <c r="AB49" s="45"/>
      <c r="AC49" s="21"/>
      <c r="AD49" s="45"/>
      <c r="AE49" s="21"/>
      <c r="AF49" s="45"/>
      <c r="AG49" s="21"/>
    </row>
    <row r="50" spans="2:33" x14ac:dyDescent="0.3">
      <c r="B50" s="30"/>
      <c r="C50" s="32">
        <v>11</v>
      </c>
      <c r="D50" s="12" t="s">
        <v>840</v>
      </c>
      <c r="E50" s="18">
        <v>781651.02</v>
      </c>
      <c r="F50" s="18">
        <f t="shared" si="2"/>
        <v>0</v>
      </c>
      <c r="G50" s="49">
        <f t="shared" si="1"/>
        <v>781651.02</v>
      </c>
      <c r="H50" s="48">
        <f t="shared" si="3"/>
        <v>0</v>
      </c>
      <c r="I50" s="312" t="str" cm="1">
        <f t="array" ref="I50">IFERROR(LOOKUP(2,1/((MOD(COLUMN($K50:$AG50),2)=1)*($K50:$AG50&lt;&gt;"-")*($K50:$AG50&lt;&gt;"")),$K50:$AG50),"-")</f>
        <v>Correção Fiscal</v>
      </c>
      <c r="J50" s="45"/>
      <c r="K50" s="21"/>
      <c r="L50" s="45"/>
      <c r="M50" s="21"/>
      <c r="N50" s="45"/>
      <c r="O50" s="21"/>
      <c r="P50" s="45"/>
      <c r="Q50" s="21"/>
      <c r="R50" s="45"/>
      <c r="S50" s="21"/>
      <c r="T50" s="45"/>
      <c r="U50" s="21"/>
      <c r="V50" s="45"/>
      <c r="W50" s="21"/>
      <c r="X50" s="45"/>
      <c r="Y50" s="21"/>
      <c r="Z50" s="45"/>
      <c r="AA50" s="21" t="s">
        <v>811</v>
      </c>
      <c r="AB50" s="45"/>
      <c r="AC50" s="21"/>
      <c r="AD50" s="45"/>
      <c r="AE50" s="21"/>
      <c r="AF50" s="45"/>
      <c r="AG50" s="21"/>
    </row>
    <row r="51" spans="2:33" x14ac:dyDescent="0.3">
      <c r="B51" s="30"/>
      <c r="C51" s="32">
        <v>12</v>
      </c>
      <c r="D51" s="12" t="s">
        <v>839</v>
      </c>
      <c r="E51" s="18">
        <v>0</v>
      </c>
      <c r="F51" s="18">
        <f t="shared" si="2"/>
        <v>0</v>
      </c>
      <c r="G51" s="49">
        <f t="shared" si="1"/>
        <v>0</v>
      </c>
      <c r="H51" s="48" t="e">
        <f t="shared" si="3"/>
        <v>#DIV/0!</v>
      </c>
      <c r="I51" s="312" t="str" cm="1">
        <f t="array" ref="I51">IFERROR(LOOKUP(2,1/((MOD(COLUMN($K51:$AG51),2)=1)*($K51:$AG51&lt;&gt;"-")*($K51:$AG51&lt;&gt;"")),$K51:$AG51),"-")</f>
        <v>Correção Fiscal</v>
      </c>
      <c r="J51" s="45"/>
      <c r="K51" s="21"/>
      <c r="L51" s="45"/>
      <c r="M51" s="21"/>
      <c r="N51" s="45"/>
      <c r="O51" s="21"/>
      <c r="P51" s="45"/>
      <c r="Q51" s="21"/>
      <c r="R51" s="45"/>
      <c r="S51" s="21"/>
      <c r="T51" s="45"/>
      <c r="U51" s="21"/>
      <c r="V51" s="45"/>
      <c r="W51" s="21"/>
      <c r="X51" s="45"/>
      <c r="Y51" s="21"/>
      <c r="Z51" s="45"/>
      <c r="AA51" s="21" t="s">
        <v>811</v>
      </c>
      <c r="AB51" s="45"/>
      <c r="AC51" s="21"/>
      <c r="AD51" s="45"/>
      <c r="AE51" s="21"/>
      <c r="AF51" s="45"/>
      <c r="AG51" s="21"/>
    </row>
    <row r="52" spans="2:33" x14ac:dyDescent="0.3">
      <c r="B52" s="30"/>
      <c r="C52" s="32">
        <v>13</v>
      </c>
      <c r="D52" s="12" t="s">
        <v>796</v>
      </c>
      <c r="E52" s="18">
        <v>511761.32</v>
      </c>
      <c r="F52" s="18">
        <f t="shared" si="2"/>
        <v>0</v>
      </c>
      <c r="G52" s="49">
        <f t="shared" si="1"/>
        <v>511761.32</v>
      </c>
      <c r="H52" s="48">
        <f t="shared" si="3"/>
        <v>0</v>
      </c>
      <c r="I52" s="312" t="str" cm="1">
        <f t="array" ref="I52">IFERROR(LOOKUP(2,1/((MOD(COLUMN($K52:$AG52),2)=1)*($K52:$AG52&lt;&gt;"-")*($K52:$AG52&lt;&gt;"")),$K52:$AG52),"-")</f>
        <v>Correção Fiscal</v>
      </c>
      <c r="J52" s="45"/>
      <c r="K52" s="21"/>
      <c r="L52" s="45"/>
      <c r="M52" s="21"/>
      <c r="N52" s="45"/>
      <c r="O52" s="21"/>
      <c r="P52" s="45"/>
      <c r="Q52" s="21"/>
      <c r="R52" s="45"/>
      <c r="S52" s="21"/>
      <c r="T52" s="45"/>
      <c r="U52" s="21"/>
      <c r="V52" s="45"/>
      <c r="W52" s="21"/>
      <c r="X52" s="45"/>
      <c r="Y52" s="21" t="s">
        <v>811</v>
      </c>
      <c r="Z52" s="45"/>
      <c r="AA52" s="21"/>
      <c r="AB52" s="45"/>
      <c r="AC52" s="21"/>
      <c r="AD52" s="45"/>
      <c r="AE52" s="21"/>
      <c r="AF52" s="45"/>
      <c r="AG52" s="21"/>
    </row>
    <row r="53" spans="2:33" x14ac:dyDescent="0.3">
      <c r="B53" s="30"/>
      <c r="C53" s="32">
        <v>14</v>
      </c>
      <c r="D53" s="12" t="s">
        <v>781</v>
      </c>
      <c r="E53" s="18">
        <v>0</v>
      </c>
      <c r="F53" s="18">
        <f t="shared" si="2"/>
        <v>0</v>
      </c>
      <c r="G53" s="49">
        <f t="shared" si="1"/>
        <v>0</v>
      </c>
      <c r="H53" s="48" t="e">
        <f t="shared" si="3"/>
        <v>#DIV/0!</v>
      </c>
      <c r="I53" s="312" t="str" cm="1">
        <f t="array" ref="I53">IFERROR(LOOKUP(2,1/((MOD(COLUMN($K53:$AG53),2)=1)*($K53:$AG53&lt;&gt;"-")*($K53:$AG53&lt;&gt;"")),$K53:$AG53),"-")</f>
        <v>Em elaboração</v>
      </c>
      <c r="J53" s="45"/>
      <c r="K53" s="21"/>
      <c r="L53" s="45"/>
      <c r="M53" s="21"/>
      <c r="N53" s="45"/>
      <c r="O53" s="21"/>
      <c r="P53" s="45"/>
      <c r="Q53" s="21"/>
      <c r="R53" s="45"/>
      <c r="S53" s="21"/>
      <c r="T53" s="45"/>
      <c r="U53" s="21"/>
      <c r="V53" s="45"/>
      <c r="W53" s="21"/>
      <c r="X53" s="45"/>
      <c r="Y53" s="21" t="s">
        <v>77</v>
      </c>
      <c r="Z53" s="45"/>
      <c r="AA53" s="21"/>
      <c r="AB53" s="45"/>
      <c r="AC53" s="21"/>
      <c r="AD53" s="45"/>
      <c r="AE53" s="21"/>
      <c r="AF53" s="45"/>
      <c r="AG53" s="21"/>
    </row>
    <row r="54" spans="2:33" x14ac:dyDescent="0.3">
      <c r="B54" s="30"/>
      <c r="C54" s="32">
        <v>15</v>
      </c>
      <c r="D54" s="12" t="s">
        <v>840</v>
      </c>
      <c r="E54" s="18">
        <v>0</v>
      </c>
      <c r="F54" s="18">
        <f t="shared" ref="F54" si="4">SUM(J54,L54,N54,P54,R54,T54,V54,X54,Z54,AB54,AD54,AF54)</f>
        <v>0</v>
      </c>
      <c r="G54" s="49">
        <f t="shared" ref="G54" si="5">E54-F54</f>
        <v>0</v>
      </c>
      <c r="H54" s="48" t="e">
        <f t="shared" si="3"/>
        <v>#DIV/0!</v>
      </c>
      <c r="I54" s="312" t="str" cm="1">
        <f t="array" ref="I54">IFERROR(LOOKUP(2,1/((MOD(COLUMN($K54:$AG54),2)=1)*($K54:$AG54&lt;&gt;"-")*($K54:$AG54&lt;&gt;"")),$K54:$AG54),"-")</f>
        <v>Em elaboração</v>
      </c>
      <c r="J54" s="45"/>
      <c r="K54" s="21"/>
      <c r="L54" s="45"/>
      <c r="M54" s="21"/>
      <c r="N54" s="45"/>
      <c r="O54" s="21"/>
      <c r="P54" s="45"/>
      <c r="Q54" s="21"/>
      <c r="R54" s="45"/>
      <c r="S54" s="21"/>
      <c r="T54" s="45"/>
      <c r="U54" s="21"/>
      <c r="V54" s="45"/>
      <c r="W54" s="21"/>
      <c r="X54" s="45"/>
      <c r="Y54" s="21"/>
      <c r="Z54" s="45"/>
      <c r="AA54" s="21" t="s">
        <v>77</v>
      </c>
      <c r="AB54" s="45"/>
      <c r="AC54" s="21"/>
      <c r="AD54" s="45"/>
      <c r="AE54" s="21"/>
      <c r="AF54" s="45"/>
      <c r="AG54" s="21"/>
    </row>
    <row r="55" spans="2:33" x14ac:dyDescent="0.3">
      <c r="B55" s="30"/>
      <c r="C55" s="32">
        <v>16</v>
      </c>
      <c r="D55" s="12" t="s">
        <v>840</v>
      </c>
      <c r="E55" s="18">
        <v>0</v>
      </c>
      <c r="F55" s="18">
        <f t="shared" ref="F55" si="6">SUM(J55,L55,N55,P55,R55,T55,V55,X55,Z55,AB55,AD55,AF55)</f>
        <v>0</v>
      </c>
      <c r="G55" s="49">
        <f t="shared" ref="G55" si="7">E55-F55</f>
        <v>0</v>
      </c>
      <c r="H55" s="48" t="e">
        <f t="shared" si="3"/>
        <v>#DIV/0!</v>
      </c>
      <c r="I55" s="312" t="str" cm="1">
        <f t="array" ref="I55">IFERROR(LOOKUP(2,1/((MOD(COLUMN($K55:$AG55),2)=1)*($K55:$AG55&lt;&gt;"-")*($K55:$AG55&lt;&gt;"")),$K55:$AG55),"-")</f>
        <v>Em elaboração</v>
      </c>
      <c r="J55" s="45"/>
      <c r="K55" s="21"/>
      <c r="L55" s="45"/>
      <c r="M55" s="21"/>
      <c r="N55" s="45"/>
      <c r="O55" s="21"/>
      <c r="P55" s="45"/>
      <c r="Q55" s="21"/>
      <c r="R55" s="45"/>
      <c r="S55" s="21"/>
      <c r="T55" s="45"/>
      <c r="U55" s="21"/>
      <c r="V55" s="45"/>
      <c r="W55" s="21"/>
      <c r="X55" s="45"/>
      <c r="Y55" s="21"/>
      <c r="Z55" s="45"/>
      <c r="AA55" s="21" t="s">
        <v>77</v>
      </c>
      <c r="AB55" s="45"/>
      <c r="AC55" s="21"/>
      <c r="AD55" s="45"/>
      <c r="AE55" s="21"/>
      <c r="AF55" s="45"/>
      <c r="AG55" s="21"/>
    </row>
    <row r="56" spans="2:33" x14ac:dyDescent="0.3">
      <c r="B56" s="30"/>
      <c r="C56" s="32">
        <v>17</v>
      </c>
      <c r="D56" s="12" t="s">
        <v>781</v>
      </c>
      <c r="E56" s="18">
        <v>0</v>
      </c>
      <c r="F56" s="18">
        <f t="shared" ref="F56" si="8">SUM(J56,L56,N56,P56,R56,T56,V56,X56,Z56,AB56,AD56,AF56)</f>
        <v>0</v>
      </c>
      <c r="G56" s="49">
        <f t="shared" ref="G56" si="9">E56-F56</f>
        <v>0</v>
      </c>
      <c r="H56" s="48" t="e">
        <f t="shared" si="3"/>
        <v>#DIV/0!</v>
      </c>
      <c r="I56" s="312" t="str" cm="1">
        <f t="array" ref="I56">IFERROR(LOOKUP(2,1/((MOD(COLUMN($K56:$AG56),2)=1)*($K56:$AG56&lt;&gt;"-")*($K56:$AG56&lt;&gt;"")),$K56:$AG56),"-")</f>
        <v>Em elaboração</v>
      </c>
      <c r="J56" s="45"/>
      <c r="K56" s="21"/>
      <c r="L56" s="45"/>
      <c r="M56" s="21"/>
      <c r="N56" s="45"/>
      <c r="O56" s="21"/>
      <c r="P56" s="45"/>
      <c r="Q56" s="21"/>
      <c r="R56" s="45"/>
      <c r="S56" s="21"/>
      <c r="T56" s="45"/>
      <c r="U56" s="21"/>
      <c r="V56" s="45"/>
      <c r="W56" s="21"/>
      <c r="X56" s="45"/>
      <c r="Y56" s="21" t="s">
        <v>77</v>
      </c>
      <c r="Z56" s="45"/>
      <c r="AA56" s="21"/>
      <c r="AB56" s="45"/>
      <c r="AC56" s="21"/>
      <c r="AD56" s="45"/>
      <c r="AE56" s="21"/>
      <c r="AF56" s="45"/>
      <c r="AG56" s="21"/>
    </row>
    <row r="57" spans="2:33" x14ac:dyDescent="0.3">
      <c r="B57" s="30"/>
      <c r="C57" s="32">
        <v>18</v>
      </c>
      <c r="D57" s="12" t="s">
        <v>839</v>
      </c>
      <c r="E57" s="18">
        <v>0</v>
      </c>
      <c r="F57" s="18">
        <f t="shared" ref="F57" si="10">SUM(J57,L57,N57,P57,R57,T57,V57,X57,Z57,AB57,AD57,AF57)</f>
        <v>0</v>
      </c>
      <c r="G57" s="49">
        <f t="shared" ref="G57" si="11">E57-F57</f>
        <v>0</v>
      </c>
      <c r="H57" s="48" t="e">
        <f t="shared" ref="H57" si="12">F57/E57</f>
        <v>#DIV/0!</v>
      </c>
      <c r="I57" s="312" t="str" cm="1">
        <f t="array" ref="I57">IFERROR(LOOKUP(2,1/((MOD(COLUMN($K57:$AG57),2)=1)*($K57:$AG57&lt;&gt;"-")*($K57:$AG57&lt;&gt;"")),$K57:$AG57),"-")</f>
        <v>Em elaboração</v>
      </c>
      <c r="J57" s="45"/>
      <c r="K57" s="21"/>
      <c r="L57" s="45"/>
      <c r="M57" s="21"/>
      <c r="N57" s="45"/>
      <c r="O57" s="21"/>
      <c r="P57" s="45"/>
      <c r="Q57" s="21"/>
      <c r="R57" s="45"/>
      <c r="S57" s="21"/>
      <c r="T57" s="45"/>
      <c r="U57" s="21"/>
      <c r="V57" s="45"/>
      <c r="W57" s="21"/>
      <c r="X57" s="45"/>
      <c r="Y57" s="21"/>
      <c r="Z57" s="45"/>
      <c r="AA57" s="21" t="s">
        <v>77</v>
      </c>
      <c r="AB57" s="45"/>
      <c r="AC57" s="21"/>
      <c r="AD57" s="45"/>
      <c r="AE57" s="21"/>
      <c r="AF57" s="45"/>
      <c r="AG57" s="21"/>
    </row>
    <row r="58" spans="2:33" x14ac:dyDescent="0.3">
      <c r="B58" s="30"/>
      <c r="C58" s="32">
        <v>19</v>
      </c>
      <c r="D58" s="12" t="s">
        <v>840</v>
      </c>
      <c r="E58" s="18">
        <v>0</v>
      </c>
      <c r="F58" s="18">
        <f t="shared" ref="F58:F59" si="13">SUM(J58,L58,N58,P58,R58,T58,V58,X58,Z58,AB58,AD58,AF58)</f>
        <v>0</v>
      </c>
      <c r="G58" s="49">
        <f t="shared" ref="G58:G59" si="14">E58-F58</f>
        <v>0</v>
      </c>
      <c r="H58" s="48" t="e">
        <f t="shared" ref="H58:H59" si="15">F58/E58</f>
        <v>#DIV/0!</v>
      </c>
      <c r="I58" s="312" t="str" cm="1">
        <f t="array" ref="I58">IFERROR(LOOKUP(2,1/((MOD(COLUMN($K58:$AG58),2)=1)*($K58:$AG58&lt;&gt;"-")*($K58:$AG58&lt;&gt;"")),$K58:$AG58),"-")</f>
        <v>Em elaboração</v>
      </c>
      <c r="J58" s="45"/>
      <c r="K58" s="21"/>
      <c r="L58" s="45"/>
      <c r="M58" s="21"/>
      <c r="N58" s="45"/>
      <c r="O58" s="21"/>
      <c r="P58" s="45"/>
      <c r="Q58" s="21"/>
      <c r="R58" s="45"/>
      <c r="S58" s="21"/>
      <c r="T58" s="45"/>
      <c r="U58" s="21"/>
      <c r="V58" s="45"/>
      <c r="W58" s="21"/>
      <c r="X58" s="45"/>
      <c r="Y58" s="21"/>
      <c r="Z58" s="45"/>
      <c r="AA58" s="21" t="s">
        <v>77</v>
      </c>
      <c r="AB58" s="45"/>
      <c r="AC58" s="21"/>
      <c r="AD58" s="45"/>
      <c r="AE58" s="21"/>
      <c r="AF58" s="45"/>
      <c r="AG58" s="21"/>
    </row>
    <row r="59" spans="2:33" x14ac:dyDescent="0.3">
      <c r="B59" s="30"/>
      <c r="C59" s="32">
        <v>20</v>
      </c>
      <c r="D59" s="12" t="s">
        <v>839</v>
      </c>
      <c r="E59" s="18">
        <v>61825.52</v>
      </c>
      <c r="F59" s="18">
        <f t="shared" si="13"/>
        <v>0</v>
      </c>
      <c r="G59" s="49">
        <f t="shared" si="14"/>
        <v>61825.52</v>
      </c>
      <c r="H59" s="48">
        <f t="shared" si="15"/>
        <v>0</v>
      </c>
      <c r="I59" s="312" t="str" cm="1">
        <f t="array" ref="I59">IFERROR(LOOKUP(2,1/((MOD(COLUMN($K59:$AG59),2)=1)*($K59:$AG59&lt;&gt;"-")*($K59:$AG59&lt;&gt;"")),$K59:$AG59),"-")</f>
        <v>Correção Fiscal</v>
      </c>
      <c r="J59" s="45"/>
      <c r="K59" s="21"/>
      <c r="L59" s="45"/>
      <c r="M59" s="21"/>
      <c r="N59" s="45"/>
      <c r="O59" s="21"/>
      <c r="P59" s="45"/>
      <c r="Q59" s="21"/>
      <c r="R59" s="45"/>
      <c r="S59" s="21"/>
      <c r="T59" s="45"/>
      <c r="U59" s="21"/>
      <c r="V59" s="45"/>
      <c r="W59" s="21"/>
      <c r="X59" s="45"/>
      <c r="Y59" s="21"/>
      <c r="Z59" s="45"/>
      <c r="AA59" s="21" t="s">
        <v>811</v>
      </c>
      <c r="AB59" s="45"/>
      <c r="AC59" s="21"/>
      <c r="AD59" s="45"/>
      <c r="AE59" s="21"/>
      <c r="AF59" s="45"/>
      <c r="AG59" s="21"/>
    </row>
    <row r="60" spans="2:33" ht="28.8" customHeight="1" x14ac:dyDescent="0.3">
      <c r="B60" s="17"/>
      <c r="C60" s="32"/>
      <c r="D60" s="12"/>
      <c r="E60" s="18"/>
      <c r="F60" s="18"/>
      <c r="G60" s="18"/>
      <c r="H60" s="22"/>
      <c r="I60" s="35"/>
      <c r="J60" s="45"/>
      <c r="K60" s="21"/>
      <c r="L60" s="45"/>
      <c r="M60" s="21"/>
      <c r="N60" s="19"/>
      <c r="O60" s="21"/>
      <c r="P60" s="19"/>
      <c r="Q60" s="21"/>
      <c r="R60" s="19"/>
      <c r="S60" s="21"/>
      <c r="T60" s="19"/>
      <c r="U60" s="20"/>
      <c r="V60" s="19"/>
      <c r="W60" s="20"/>
      <c r="X60" s="19"/>
      <c r="Y60" s="20"/>
      <c r="Z60" s="19"/>
      <c r="AA60" s="20"/>
      <c r="AB60" s="19"/>
      <c r="AC60" s="20"/>
      <c r="AD60" s="19"/>
      <c r="AE60" s="20"/>
      <c r="AF60" s="19"/>
      <c r="AG60" s="20"/>
    </row>
  </sheetData>
  <mergeCells count="13">
    <mergeCell ref="AF2:AG2"/>
    <mergeCell ref="T2:U2"/>
    <mergeCell ref="V2:W2"/>
    <mergeCell ref="X2:Y2"/>
    <mergeCell ref="Z2:AA2"/>
    <mergeCell ref="AB2:AC2"/>
    <mergeCell ref="AD2:AE2"/>
    <mergeCell ref="R2:S2"/>
    <mergeCell ref="B2:I2"/>
    <mergeCell ref="J2:K2"/>
    <mergeCell ref="L2:M2"/>
    <mergeCell ref="N2:O2"/>
    <mergeCell ref="P2:Q2"/>
  </mergeCells>
  <conditionalFormatting sqref="H60">
    <cfRule type="colorScale" priority="53">
      <colorScale>
        <cfvo type="min"/>
        <cfvo type="percentile" val="50"/>
        <cfvo type="max"/>
        <color rgb="FFC00000"/>
        <color rgb="FFFFFF00"/>
        <color rgb="FF92D050"/>
      </colorScale>
    </cfRule>
  </conditionalFormatting>
  <conditionalFormatting sqref="H4:H59">
    <cfRule type="colorScale" priority="54">
      <colorScale>
        <cfvo type="min"/>
        <cfvo type="percentile" val="50"/>
        <cfvo type="max"/>
        <color rgb="FFC00000"/>
        <color rgb="FFFFFF00"/>
        <color rgb="FF92D050"/>
      </colorScale>
    </cfRule>
  </conditionalFormatting>
  <pageMargins left="0.7" right="0.7" top="0.75" bottom="0.75" header="0.3" footer="0.3"/>
  <pageSetup paperSize="9" orientation="landscape" r:id="rId1"/>
  <ignoredErrors>
    <ignoredError sqref="H26:H27 H33:H39" evalError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BEAB205A-980A-4F87-BE77-6D5A774DF851}">
            <xm:f>NOT(ISERROR(SEARCH('Tabelas Auxiliares'!$M$8,I4)))</xm:f>
            <xm:f>'Tabelas Auxiliares'!$M$8</xm:f>
            <x14:dxf>
              <fill>
                <patternFill>
                  <fgColor rgb="FFFF0000"/>
                  <bgColor rgb="FFFF0000"/>
                </patternFill>
              </fill>
            </x14:dxf>
          </x14:cfRule>
          <x14:cfRule type="containsText" priority="4" operator="containsText" id="{59F2C886-D807-4233-8D76-375163FEF649}">
            <xm:f>NOT(ISERROR(SEARCH('Tabelas Auxiliares'!$M$7,I4)))</xm:f>
            <xm:f>'Tabelas Auxiliares'!$M$7</xm:f>
            <x14:dxf>
              <fill>
                <patternFill>
                  <fgColor rgb="FFFFFF00"/>
                  <bgColor rgb="FFFFFF00"/>
                </patternFill>
              </fill>
            </x14:dxf>
          </x14:cfRule>
          <x14:cfRule type="containsText" priority="5" operator="containsText" id="{A2A17BBB-A471-4549-8DB3-55098BB4907A}">
            <xm:f>NOT(ISERROR(SEARCH('Tabelas Auxiliares'!$M$6,I4)))</xm:f>
            <xm:f>'Tabelas Auxiliares'!$M$6</xm:f>
            <x14:dxf>
              <fill>
                <patternFill>
                  <fgColor rgb="FF92D050"/>
                  <bgColor rgb="FF92D050"/>
                </patternFill>
              </fill>
            </x14:dxf>
          </x14:cfRule>
          <x14:cfRule type="containsText" priority="6" operator="containsText" id="{9400A52B-0E0F-4DEF-B704-C48D7B50A7C2}">
            <xm:f>NOT(ISERROR(SEARCH('Tabelas Auxiliares'!$M$5,I4)))</xm:f>
            <xm:f>'Tabelas Auxiliares'!$M$5</xm:f>
            <x14:dxf>
              <fill>
                <patternFill>
                  <fgColor rgb="FF00B0F0"/>
                  <bgColor rgb="FF00B0F0"/>
                </patternFill>
              </fill>
            </x14:dxf>
          </x14:cfRule>
          <x14:cfRule type="containsText" priority="7" operator="containsText" id="{35A7C637-8DF0-4981-889B-3D33E51A13A9}">
            <xm:f>NOT(ISERROR(SEARCH('Tabelas Auxiliares'!$M$4,I4)))</xm:f>
            <xm:f>'Tabelas Auxiliares'!$M$4</xm:f>
            <x14:dxf>
              <font>
                <color rgb="FF000000"/>
              </font>
              <fill>
                <patternFill patternType="solid">
                  <fgColor indexed="64"/>
                  <bgColor rgb="FFFFFFFF"/>
                </patternFill>
              </fill>
            </x14:dxf>
          </x14:cfRule>
          <xm:sqref>I4:I60</xm:sqref>
        </x14:conditionalFormatting>
        <x14:conditionalFormatting xmlns:xm="http://schemas.microsoft.com/office/excel/2006/main">
          <x14:cfRule type="containsText" priority="12" operator="containsText" id="{FCE223D7-5889-4685-BE04-6B5811813F77}">
            <xm:f>NOT(ISERROR(SEARCH('Tabelas Auxiliares'!$M$9,I4)))</xm:f>
            <xm:f>'Tabelas Auxiliares'!$M$9</xm:f>
            <x14:dxf>
              <font>
                <color rgb="FFFFFFFF"/>
              </font>
              <fill>
                <patternFill patternType="solid">
                  <fgColor indexed="64"/>
                  <bgColor rgb="FF7030A0"/>
                </patternFill>
              </fill>
            </x14:dxf>
          </x14:cfRule>
          <xm:sqref>I4:I60</xm:sqref>
        </x14:conditionalFormatting>
        <x14:conditionalFormatting xmlns:xm="http://schemas.microsoft.com/office/excel/2006/main">
          <x14:cfRule type="containsText" priority="55" operator="containsText" id="{566965E9-A118-4FA9-B5B6-245059700B0C}">
            <xm:f>NOT(ISERROR(SEARCH('Tabelas Auxiliares'!$M$10,I4)))</xm:f>
            <xm:f>'Tabelas Auxiliares'!$M$10</xm:f>
            <x14:dxf>
              <font>
                <color rgb="FFFFFFFF"/>
              </font>
              <fill>
                <patternFill patternType="solid">
                  <fgColor indexed="64"/>
                  <bgColor rgb="FFED7D31"/>
                </patternFill>
              </fill>
            </x14:dxf>
          </x14:cfRule>
          <xm:sqref>I4:I60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6A297DC-2885-4AFD-B13E-05969DC269B1}">
          <x14:formula1>
            <xm:f>'Tabelas Auxiliares'!$M$4:$M$11</xm:f>
          </x14:formula1>
          <xm:sqref>AE4:AE60 AG4:AG60 K4:K60 O4:O60 Q4:Q60 M4:M60 U4:U60 S4:S60 W4:W60 AA4:AA60 AC4:AC60 Y4:Y60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D2490-C7CA-40F5-84A1-F15F2F218531}">
  <sheetPr codeName="Planilha8"/>
  <dimension ref="A1:N14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I19" sqref="I19"/>
    </sheetView>
  </sheetViews>
  <sheetFormatPr defaultRowHeight="15.6" x14ac:dyDescent="0.3"/>
  <cols>
    <col min="1" max="1" width="3.796875" customWidth="1"/>
    <col min="2" max="2" width="9.765625E-2" customWidth="1"/>
    <col min="3" max="3" width="10.19921875" customWidth="1"/>
    <col min="4" max="4" width="17.09765625" customWidth="1"/>
    <col min="5" max="5" width="9.3984375" customWidth="1"/>
    <col min="6" max="6" width="12.19921875" bestFit="1" customWidth="1"/>
    <col min="7" max="7" width="18.69921875" customWidth="1"/>
    <col min="8" max="8" width="10.8984375" customWidth="1"/>
    <col min="9" max="9" width="53.69921875" customWidth="1"/>
    <col min="10" max="10" width="28.19921875" customWidth="1"/>
    <col min="11" max="11" width="17.5" bestFit="1" customWidth="1"/>
    <col min="12" max="12" width="16" bestFit="1" customWidth="1"/>
    <col min="13" max="13" width="68.59765625" customWidth="1"/>
  </cols>
  <sheetData>
    <row r="1" spans="1:14" ht="16.2" thickBot="1" x14ac:dyDescent="0.35"/>
    <row r="2" spans="1:14" ht="58.2" customHeight="1" thickBot="1" x14ac:dyDescent="0.35">
      <c r="B2" s="301" t="s">
        <v>704</v>
      </c>
      <c r="C2" s="302"/>
      <c r="D2" s="302"/>
      <c r="E2" s="302"/>
      <c r="F2" s="302"/>
      <c r="G2" s="302"/>
      <c r="H2" s="302"/>
      <c r="I2" s="302"/>
      <c r="J2" s="302"/>
      <c r="K2" s="302"/>
      <c r="L2" s="302"/>
      <c r="M2" s="303"/>
    </row>
    <row r="3" spans="1:14" ht="62.4" customHeight="1" thickBot="1" x14ac:dyDescent="0.4">
      <c r="A3" s="1"/>
      <c r="B3" s="24" t="s">
        <v>3</v>
      </c>
      <c r="C3" s="25" t="s">
        <v>4</v>
      </c>
      <c r="D3" s="25" t="s">
        <v>5</v>
      </c>
      <c r="E3" s="25" t="s">
        <v>6</v>
      </c>
      <c r="F3" s="25" t="s">
        <v>7</v>
      </c>
      <c r="G3" s="25" t="s">
        <v>40</v>
      </c>
      <c r="H3" s="25" t="s">
        <v>8</v>
      </c>
      <c r="I3" s="25" t="s">
        <v>0</v>
      </c>
      <c r="J3" s="25" t="s">
        <v>9</v>
      </c>
      <c r="K3" s="25" t="s">
        <v>1</v>
      </c>
      <c r="L3" s="25" t="s">
        <v>10</v>
      </c>
      <c r="M3" s="23" t="s">
        <v>46</v>
      </c>
      <c r="N3" s="2"/>
    </row>
    <row r="4" spans="1:14" ht="46.8" x14ac:dyDescent="0.35">
      <c r="A4" s="1"/>
      <c r="B4" s="29">
        <f>'REGIÃO 14 - HISTÓRICO'!B4</f>
        <v>1</v>
      </c>
      <c r="C4" s="87" t="s">
        <v>12</v>
      </c>
      <c r="D4" s="27" t="str">
        <f>_xlfn.XLOOKUP(tbResumoR14[[#This Row],[REGIÃO]],tbRegioes[Código Região],tbRegioes[Contrato],"")</f>
        <v>034.2025</v>
      </c>
      <c r="E4" s="26">
        <f>'REGIÃO 14 - HISTÓRICO'!C4</f>
        <v>3</v>
      </c>
      <c r="F4" s="88" t="s">
        <v>59</v>
      </c>
      <c r="G4" s="182" t="str">
        <f>'REGIÃO 14 - HISTÓRICO'!D4</f>
        <v>jan</v>
      </c>
      <c r="H4" s="8">
        <v>28</v>
      </c>
      <c r="I4" s="83" t="str">
        <f>IF(tbResumoR14[[#This Row],[N° TRECHO]]="","",IFERROR(INDEX('REGIÃO 01 - TRECHOS'!$F$4:$F$119,MATCH(tbResumoR14[[#This Row],[N° TRECHO]],'REGIÃO 01 - TRECHOS'!$E$4:$E$119,0)),IFERROR(INDEX('REGIÃO 02 - TRECHOS'!$F$4:$F$76,MATCH(tbResumoR14[[#This Row],[N° TRECHO]],'REGIÃO 02 - TRECHOS'!$E$4:$E$76,0)),IFERROR(INDEX('REGIÃO 03 - TRECHOS'!$F$4:$F$53,MATCH(tbResumoR14[[#This Row],[N° TRECHO]],'REGIÃO 03 - TRECHOS'!$E$4:$E$53,0)),"Trecho não cadastrado"))))</f>
        <v>RODOVIA TO-403 - TRECHO SAMPAIO - ENTR. TO-404 (ITAÚBA)</v>
      </c>
      <c r="J4" s="85" t="s">
        <v>831</v>
      </c>
      <c r="K4" s="9">
        <f>'REGIÃO 14 - HISTÓRICO'!E4</f>
        <v>1396628.4</v>
      </c>
      <c r="L4" s="8" t="str">
        <f>'REGIÃO 14 - HISTÓRICO'!I4</f>
        <v>Concluída</v>
      </c>
      <c r="M4" s="34"/>
      <c r="N4" s="2"/>
    </row>
    <row r="5" spans="1:14" ht="62.4" x14ac:dyDescent="0.35">
      <c r="A5" s="1"/>
      <c r="B5" s="33">
        <f>'REGIÃO 14 - HISTÓRICO'!B5</f>
        <v>0</v>
      </c>
      <c r="C5" s="87" t="s">
        <v>12</v>
      </c>
      <c r="D5" s="195" t="str">
        <f>_xlfn.XLOOKUP(tbResumoR14[[#This Row],[REGIÃO]],tbRegioes[Código Região],tbRegioes[Contrato],"")</f>
        <v>034.2025</v>
      </c>
      <c r="E5" s="202">
        <f>'REGIÃO 14 - HISTÓRICO'!C5</f>
        <v>4</v>
      </c>
      <c r="F5" s="197" t="s">
        <v>61</v>
      </c>
      <c r="G5" s="182" t="str">
        <f>'REGIÃO 14 - HISTÓRICO'!D5</f>
        <v>mar/abr/mai</v>
      </c>
      <c r="H5" s="8">
        <v>32</v>
      </c>
      <c r="I5" s="199" t="str">
        <f>IF(tbResumoR14[[#This Row],[N° TRECHO]]="","",IFERROR(INDEX('REGIÃO 01 - TRECHOS'!$F$4:$F$119,MATCH(tbResumoR14[[#This Row],[N° TRECHO]],'REGIÃO 01 - TRECHOS'!$E$4:$E$119,0)),IFERROR(INDEX('REGIÃO 02 - TRECHOS'!$F$4:$F$76,MATCH(tbResumoR14[[#This Row],[N° TRECHO]],'REGIÃO 02 - TRECHOS'!$E$4:$E$76,0)),IFERROR(INDEX('REGIÃO 03 - TRECHOS'!$F$4:$F$53,MATCH(tbResumoR14[[#This Row],[N° TRECHO]],'REGIÃO 03 - TRECHOS'!$E$4:$E$53,0)),"Trecho não cadastrado"))))</f>
        <v>RODOVIA TO-407 - TRECHO CARRASCO BONITO - ENTR. TO-201 (POVOADO CENTRO DOS FIRMINOS)</v>
      </c>
      <c r="J5" s="85" t="s">
        <v>832</v>
      </c>
      <c r="K5" s="9">
        <f>'REGIÃO 14 - HISTÓRICO'!E5</f>
        <v>3094881.92</v>
      </c>
      <c r="L5" s="201" t="str">
        <f>'REGIÃO 14 - HISTÓRICO'!I5</f>
        <v>Concluída</v>
      </c>
      <c r="M5" s="192"/>
      <c r="N5" s="2"/>
    </row>
    <row r="6" spans="1:14" ht="33" customHeight="1" x14ac:dyDescent="0.3">
      <c r="B6" s="33">
        <f>'REGIÃO 14 - HISTÓRICO'!B6</f>
        <v>0</v>
      </c>
      <c r="C6" s="87" t="s">
        <v>12</v>
      </c>
      <c r="D6" s="195" t="str">
        <f>_xlfn.XLOOKUP(tbResumoR14[[#This Row],[REGIÃO]],tbRegioes[Código Região],tbRegioes[Contrato],"")</f>
        <v>034.2025</v>
      </c>
      <c r="E6" s="202">
        <f>'REGIÃO 14 - HISTÓRICO'!C6</f>
        <v>5</v>
      </c>
      <c r="F6" s="197"/>
      <c r="G6" s="182"/>
      <c r="H6" s="8"/>
      <c r="I6" s="199" t="str">
        <f>IF(tbResumoR14[[#This Row],[N° TRECHO]]="","",IFERROR(INDEX('REGIÃO 01 - TRECHOS'!$F$4:$F$119,MATCH(tbResumoR14[[#This Row],[N° TRECHO]],'REGIÃO 01 - TRECHOS'!$E$4:$E$119,0)),IFERROR(INDEX('REGIÃO 02 - TRECHOS'!$F$4:$F$76,MATCH(tbResumoR14[[#This Row],[N° TRECHO]],'REGIÃO 02 - TRECHOS'!$E$4:$E$76,0)),IFERROR(INDEX('REGIÃO 03 - TRECHOS'!$F$4:$F$53,MATCH(tbResumoR14[[#This Row],[N° TRECHO]],'REGIÃO 03 - TRECHOS'!$E$4:$E$53,0)),"Trecho não cadastrado"))))</f>
        <v/>
      </c>
      <c r="J6" s="85"/>
      <c r="K6" s="9">
        <f>'REGIÃO 14 - HISTÓRICO'!E6</f>
        <v>0</v>
      </c>
      <c r="L6" s="201" t="str">
        <f>'REGIÃO 14 - HISTÓRICO'!I6</f>
        <v>-</v>
      </c>
      <c r="M6" s="192"/>
    </row>
    <row r="7" spans="1:14" x14ac:dyDescent="0.3">
      <c r="B7" s="33">
        <f>'REGIÃO 14 - HISTÓRICO'!B7</f>
        <v>0</v>
      </c>
      <c r="C7" s="87" t="s">
        <v>12</v>
      </c>
      <c r="D7" s="195" t="str">
        <f>_xlfn.XLOOKUP(tbResumoR14[[#This Row],[REGIÃO]],tbRegioes[Código Região],tbRegioes[Contrato],"")</f>
        <v>034.2025</v>
      </c>
      <c r="E7" s="202">
        <f>'REGIÃO 14 - HISTÓRICO'!C7</f>
        <v>6</v>
      </c>
      <c r="F7" s="197"/>
      <c r="G7" s="182"/>
      <c r="H7" s="8"/>
      <c r="I7" s="199" t="str">
        <f>IF(tbResumoR14[[#This Row],[N° TRECHO]]="","",IFERROR(INDEX('REGIÃO 01 - TRECHOS'!$F$4:$F$119,MATCH(tbResumoR14[[#This Row],[N° TRECHO]],'REGIÃO 01 - TRECHOS'!$E$4:$E$119,0)),IFERROR(INDEX('REGIÃO 02 - TRECHOS'!$F$4:$F$76,MATCH(tbResumoR14[[#This Row],[N° TRECHO]],'REGIÃO 02 - TRECHOS'!$E$4:$E$76,0)),IFERROR(INDEX('REGIÃO 03 - TRECHOS'!$F$4:$F$53,MATCH(tbResumoR14[[#This Row],[N° TRECHO]],'REGIÃO 03 - TRECHOS'!$E$4:$E$53,0)),"Trecho não cadastrado"))))</f>
        <v/>
      </c>
      <c r="J7" s="85"/>
      <c r="K7" s="9">
        <f>'REGIÃO 14 - HISTÓRICO'!E7</f>
        <v>0</v>
      </c>
      <c r="L7" s="201" t="str">
        <f>'REGIÃO 14 - HISTÓRICO'!I7</f>
        <v>-</v>
      </c>
      <c r="M7" s="192"/>
    </row>
    <row r="8" spans="1:14" ht="62.4" x14ac:dyDescent="0.3">
      <c r="B8" s="33">
        <f>'REGIÃO 14 - HISTÓRICO'!B8</f>
        <v>0</v>
      </c>
      <c r="C8" s="87" t="s">
        <v>12</v>
      </c>
      <c r="D8" s="27" t="str">
        <f>_xlfn.XLOOKUP(tbResumoR14[[#This Row],[REGIÃO]],tbRegioes[Código Região],tbRegioes[Contrato],"")</f>
        <v>034.2025</v>
      </c>
      <c r="E8" s="26">
        <f>'REGIÃO 14 - HISTÓRICO'!C8</f>
        <v>7</v>
      </c>
      <c r="F8" s="85" t="s">
        <v>63</v>
      </c>
      <c r="G8" s="183" t="str">
        <f>'REGIÃO 14 - HISTÓRICO'!D8</f>
        <v>mai/jun</v>
      </c>
      <c r="H8" s="8">
        <v>9</v>
      </c>
      <c r="I8" s="83" t="str">
        <f>IF(tbResumoR14[[#This Row],[N° TRECHO]]="","",IFERROR(INDEX('REGIÃO 01 - TRECHOS'!$F$4:$F$119,MATCH(tbResumoR14[[#This Row],[N° TRECHO]],'REGIÃO 01 - TRECHOS'!$E$4:$E$119,0)),IFERROR(INDEX('REGIÃO 02 - TRECHOS'!$F$4:$F$76,MATCH(tbResumoR14[[#This Row],[N° TRECHO]],'REGIÃO 02 - TRECHOS'!$E$4:$E$76,0)),IFERROR(INDEX('REGIÃO 03 - TRECHOS'!$F$4:$F$53,MATCH(tbResumoR14[[#This Row],[N° TRECHO]],'REGIÃO 03 - TRECHOS'!$E$4:$E$53,0)),"Trecho não cadastrado"))))</f>
        <v>RODOVIA TO-126 - TRECHO SUMAUMA - SÍTIO NOVO DO TOCANTINS</v>
      </c>
      <c r="J8" s="85" t="s">
        <v>832</v>
      </c>
      <c r="K8" s="9">
        <f>'REGIÃO 14 - HISTÓRICO'!E8</f>
        <v>5042910.09</v>
      </c>
      <c r="L8" s="8" t="str">
        <f>'REGIÃO 14 - HISTÓRICO'!I8</f>
        <v>Concluída</v>
      </c>
      <c r="M8" s="184"/>
    </row>
    <row r="9" spans="1:14" ht="31.2" x14ac:dyDescent="0.3">
      <c r="B9" s="33">
        <f>'REGIÃO 14 - HISTÓRICO'!B9</f>
        <v>0</v>
      </c>
      <c r="C9" s="87" t="s">
        <v>12</v>
      </c>
      <c r="D9" s="27" t="str">
        <f>_xlfn.XLOOKUP(tbResumoR14[[#This Row],[REGIÃO]],tbRegioes[Código Região],tbRegioes[Contrato],"")</f>
        <v>034.2025</v>
      </c>
      <c r="E9" s="26">
        <f>'REGIÃO 14 - HISTÓRICO'!C9</f>
        <v>8</v>
      </c>
      <c r="F9" s="85" t="s">
        <v>775</v>
      </c>
      <c r="G9" s="182" t="str">
        <f>'REGIÃO 14 - HISTÓRICO'!D9</f>
        <v>jul/ago/set</v>
      </c>
      <c r="H9" s="8">
        <v>30</v>
      </c>
      <c r="I9" s="83" t="str">
        <f>IF(tbResumoR14[[#This Row],[N° TRECHO]]="","",IFERROR(INDEX('REGIÃO 01 - TRECHOS'!$F$4:$F$119,MATCH(tbResumoR14[[#This Row],[N° TRECHO]],'REGIÃO 01 - TRECHOS'!$E$4:$E$119,0)),IFERROR(INDEX('REGIÃO 02 - TRECHOS'!$F$4:$F$76,MATCH(tbResumoR14[[#This Row],[N° TRECHO]],'REGIÃO 02 - TRECHOS'!$E$4:$E$76,0)),IFERROR(INDEX('REGIÃO 03 - TRECHOS'!$F$4:$F$53,MATCH(tbResumoR14[[#This Row],[N° TRECHO]],'REGIÃO 03 - TRECHOS'!$E$4:$E$53,0)),"Trecho não cadastrado"))))</f>
        <v xml:space="preserve">RODOVIA TO-404 - TRECHO AUGUSTINÓPOLIS - PRAIA NORTE </v>
      </c>
      <c r="J9" s="85" t="s">
        <v>815</v>
      </c>
      <c r="K9" s="9">
        <f>'REGIÃO 14 - HISTÓRICO'!E9</f>
        <v>3317978.7</v>
      </c>
      <c r="L9" s="8" t="str">
        <f>'REGIÃO 14 - HISTÓRICO'!I9</f>
        <v>Em andamento</v>
      </c>
      <c r="M9" s="184"/>
    </row>
    <row r="10" spans="1:14" ht="62.4" x14ac:dyDescent="0.3">
      <c r="B10" s="33">
        <f>'REGIÃO 14 - HISTÓRICO'!B10</f>
        <v>0</v>
      </c>
      <c r="C10" s="87" t="s">
        <v>12</v>
      </c>
      <c r="D10" s="27" t="str">
        <f>_xlfn.XLOOKUP(tbResumoR14[[#This Row],[REGIÃO]],tbRegioes[Código Região],tbRegioes[Contrato],"")</f>
        <v>034.2025</v>
      </c>
      <c r="E10" s="26">
        <f>'REGIÃO 14 - HISTÓRICO'!C10</f>
        <v>9</v>
      </c>
      <c r="F10" s="85" t="s">
        <v>776</v>
      </c>
      <c r="G10" s="182" t="str">
        <f>'REGIÃO 14 - HISTÓRICO'!D10</f>
        <v>ago/set/out</v>
      </c>
      <c r="H10" s="8">
        <v>24</v>
      </c>
      <c r="I10" s="83" t="str">
        <f>IF(tbResumoR14[[#This Row],[N° TRECHO]]="","",IFERROR(INDEX('REGIÃO 01 - TRECHOS'!$F$4:$F$119,MATCH(tbResumoR14[[#This Row],[N° TRECHO]],'REGIÃO 01 - TRECHOS'!$E$4:$E$119,0)),IFERROR(INDEX('REGIÃO 02 - TRECHOS'!$F$4:$F$76,MATCH(tbResumoR14[[#This Row],[N° TRECHO]],'REGIÃO 02 - TRECHOS'!$E$4:$E$76,0)),IFERROR(INDEX('REGIÃO 03 - TRECHOS'!$F$4:$F$53,MATCH(tbResumoR14[[#This Row],[N° TRECHO]],'REGIÃO 03 - TRECHOS'!$E$4:$E$53,0)),"Trecho não cadastrado"))))</f>
        <v>RODOVIA TO-210 - TRECHO NAZARÉ - ENTR. TO-134 (POVOADO GROTÃO DE NAZARÉ)</v>
      </c>
      <c r="J10" s="85" t="s">
        <v>832</v>
      </c>
      <c r="K10" s="9">
        <f>'REGIÃO 14 - HISTÓRICO'!E10</f>
        <v>10717872.65</v>
      </c>
      <c r="L10" s="8" t="str">
        <f>'REGIÃO 14 - HISTÓRICO'!I10</f>
        <v>Em andamento</v>
      </c>
      <c r="M10" s="184"/>
    </row>
    <row r="11" spans="1:14" ht="31.2" x14ac:dyDescent="0.3">
      <c r="B11" s="33">
        <f>'REGIÃO 14 - HISTÓRICO'!B11</f>
        <v>0</v>
      </c>
      <c r="C11" s="211" t="s">
        <v>12</v>
      </c>
      <c r="D11" s="313" t="str">
        <f>_xlfn.XLOOKUP(tbResumoR14[[#This Row],[REGIÃO]],tbRegioes[Código Região],tbRegioes[Contrato],"")</f>
        <v>034.2025</v>
      </c>
      <c r="E11" s="335">
        <f>'REGIÃO 14 - HISTÓRICO'!C11</f>
        <v>10</v>
      </c>
      <c r="F11" s="314" t="s">
        <v>841</v>
      </c>
      <c r="G11" s="336" t="str">
        <f>'REGIÃO 14 - HISTÓRICO'!D11</f>
        <v>set/out/nov</v>
      </c>
      <c r="H11" s="213">
        <v>28</v>
      </c>
      <c r="I11" s="315" t="str">
        <f>IF(tbResumoR14[[#This Row],[N° TRECHO]]="","",IFERROR(INDEX('REGIÃO 01 - TRECHOS'!$F$4:$F$119,MATCH(tbResumoR14[[#This Row],[N° TRECHO]],'REGIÃO 01 - TRECHOS'!$E$4:$E$119,0)),IFERROR(INDEX('REGIÃO 02 - TRECHOS'!$F$4:$F$76,MATCH(tbResumoR14[[#This Row],[N° TRECHO]],'REGIÃO 02 - TRECHOS'!$E$4:$E$76,0)),IFERROR(INDEX('REGIÃO 03 - TRECHOS'!$F$4:$F$53,MATCH(tbResumoR14[[#This Row],[N° TRECHO]],'REGIÃO 03 - TRECHOS'!$E$4:$E$53,0)),"Trecho não cadastrado"))))</f>
        <v>RODOVIA TO-403 - TRECHO SAMPAIO - ENTR. TO-404 (ITAÚBA)</v>
      </c>
      <c r="J11" s="214"/>
      <c r="K11" s="316">
        <f>'REGIÃO 14 - HISTÓRICO'!E11</f>
        <v>1523167.43</v>
      </c>
      <c r="L11" s="317" t="str">
        <f>'REGIÃO 14 - HISTÓRICO'!I11</f>
        <v>Em elaboração</v>
      </c>
      <c r="M11" s="215"/>
    </row>
    <row r="12" spans="1:14" x14ac:dyDescent="0.3">
      <c r="B12" s="10"/>
      <c r="C12" s="304"/>
      <c r="D12" s="304"/>
      <c r="E12" s="304"/>
      <c r="F12" s="304"/>
      <c r="G12" s="304"/>
      <c r="H12" s="304"/>
      <c r="I12" s="304"/>
      <c r="J12" s="304"/>
      <c r="K12" s="304"/>
      <c r="L12" s="304"/>
      <c r="M12" s="304"/>
    </row>
    <row r="13" spans="1:14" x14ac:dyDescent="0.3">
      <c r="B13" s="10"/>
      <c r="C13" s="10"/>
      <c r="D13" s="10"/>
      <c r="E13" s="10"/>
      <c r="F13" s="10"/>
      <c r="H13" s="10"/>
    </row>
    <row r="14" spans="1:14" x14ac:dyDescent="0.3">
      <c r="B14" s="10"/>
      <c r="C14" s="10"/>
      <c r="D14" s="10"/>
      <c r="E14" s="10"/>
      <c r="F14" s="10"/>
      <c r="H14" s="10"/>
    </row>
  </sheetData>
  <sheetProtection formatCells="0" formatColumns="0" formatRows="0" insertColumns="0" insertRows="0" insertHyperlinks="0" deleteColumns="0" deleteRows="0" sort="0" autoFilter="0" pivotTables="0"/>
  <mergeCells count="2">
    <mergeCell ref="B2:M2"/>
    <mergeCell ref="C12:M12"/>
  </mergeCells>
  <phoneticPr fontId="3" type="noConversion"/>
  <dataValidations count="1">
    <dataValidation allowBlank="1" showInputMessage="1" showErrorMessage="1" sqref="D4:D11" xr:uid="{6F942FCF-3AC0-4240-B16B-C4F80C6E901A}"/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F925E14-3B90-42E3-927C-97721CE5A684}">
          <x14:formula1>
            <xm:f>'Tabelas Auxiliares'!$K$3:$K$50</xm:f>
          </x14:formula1>
          <xm:sqref>J4:J11</xm:sqref>
        </x14:dataValidation>
        <x14:dataValidation type="list" allowBlank="1" showInputMessage="1" showErrorMessage="1" xr:uid="{51603899-6C3A-4C2D-9C68-B7330CF8AA23}">
          <x14:formula1>
            <xm:f>'Tabelas Auxiliares'!$M$4:$M$11</xm:f>
          </x14:formula1>
          <xm:sqref>L4:L11</xm:sqref>
        </x14:dataValidation>
        <x14:dataValidation type="list" allowBlank="1" showInputMessage="1" showErrorMessage="1" xr:uid="{F479B0E8-D8F4-4BF6-AF4C-E33CF142E5E9}">
          <x14:formula1>
            <xm:f>'Tabelas Auxiliares'!$B$4:$B$9</xm:f>
          </x14:formula1>
          <xm:sqref>C4:C11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18AD9-92CE-47B2-AF56-4A0B6D7CFAB7}">
  <sheetPr codeName="Planilha9"/>
  <dimension ref="B2:AG14"/>
  <sheetViews>
    <sheetView zoomScale="85" zoomScaleNormal="85" workbookViewId="0">
      <pane xSplit="9" ySplit="3" topLeftCell="U4" activePane="bottomRight" state="frozen"/>
      <selection pane="topRight" activeCell="J1" sqref="J1"/>
      <selection pane="bottomLeft" activeCell="A4" sqref="A4"/>
      <selection pane="bottomRight" activeCell="F30" sqref="F30"/>
    </sheetView>
  </sheetViews>
  <sheetFormatPr defaultRowHeight="15.6" x14ac:dyDescent="0.3"/>
  <cols>
    <col min="1" max="1" width="3" customWidth="1"/>
    <col min="2" max="2" width="4.19921875" style="10" hidden="1" customWidth="1"/>
    <col min="3" max="3" width="11.69921875" style="10" customWidth="1"/>
    <col min="4" max="4" width="20" style="10" customWidth="1"/>
    <col min="5" max="7" width="22.5" customWidth="1"/>
    <col min="8" max="8" width="14.8984375" customWidth="1"/>
    <col min="9" max="9" width="22.5" style="36" customWidth="1"/>
    <col min="10" max="10" width="15.8984375" style="46" customWidth="1"/>
    <col min="11" max="11" width="14.69921875" style="10" customWidth="1"/>
    <col min="12" max="12" width="15.5" style="46" customWidth="1"/>
    <col min="13" max="13" width="14.796875" style="10" customWidth="1"/>
    <col min="14" max="14" width="15.59765625" customWidth="1"/>
    <col min="15" max="15" width="14.69921875" style="10" customWidth="1"/>
    <col min="16" max="16" width="15.59765625" customWidth="1"/>
    <col min="17" max="17" width="14.69921875" customWidth="1"/>
    <col min="18" max="18" width="15.59765625" customWidth="1"/>
    <col min="19" max="19" width="14.69921875" customWidth="1"/>
    <col min="20" max="20" width="15.59765625" customWidth="1"/>
    <col min="21" max="21" width="14.69921875" customWidth="1"/>
    <col min="22" max="22" width="15.59765625" customWidth="1"/>
    <col min="23" max="23" width="14.69921875" customWidth="1"/>
    <col min="24" max="24" width="15.59765625" customWidth="1"/>
    <col min="25" max="25" width="14.69921875" customWidth="1"/>
    <col min="26" max="26" width="15.59765625" customWidth="1"/>
    <col min="27" max="27" width="14.69921875" customWidth="1"/>
    <col min="28" max="28" width="15.59765625" customWidth="1"/>
    <col min="29" max="29" width="14.69921875" customWidth="1"/>
    <col min="30" max="30" width="15.59765625" customWidth="1"/>
    <col min="31" max="31" width="14.69921875" customWidth="1"/>
    <col min="32" max="32" width="15.59765625" customWidth="1"/>
    <col min="33" max="33" width="14.69921875" customWidth="1"/>
  </cols>
  <sheetData>
    <row r="2" spans="2:33" ht="30.6" customHeight="1" x14ac:dyDescent="0.3">
      <c r="B2" s="218" t="s">
        <v>704</v>
      </c>
      <c r="C2" s="219"/>
      <c r="D2" s="219"/>
      <c r="E2" s="219"/>
      <c r="F2" s="219"/>
      <c r="G2" s="219"/>
      <c r="H2" s="219"/>
      <c r="I2" s="219"/>
      <c r="J2" s="216">
        <v>46023</v>
      </c>
      <c r="K2" s="217"/>
      <c r="L2" s="220">
        <v>46054</v>
      </c>
      <c r="M2" s="221"/>
      <c r="N2" s="222">
        <v>46082</v>
      </c>
      <c r="O2" s="223"/>
      <c r="P2" s="224">
        <v>46113</v>
      </c>
      <c r="Q2" s="225"/>
      <c r="R2" s="216">
        <v>46143</v>
      </c>
      <c r="S2" s="217"/>
      <c r="T2" s="220">
        <v>46174</v>
      </c>
      <c r="U2" s="221"/>
      <c r="V2" s="222">
        <v>46204</v>
      </c>
      <c r="W2" s="223"/>
      <c r="X2" s="224">
        <v>46235</v>
      </c>
      <c r="Y2" s="225"/>
      <c r="Z2" s="216">
        <v>46266</v>
      </c>
      <c r="AA2" s="217"/>
      <c r="AB2" s="220">
        <v>46296</v>
      </c>
      <c r="AC2" s="221"/>
      <c r="AD2" s="222">
        <v>46327</v>
      </c>
      <c r="AE2" s="223"/>
      <c r="AF2" s="224">
        <v>46357</v>
      </c>
      <c r="AG2" s="225"/>
    </row>
    <row r="3" spans="2:33" ht="31.2" x14ac:dyDescent="0.3">
      <c r="B3" s="16" t="s">
        <v>3</v>
      </c>
      <c r="C3" s="16" t="s">
        <v>6</v>
      </c>
      <c r="D3" s="16" t="s">
        <v>40</v>
      </c>
      <c r="E3" s="16" t="s">
        <v>1</v>
      </c>
      <c r="F3" s="16" t="s">
        <v>42</v>
      </c>
      <c r="G3" s="16" t="s">
        <v>43</v>
      </c>
      <c r="H3" s="16" t="s">
        <v>45</v>
      </c>
      <c r="I3" s="50" t="s">
        <v>44</v>
      </c>
      <c r="J3" s="51" t="s">
        <v>39</v>
      </c>
      <c r="K3" s="13" t="s">
        <v>10</v>
      </c>
      <c r="L3" s="11" t="s">
        <v>39</v>
      </c>
      <c r="M3" s="11" t="s">
        <v>10</v>
      </c>
      <c r="N3" s="14" t="s">
        <v>39</v>
      </c>
      <c r="O3" s="14" t="s">
        <v>10</v>
      </c>
      <c r="P3" s="15" t="s">
        <v>39</v>
      </c>
      <c r="Q3" s="15" t="s">
        <v>10</v>
      </c>
      <c r="R3" s="13" t="s">
        <v>39</v>
      </c>
      <c r="S3" s="13" t="s">
        <v>10</v>
      </c>
      <c r="T3" s="11" t="s">
        <v>39</v>
      </c>
      <c r="U3" s="11" t="s">
        <v>10</v>
      </c>
      <c r="V3" s="14" t="s">
        <v>39</v>
      </c>
      <c r="W3" s="14" t="s">
        <v>10</v>
      </c>
      <c r="X3" s="15" t="s">
        <v>39</v>
      </c>
      <c r="Y3" s="15" t="s">
        <v>10</v>
      </c>
      <c r="Z3" s="13" t="s">
        <v>39</v>
      </c>
      <c r="AA3" s="13" t="s">
        <v>10</v>
      </c>
      <c r="AB3" s="11" t="s">
        <v>39</v>
      </c>
      <c r="AC3" s="11" t="s">
        <v>10</v>
      </c>
      <c r="AD3" s="14" t="s">
        <v>39</v>
      </c>
      <c r="AE3" s="14" t="s">
        <v>10</v>
      </c>
      <c r="AF3" s="15" t="s">
        <v>39</v>
      </c>
      <c r="AG3" s="15" t="s">
        <v>10</v>
      </c>
    </row>
    <row r="4" spans="2:33" x14ac:dyDescent="0.3">
      <c r="B4" s="30">
        <f>ROW()-ROW($B$3)</f>
        <v>1</v>
      </c>
      <c r="C4" s="32">
        <v>3</v>
      </c>
      <c r="D4" s="12" t="s">
        <v>822</v>
      </c>
      <c r="E4" s="18">
        <v>1396628.4</v>
      </c>
      <c r="F4" s="18">
        <f>SUM(J4,L4,N4,P4,R4,T4,V4,X4,Z4,AB4,AD4,AF4)</f>
        <v>761125</v>
      </c>
      <c r="G4" s="49">
        <f t="shared" ref="G4" si="0">E4-F4</f>
        <v>635503.39999999991</v>
      </c>
      <c r="H4" s="48">
        <f>F4/E4</f>
        <v>0.54497316537455498</v>
      </c>
      <c r="I4" s="89" t="str" cm="1">
        <f t="array" ref="I4">IFERROR(LOOKUP(2,1/((MOD(COLUMN($K4:$AG4),2)=1)*($K4:$AG4&lt;&gt;"-")*($K4:$AG4&lt;&gt;"")),$K4:$AG4),"-")</f>
        <v>Concluída</v>
      </c>
      <c r="J4" s="45">
        <v>761125</v>
      </c>
      <c r="K4" s="21" t="s">
        <v>28</v>
      </c>
      <c r="L4" s="45"/>
      <c r="M4" s="21"/>
      <c r="N4" s="45"/>
      <c r="O4" s="21"/>
      <c r="P4" s="45"/>
      <c r="Q4" s="21"/>
      <c r="R4" s="45"/>
      <c r="S4" s="21"/>
      <c r="T4" s="45"/>
      <c r="U4" s="21"/>
      <c r="V4" s="45"/>
      <c r="W4" s="21"/>
      <c r="X4" s="45"/>
      <c r="Y4" s="21"/>
      <c r="Z4" s="45"/>
      <c r="AA4" s="21"/>
      <c r="AB4" s="45"/>
      <c r="AC4" s="21"/>
      <c r="AD4" s="45"/>
      <c r="AE4" s="21"/>
      <c r="AF4" s="45"/>
      <c r="AG4" s="21"/>
    </row>
    <row r="5" spans="2:33" x14ac:dyDescent="0.3">
      <c r="B5" s="30"/>
      <c r="C5" s="32">
        <v>4</v>
      </c>
      <c r="D5" s="12" t="s">
        <v>74</v>
      </c>
      <c r="E5" s="18">
        <v>3094881.92</v>
      </c>
      <c r="F5" s="18">
        <f>SUM(J5,L5,N5,P5,R5,T5,V5,X5,Z5,AB5,AD5,AF5)</f>
        <v>2276554.19</v>
      </c>
      <c r="G5" s="49">
        <f t="shared" ref="G5:G11" si="1">E5-F5</f>
        <v>818327.73</v>
      </c>
      <c r="H5" s="48">
        <f t="shared" ref="H5:H10" si="2">F5/E5</f>
        <v>0.73558676836368608</v>
      </c>
      <c r="I5" s="89" t="str" cm="1">
        <f t="array" ref="I5">IFERROR(LOOKUP(2,1/((MOD(COLUMN($K5:$AG5),2)=1)*($K5:$AG5&lt;&gt;"-")*($K5:$AG5&lt;&gt;"")),$K5:$AG5),"-")</f>
        <v>Concluída</v>
      </c>
      <c r="J5" s="45"/>
      <c r="K5" s="21"/>
      <c r="L5" s="45"/>
      <c r="M5" s="21"/>
      <c r="N5" s="45">
        <v>1430419.34</v>
      </c>
      <c r="O5" s="21" t="s">
        <v>26</v>
      </c>
      <c r="P5" s="45">
        <v>490391.94</v>
      </c>
      <c r="Q5" s="21" t="s">
        <v>26</v>
      </c>
      <c r="R5" s="45">
        <v>355742.91</v>
      </c>
      <c r="S5" s="21" t="s">
        <v>28</v>
      </c>
      <c r="T5" s="45"/>
      <c r="U5" s="21"/>
      <c r="V5" s="45"/>
      <c r="W5" s="21"/>
      <c r="X5" s="45"/>
      <c r="Y5" s="21"/>
      <c r="Z5" s="45"/>
      <c r="AA5" s="21"/>
      <c r="AB5" s="45"/>
      <c r="AC5" s="21"/>
      <c r="AD5" s="45"/>
      <c r="AE5" s="21"/>
      <c r="AF5" s="45"/>
      <c r="AG5" s="21"/>
    </row>
    <row r="6" spans="2:33" x14ac:dyDescent="0.3">
      <c r="B6" s="30"/>
      <c r="C6" s="32">
        <v>5</v>
      </c>
      <c r="D6" s="12"/>
      <c r="E6" s="18"/>
      <c r="F6" s="18">
        <f t="shared" ref="F6:F11" si="3">SUM(J6,L6,N6,P6,R6,T6,V6,X6,Z6,AB6,AD6,AF6)</f>
        <v>0</v>
      </c>
      <c r="G6" s="49">
        <f t="shared" si="1"/>
        <v>0</v>
      </c>
      <c r="H6" s="48" t="e">
        <f t="shared" si="2"/>
        <v>#DIV/0!</v>
      </c>
      <c r="I6" s="89" t="str" cm="1">
        <f t="array" ref="I6">IFERROR(LOOKUP(2,1/((MOD(COLUMN($K6:$AG6),2)=1)*($K6:$AG6&lt;&gt;"-")*($K6:$AG6&lt;&gt;"")),$K6:$AG6),"-")</f>
        <v>-</v>
      </c>
      <c r="J6" s="45"/>
      <c r="K6" s="21"/>
      <c r="L6" s="45"/>
      <c r="M6" s="21"/>
      <c r="N6" s="45"/>
      <c r="O6" s="21"/>
      <c r="P6" s="45"/>
      <c r="Q6" s="21"/>
      <c r="R6" s="45"/>
      <c r="S6" s="21"/>
      <c r="T6" s="45"/>
      <c r="U6" s="21"/>
      <c r="V6" s="45"/>
      <c r="W6" s="21"/>
      <c r="X6" s="45"/>
      <c r="Y6" s="21"/>
      <c r="Z6" s="45"/>
      <c r="AA6" s="21"/>
      <c r="AB6" s="45"/>
      <c r="AC6" s="21"/>
      <c r="AD6" s="45"/>
      <c r="AE6" s="21"/>
      <c r="AF6" s="45"/>
      <c r="AG6" s="21"/>
    </row>
    <row r="7" spans="2:33" x14ac:dyDescent="0.3">
      <c r="B7" s="30"/>
      <c r="C7" s="32">
        <v>6</v>
      </c>
      <c r="D7" s="12"/>
      <c r="E7" s="18"/>
      <c r="F7" s="18">
        <f t="shared" si="3"/>
        <v>0</v>
      </c>
      <c r="G7" s="49">
        <f t="shared" si="1"/>
        <v>0</v>
      </c>
      <c r="H7" s="48" t="e">
        <f t="shared" si="2"/>
        <v>#DIV/0!</v>
      </c>
      <c r="I7" s="89" t="str" cm="1">
        <f t="array" ref="I7">IFERROR(LOOKUP(2,1/((MOD(COLUMN($K7:$AG7),2)=1)*($K7:$AG7&lt;&gt;"-")*($K7:$AG7&lt;&gt;"")),$K7:$AG7),"-")</f>
        <v>-</v>
      </c>
      <c r="J7" s="45"/>
      <c r="K7" s="21"/>
      <c r="L7" s="45"/>
      <c r="M7" s="21"/>
      <c r="N7" s="45"/>
      <c r="O7" s="21"/>
      <c r="P7" s="45"/>
      <c r="Q7" s="21"/>
      <c r="R7" s="45"/>
      <c r="S7" s="21"/>
      <c r="T7" s="45"/>
      <c r="U7" s="21"/>
      <c r="V7" s="45"/>
      <c r="W7" s="21"/>
      <c r="X7" s="45"/>
      <c r="Y7" s="21"/>
      <c r="Z7" s="45"/>
      <c r="AA7" s="21"/>
      <c r="AB7" s="45"/>
      <c r="AC7" s="21"/>
      <c r="AD7" s="45"/>
      <c r="AE7" s="21"/>
      <c r="AF7" s="45"/>
      <c r="AG7" s="21"/>
    </row>
    <row r="8" spans="2:33" x14ac:dyDescent="0.3">
      <c r="B8" s="30"/>
      <c r="C8" s="32">
        <v>7</v>
      </c>
      <c r="D8" s="12" t="s">
        <v>698</v>
      </c>
      <c r="E8" s="18">
        <v>5042910.09</v>
      </c>
      <c r="F8" s="18">
        <f t="shared" si="3"/>
        <v>4554858.59</v>
      </c>
      <c r="G8" s="49">
        <f t="shared" si="1"/>
        <v>488051.5</v>
      </c>
      <c r="H8" s="48">
        <f t="shared" si="2"/>
        <v>0.903220265424165</v>
      </c>
      <c r="I8" s="89" t="str" cm="1">
        <f t="array" ref="I8">IFERROR(LOOKUP(2,1/((MOD(COLUMN($K8:$AG8),2)=1)*($K8:$AG8&lt;&gt;"-")*($K8:$AG8&lt;&gt;"")),$K8:$AG8),"-")</f>
        <v>Concluída</v>
      </c>
      <c r="J8" s="45"/>
      <c r="K8" s="21"/>
      <c r="L8" s="45"/>
      <c r="M8" s="21"/>
      <c r="N8" s="45"/>
      <c r="O8" s="21"/>
      <c r="P8" s="45"/>
      <c r="Q8" s="21"/>
      <c r="R8" s="45">
        <v>2223347.91</v>
      </c>
      <c r="S8" s="21" t="s">
        <v>26</v>
      </c>
      <c r="T8" s="45">
        <v>2331510.6800000002</v>
      </c>
      <c r="U8" s="21" t="s">
        <v>28</v>
      </c>
      <c r="V8" s="45"/>
      <c r="W8" s="21"/>
      <c r="X8" s="45"/>
      <c r="Y8" s="21"/>
      <c r="Z8" s="45"/>
      <c r="AA8" s="21"/>
      <c r="AB8" s="45"/>
      <c r="AC8" s="21"/>
      <c r="AD8" s="45"/>
      <c r="AE8" s="21"/>
      <c r="AF8" s="45"/>
      <c r="AG8" s="21"/>
    </row>
    <row r="9" spans="2:33" x14ac:dyDescent="0.3">
      <c r="B9" s="30"/>
      <c r="C9" s="32">
        <v>8</v>
      </c>
      <c r="D9" s="12" t="s">
        <v>779</v>
      </c>
      <c r="E9" s="18">
        <v>3317978.7</v>
      </c>
      <c r="F9" s="18">
        <f t="shared" si="3"/>
        <v>2032701.05</v>
      </c>
      <c r="G9" s="49">
        <f t="shared" si="1"/>
        <v>1285277.6500000001</v>
      </c>
      <c r="H9" s="48">
        <f t="shared" si="2"/>
        <v>0.61263233847763998</v>
      </c>
      <c r="I9" s="89" t="str" cm="1">
        <f t="array" ref="I9">IFERROR(LOOKUP(2,1/((MOD(COLUMN($K9:$AG9),2)=1)*($K9:$AG9&lt;&gt;"-")*($K9:$AG9&lt;&gt;"")),$K9:$AG9),"-")</f>
        <v>Em andamento</v>
      </c>
      <c r="J9" s="45"/>
      <c r="K9" s="21"/>
      <c r="L9" s="45"/>
      <c r="M9" s="21"/>
      <c r="N9" s="45"/>
      <c r="O9" s="21"/>
      <c r="P9" s="45"/>
      <c r="Q9" s="21"/>
      <c r="R9" s="45"/>
      <c r="S9" s="21"/>
      <c r="T9" s="45"/>
      <c r="U9" s="21"/>
      <c r="V9" s="45">
        <v>699114.55</v>
      </c>
      <c r="W9" s="21" t="s">
        <v>26</v>
      </c>
      <c r="X9" s="45">
        <v>1333586.5</v>
      </c>
      <c r="Y9" s="21" t="s">
        <v>26</v>
      </c>
      <c r="Z9" s="45"/>
      <c r="AA9" s="21"/>
      <c r="AB9" s="45"/>
      <c r="AC9" s="21"/>
      <c r="AD9" s="45"/>
      <c r="AE9" s="21"/>
      <c r="AF9" s="45"/>
      <c r="AG9" s="21"/>
    </row>
    <row r="10" spans="2:33" x14ac:dyDescent="0.3">
      <c r="B10" s="30"/>
      <c r="C10" s="32">
        <v>9</v>
      </c>
      <c r="D10" s="12" t="s">
        <v>781</v>
      </c>
      <c r="E10" s="18">
        <v>10717872.65</v>
      </c>
      <c r="F10" s="18">
        <f t="shared" si="3"/>
        <v>1668793.02</v>
      </c>
      <c r="G10" s="49">
        <f t="shared" si="1"/>
        <v>9049079.6300000008</v>
      </c>
      <c r="H10" s="48">
        <f t="shared" si="2"/>
        <v>0.15570188921772643</v>
      </c>
      <c r="I10" s="89" t="str" cm="1">
        <f t="array" ref="I10">IFERROR(LOOKUP(2,1/((MOD(COLUMN($K10:$AG10),2)=1)*($K10:$AG10&lt;&gt;"-")*($K10:$AG10&lt;&gt;"")),$K10:$AG10),"-")</f>
        <v>Em andamento</v>
      </c>
      <c r="J10" s="45"/>
      <c r="K10" s="21"/>
      <c r="L10" s="45"/>
      <c r="M10" s="21"/>
      <c r="N10" s="45"/>
      <c r="O10" s="21"/>
      <c r="P10" s="45"/>
      <c r="Q10" s="21"/>
      <c r="R10" s="45"/>
      <c r="S10" s="21"/>
      <c r="T10" s="45"/>
      <c r="U10" s="21"/>
      <c r="V10" s="45"/>
      <c r="W10" s="21"/>
      <c r="X10" s="45">
        <v>1668793.02</v>
      </c>
      <c r="Y10" s="21" t="s">
        <v>26</v>
      </c>
      <c r="Z10" s="45"/>
      <c r="AA10" s="21"/>
      <c r="AB10" s="45"/>
      <c r="AC10" s="21"/>
      <c r="AD10" s="45"/>
      <c r="AE10" s="21"/>
      <c r="AF10" s="45"/>
      <c r="AG10" s="21"/>
    </row>
    <row r="11" spans="2:33" x14ac:dyDescent="0.3">
      <c r="B11" s="30"/>
      <c r="C11" s="32">
        <v>10</v>
      </c>
      <c r="D11" s="12" t="s">
        <v>840</v>
      </c>
      <c r="E11" s="18">
        <v>1523167.43</v>
      </c>
      <c r="F11" s="18">
        <f t="shared" si="3"/>
        <v>0</v>
      </c>
      <c r="G11" s="49">
        <f t="shared" si="1"/>
        <v>1523167.43</v>
      </c>
      <c r="H11" s="48">
        <f t="shared" ref="H11" si="4">F11/E11</f>
        <v>0</v>
      </c>
      <c r="I11" s="89" t="str" cm="1">
        <f t="array" ref="I11">IFERROR(LOOKUP(2,1/((MOD(COLUMN($K11:$AG11),2)=1)*($K11:$AG11&lt;&gt;"-")*($K11:$AG11&lt;&gt;"")),$K11:$AG11),"-")</f>
        <v>Em elaboração</v>
      </c>
      <c r="J11" s="45"/>
      <c r="K11" s="21"/>
      <c r="L11" s="45"/>
      <c r="M11" s="21"/>
      <c r="N11" s="45"/>
      <c r="O11" s="21"/>
      <c r="P11" s="45"/>
      <c r="Q11" s="21"/>
      <c r="R11" s="45"/>
      <c r="S11" s="21"/>
      <c r="T11" s="45"/>
      <c r="U11" s="21"/>
      <c r="V11" s="45"/>
      <c r="W11" s="21"/>
      <c r="X11" s="45"/>
      <c r="Y11" s="21"/>
      <c r="Z11" s="45"/>
      <c r="AA11" s="21" t="s">
        <v>77</v>
      </c>
      <c r="AB11" s="45"/>
      <c r="AC11" s="21"/>
      <c r="AD11" s="45"/>
      <c r="AE11" s="21"/>
      <c r="AF11" s="45"/>
      <c r="AG11" s="21"/>
    </row>
    <row r="12" spans="2:33" x14ac:dyDescent="0.3">
      <c r="B12" s="30"/>
      <c r="C12" s="32"/>
      <c r="D12" s="12"/>
      <c r="E12" s="18"/>
      <c r="F12" s="18"/>
      <c r="G12" s="49"/>
      <c r="H12" s="48"/>
      <c r="I12" s="89"/>
      <c r="J12" s="45"/>
      <c r="K12" s="21"/>
      <c r="L12" s="45"/>
      <c r="M12" s="21"/>
      <c r="N12" s="45"/>
      <c r="O12" s="21"/>
      <c r="P12" s="45"/>
      <c r="Q12" s="21"/>
      <c r="R12" s="45"/>
      <c r="S12" s="21"/>
      <c r="T12" s="45"/>
      <c r="U12" s="21"/>
      <c r="V12" s="45"/>
      <c r="W12" s="21"/>
      <c r="X12" s="45"/>
      <c r="Y12" s="21"/>
      <c r="Z12" s="45"/>
      <c r="AA12" s="21"/>
      <c r="AB12" s="45"/>
      <c r="AC12" s="21"/>
      <c r="AD12" s="45"/>
      <c r="AE12" s="21"/>
      <c r="AF12" s="45"/>
      <c r="AG12" s="21"/>
    </row>
    <row r="13" spans="2:33" x14ac:dyDescent="0.3">
      <c r="B13" s="30"/>
      <c r="C13" s="32"/>
      <c r="D13" s="12"/>
      <c r="E13" s="18"/>
      <c r="F13" s="18"/>
      <c r="G13" s="49"/>
      <c r="H13" s="48"/>
      <c r="I13" s="89"/>
      <c r="J13" s="45"/>
      <c r="K13" s="21"/>
      <c r="L13" s="45"/>
      <c r="M13" s="21"/>
      <c r="N13" s="45"/>
      <c r="O13" s="21"/>
      <c r="P13" s="45"/>
      <c r="Q13" s="21"/>
      <c r="R13" s="45"/>
      <c r="S13" s="21"/>
      <c r="T13" s="45"/>
      <c r="U13" s="21"/>
      <c r="V13" s="45"/>
      <c r="W13" s="21"/>
      <c r="X13" s="45"/>
      <c r="Y13" s="21"/>
      <c r="Z13" s="45"/>
      <c r="AA13" s="21"/>
      <c r="AB13" s="45"/>
      <c r="AC13" s="21"/>
      <c r="AD13" s="45"/>
      <c r="AE13" s="21"/>
      <c r="AF13" s="45"/>
      <c r="AG13" s="21"/>
    </row>
    <row r="14" spans="2:33" ht="28.8" customHeight="1" x14ac:dyDescent="0.3">
      <c r="B14" s="17"/>
      <c r="C14" s="32"/>
      <c r="D14" s="12"/>
      <c r="E14" s="18"/>
      <c r="F14" s="18"/>
      <c r="G14" s="18"/>
      <c r="H14" s="22"/>
      <c r="I14" s="35"/>
      <c r="J14" s="45"/>
      <c r="K14" s="21"/>
      <c r="L14" s="45"/>
      <c r="M14" s="21"/>
      <c r="N14" s="19"/>
      <c r="O14" s="21"/>
      <c r="P14" s="19"/>
      <c r="Q14" s="21"/>
      <c r="R14" s="19"/>
      <c r="S14" s="21"/>
      <c r="T14" s="19"/>
      <c r="U14" s="20"/>
      <c r="V14" s="19"/>
      <c r="W14" s="20"/>
      <c r="X14" s="19"/>
      <c r="Y14" s="20"/>
      <c r="Z14" s="19"/>
      <c r="AA14" s="20"/>
      <c r="AB14" s="19"/>
      <c r="AC14" s="20"/>
      <c r="AD14" s="19"/>
      <c r="AE14" s="20"/>
      <c r="AF14" s="19"/>
      <c r="AG14" s="20"/>
    </row>
  </sheetData>
  <mergeCells count="13">
    <mergeCell ref="R2:S2"/>
    <mergeCell ref="B2:I2"/>
    <mergeCell ref="J2:K2"/>
    <mergeCell ref="L2:M2"/>
    <mergeCell ref="N2:O2"/>
    <mergeCell ref="P2:Q2"/>
    <mergeCell ref="AF2:AG2"/>
    <mergeCell ref="T2:U2"/>
    <mergeCell ref="V2:W2"/>
    <mergeCell ref="X2:Y2"/>
    <mergeCell ref="Z2:AA2"/>
    <mergeCell ref="AB2:AC2"/>
    <mergeCell ref="AD2:AE2"/>
  </mergeCells>
  <conditionalFormatting sqref="H4:H14">
    <cfRule type="colorScale" priority="71">
      <colorScale>
        <cfvo type="min"/>
        <cfvo type="percentile" val="50"/>
        <cfvo type="max"/>
        <color rgb="FFC00000"/>
        <color rgb="FFFFFF00"/>
        <color rgb="FF92D050"/>
      </colorScale>
    </cfRule>
  </conditionalFormatting>
  <pageMargins left="0.7" right="0.7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01782934-5085-49DA-8BA1-CCCA4AA76FA4}">
            <xm:f>NOT(ISERROR(SEARCH('Tabelas Auxiliares'!$M$8,I4)))</xm:f>
            <xm:f>'Tabelas Auxiliares'!$M$8</xm:f>
            <x14:dxf>
              <fill>
                <patternFill>
                  <fgColor rgb="FFFF0000"/>
                  <bgColor rgb="FFFF0000"/>
                </patternFill>
              </fill>
            </x14:dxf>
          </x14:cfRule>
          <x14:cfRule type="containsText" priority="2" operator="containsText" id="{AB4526AD-94BF-457B-B24A-C2FFF75227B4}">
            <xm:f>NOT(ISERROR(SEARCH('Tabelas Auxiliares'!$M$7,I4)))</xm:f>
            <xm:f>'Tabelas Auxiliares'!$M$7</xm:f>
            <x14:dxf>
              <fill>
                <patternFill>
                  <fgColor rgb="FFFFFF00"/>
                  <bgColor rgb="FFFFFF00"/>
                </patternFill>
              </fill>
            </x14:dxf>
          </x14:cfRule>
          <x14:cfRule type="containsText" priority="3" operator="containsText" id="{F682EB65-7CDC-4285-BF27-0296572725C1}">
            <xm:f>NOT(ISERROR(SEARCH('Tabelas Auxiliares'!$M$6,I4)))</xm:f>
            <xm:f>'Tabelas Auxiliares'!$M$6</xm:f>
            <x14:dxf>
              <fill>
                <patternFill>
                  <fgColor rgb="FF92D050"/>
                  <bgColor rgb="FF92D050"/>
                </patternFill>
              </fill>
            </x14:dxf>
          </x14:cfRule>
          <x14:cfRule type="containsText" priority="4" operator="containsText" id="{8383601C-39DC-4803-BA13-5D72436EE6EF}">
            <xm:f>NOT(ISERROR(SEARCH('Tabelas Auxiliares'!$M$5,I4)))</xm:f>
            <xm:f>'Tabelas Auxiliares'!$M$5</xm:f>
            <x14:dxf>
              <fill>
                <patternFill>
                  <fgColor rgb="FF00B0F0"/>
                  <bgColor rgb="FF00B0F0"/>
                </patternFill>
              </fill>
            </x14:dxf>
          </x14:cfRule>
          <x14:cfRule type="containsText" priority="5" operator="containsText" id="{33611B31-9198-487F-ADAC-AADCC442A6E0}">
            <xm:f>NOT(ISERROR(SEARCH('Tabelas Auxiliares'!$M$4,I4)))</xm:f>
            <xm:f>'Tabelas Auxiliares'!$M$4</xm:f>
            <x14:dxf>
              <font>
                <color rgb="FF000000"/>
              </font>
              <fill>
                <patternFill patternType="solid">
                  <fgColor indexed="64"/>
                  <bgColor rgb="FFFFFFFF"/>
                </patternFill>
              </fill>
            </x14:dxf>
          </x14:cfRule>
          <xm:sqref>I4:I14</xm:sqref>
        </x14:conditionalFormatting>
        <x14:conditionalFormatting xmlns:xm="http://schemas.microsoft.com/office/excel/2006/main">
          <x14:cfRule type="containsText" priority="11" operator="containsText" id="{5B1AA2B0-A0CC-42DE-A1F9-17E97977F810}">
            <xm:f>NOT(ISERROR(SEARCH('Tabelas Auxiliares'!$M$9,I4)))</xm:f>
            <xm:f>'Tabelas Auxiliares'!$M$9</xm:f>
            <x14:dxf>
              <font>
                <color rgb="FFFFFFFF"/>
              </font>
              <fill>
                <patternFill patternType="solid">
                  <fgColor indexed="64"/>
                  <bgColor rgb="FF7030A0"/>
                </patternFill>
              </fill>
            </x14:dxf>
          </x14:cfRule>
          <xm:sqref>I4:I14</xm:sqref>
        </x14:conditionalFormatting>
        <x14:conditionalFormatting xmlns:xm="http://schemas.microsoft.com/office/excel/2006/main">
          <x14:cfRule type="containsText" priority="12" operator="containsText" id="{D630620D-DBEE-4A23-B612-DA6D94188953}">
            <xm:f>NOT(ISERROR(SEARCH('Tabelas Auxiliares'!$M$10,I4)))</xm:f>
            <xm:f>'Tabelas Auxiliares'!$M$10</xm:f>
            <x14:dxf>
              <font>
                <color rgb="FFFFFFFF"/>
              </font>
              <fill>
                <patternFill patternType="solid">
                  <fgColor indexed="64"/>
                  <bgColor rgb="FFED7D31"/>
                </patternFill>
              </fill>
            </x14:dxf>
          </x14:cfRule>
          <xm:sqref>I4:I14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365B224-317B-44C9-BB88-CD2AB51A6EC5}">
          <x14:formula1>
            <xm:f>'Tabelas Auxiliares'!$M$4:$M$11</xm:f>
          </x14:formula1>
          <xm:sqref>M4:M14 O4:O14 Q4:Q14 S4:S14 U4:U14 W4:W14 Y4:Y14 AA4:AA14 AC4:AC14 AE4:AE14 AG4:AG14 K4:K14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85D1F-093B-43BE-89E0-C9C1BB94C71F}">
  <sheetPr codeName="Planilha10"/>
  <dimension ref="A1:N12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G24" sqref="G24"/>
    </sheetView>
  </sheetViews>
  <sheetFormatPr defaultRowHeight="15.6" x14ac:dyDescent="0.3"/>
  <cols>
    <col min="1" max="1" width="3.796875" customWidth="1"/>
    <col min="2" max="2" width="9.765625E-2" customWidth="1"/>
    <col min="3" max="3" width="10.19921875" customWidth="1"/>
    <col min="4" max="4" width="17.09765625" customWidth="1"/>
    <col min="5" max="5" width="9.3984375" customWidth="1"/>
    <col min="6" max="6" width="12.19921875" bestFit="1" customWidth="1"/>
    <col min="7" max="7" width="18.69921875" customWidth="1"/>
    <col min="8" max="8" width="10.8984375" customWidth="1"/>
    <col min="9" max="9" width="53.69921875" customWidth="1"/>
    <col min="10" max="10" width="28.19921875" customWidth="1"/>
    <col min="11" max="11" width="17.5" bestFit="1" customWidth="1"/>
    <col min="12" max="12" width="16" bestFit="1" customWidth="1"/>
    <col min="13" max="13" width="68.59765625" customWidth="1"/>
  </cols>
  <sheetData>
    <row r="1" spans="1:14" ht="16.2" thickBot="1" x14ac:dyDescent="0.35"/>
    <row r="2" spans="1:14" ht="58.2" customHeight="1" thickBot="1" x14ac:dyDescent="0.35">
      <c r="B2" s="301" t="s">
        <v>705</v>
      </c>
      <c r="C2" s="302"/>
      <c r="D2" s="302"/>
      <c r="E2" s="302"/>
      <c r="F2" s="302"/>
      <c r="G2" s="302"/>
      <c r="H2" s="302"/>
      <c r="I2" s="302"/>
      <c r="J2" s="302"/>
      <c r="K2" s="302"/>
      <c r="L2" s="302"/>
      <c r="M2" s="303"/>
    </row>
    <row r="3" spans="1:14" ht="62.4" customHeight="1" thickBot="1" x14ac:dyDescent="0.4">
      <c r="A3" s="1"/>
      <c r="B3" s="24" t="s">
        <v>3</v>
      </c>
      <c r="C3" s="25" t="s">
        <v>4</v>
      </c>
      <c r="D3" s="25" t="s">
        <v>5</v>
      </c>
      <c r="E3" s="25" t="s">
        <v>6</v>
      </c>
      <c r="F3" s="25" t="s">
        <v>7</v>
      </c>
      <c r="G3" s="25" t="s">
        <v>40</v>
      </c>
      <c r="H3" s="25" t="s">
        <v>8</v>
      </c>
      <c r="I3" s="25" t="s">
        <v>0</v>
      </c>
      <c r="J3" s="25" t="s">
        <v>9</v>
      </c>
      <c r="K3" s="25" t="s">
        <v>1</v>
      </c>
      <c r="L3" s="25" t="s">
        <v>10</v>
      </c>
      <c r="M3" s="23" t="s">
        <v>46</v>
      </c>
      <c r="N3" s="2"/>
    </row>
    <row r="4" spans="1:14" ht="46.8" x14ac:dyDescent="0.35">
      <c r="A4" s="1"/>
      <c r="B4" s="29">
        <f>'REGIÃO 15 - HISTÓRICO'!B4</f>
        <v>1</v>
      </c>
      <c r="C4" s="87" t="s">
        <v>13</v>
      </c>
      <c r="D4" s="27" t="str">
        <f>_xlfn.XLOOKUP(tbResumoR15[[#This Row],[REGIÃO]],tbRegioes[Código Região],tbRegioes[Contrato],"")</f>
        <v>035.2025</v>
      </c>
      <c r="E4" s="26">
        <f>'REGIÃO 15 - HISTÓRICO'!C4</f>
        <v>2</v>
      </c>
      <c r="F4" s="85" t="s">
        <v>62</v>
      </c>
      <c r="G4" s="182" t="str">
        <f>'REGIÃO 15 - HISTÓRICO'!D4</f>
        <v>abr/mai/jun</v>
      </c>
      <c r="H4" s="8">
        <v>58</v>
      </c>
      <c r="I4" s="83" t="str">
        <f>IF(tbResumoR15[[#This Row],[N° TRECHO]]="","",IFERROR(INDEX('REGIÃO 01 - TRECHOS'!$F$4:$F$119,MATCH(tbResumoR15[[#This Row],[N° TRECHO]],'REGIÃO 01 - TRECHOS'!$E$4:$E$119,0)),IFERROR(INDEX('REGIÃO 02 - TRECHOS'!$F$4:$F$76,MATCH(tbResumoR15[[#This Row],[N° TRECHO]],'REGIÃO 02 - TRECHOS'!$E$4:$E$76,0)),IFERROR(INDEX('REGIÃO 03 - TRECHOS'!$F$4:$F$53,MATCH(tbResumoR15[[#This Row],[N° TRECHO]],'REGIÃO 03 - TRECHOS'!$E$4:$E$53,0)),"Trecho não cadastrado"))))</f>
        <v>RODOVIA TO-416 - TRECHO ENTR. TO-222 - POVOADO COCALINHO</v>
      </c>
      <c r="J4" s="85" t="s">
        <v>831</v>
      </c>
      <c r="K4" s="9">
        <f>'REGIÃO 15 - HISTÓRICO'!E4</f>
        <v>4007975.34</v>
      </c>
      <c r="L4" s="8" t="str">
        <f>'REGIÃO 15 - HISTÓRICO'!I4</f>
        <v>Concluída</v>
      </c>
      <c r="M4" s="34"/>
      <c r="N4" s="2"/>
    </row>
    <row r="5" spans="1:14" ht="46.8" x14ac:dyDescent="0.35">
      <c r="A5" s="1"/>
      <c r="B5" s="33">
        <f>'REGIÃO 15 - HISTÓRICO'!B5</f>
        <v>0</v>
      </c>
      <c r="C5" s="87" t="s">
        <v>13</v>
      </c>
      <c r="D5" s="195" t="str">
        <f>_xlfn.XLOOKUP(tbResumoR15[[#This Row],[REGIÃO]],tbRegioes[Código Região],tbRegioes[Contrato],"")</f>
        <v>035.2025</v>
      </c>
      <c r="E5" s="202">
        <f>'REGIÃO 15 - HISTÓRICO'!C5</f>
        <v>3</v>
      </c>
      <c r="F5" s="197" t="s">
        <v>64</v>
      </c>
      <c r="G5" s="182" t="str">
        <f>'REGIÃO 15 - HISTÓRICO'!D5</f>
        <v>jun</v>
      </c>
      <c r="H5" s="8">
        <v>48</v>
      </c>
      <c r="I5" s="199" t="str">
        <f>IF(tbResumoR15[[#This Row],[N° TRECHO]]="","",IFERROR(INDEX('REGIÃO 01 - TRECHOS'!$F$4:$F$119,MATCH(tbResumoR15[[#This Row],[N° TRECHO]],'REGIÃO 01 - TRECHOS'!$E$4:$E$119,0)),IFERROR(INDEX('REGIÃO 02 - TRECHOS'!$F$4:$F$76,MATCH(tbResumoR15[[#This Row],[N° TRECHO]],'REGIÃO 02 - TRECHOS'!$E$4:$E$76,0)),IFERROR(INDEX('REGIÃO 03 - TRECHOS'!$F$4:$F$53,MATCH(tbResumoR15[[#This Row],[N° TRECHO]],'REGIÃO 03 - TRECHOS'!$E$4:$E$53,0)),"Trecho não cadastrado"))))</f>
        <v>RODOVIA TO-165 - TRECHO SANTA FÉ DO ARAGUAIA - ENTR. TO-226 - ARAPOEMA</v>
      </c>
      <c r="J5" s="85" t="s">
        <v>831</v>
      </c>
      <c r="K5" s="9">
        <f>'REGIÃO 15 - HISTÓRICO'!E5</f>
        <v>86860.5</v>
      </c>
      <c r="L5" s="8" t="str">
        <f>'REGIÃO 15 - HISTÓRICO'!I5</f>
        <v>Cancelada</v>
      </c>
      <c r="M5" s="34" t="s">
        <v>823</v>
      </c>
      <c r="N5" s="2"/>
    </row>
    <row r="6" spans="1:14" ht="39.6" x14ac:dyDescent="0.3">
      <c r="B6" s="33">
        <f>'REGIÃO 15 - HISTÓRICO'!B6</f>
        <v>0</v>
      </c>
      <c r="C6" s="87" t="s">
        <v>13</v>
      </c>
      <c r="D6" s="195" t="str">
        <f>_xlfn.XLOOKUP(tbResumoR15[[#This Row],[REGIÃO]],tbRegioes[Código Região],tbRegioes[Contrato],"")</f>
        <v>035.2025</v>
      </c>
      <c r="E6" s="202">
        <f>'REGIÃO 15 - HISTÓRICO'!C6</f>
        <v>4</v>
      </c>
      <c r="F6" s="197" t="s">
        <v>64</v>
      </c>
      <c r="G6" s="182" t="str">
        <f>'REGIÃO 15 - HISTÓRICO'!D6</f>
        <v>jun</v>
      </c>
      <c r="H6" s="8">
        <v>52</v>
      </c>
      <c r="I6" s="199" t="str">
        <f>IF(tbResumoR15[[#This Row],[N° TRECHO]]="","",IFERROR(INDEX('REGIÃO 01 - TRECHOS'!$F$4:$F$119,MATCH(tbResumoR15[[#This Row],[N° TRECHO]],'REGIÃO 01 - TRECHOS'!$E$4:$E$119,0)),IFERROR(INDEX('REGIÃO 02 - TRECHOS'!$F$4:$F$76,MATCH(tbResumoR15[[#This Row],[N° TRECHO]],'REGIÃO 02 - TRECHOS'!$E$4:$E$76,0)),IFERROR(INDEX('REGIÃO 03 - TRECHOS'!$F$4:$F$53,MATCH(tbResumoR15[[#This Row],[N° TRECHO]],'REGIÃO 03 - TRECHOS'!$E$4:$E$53,0)),"Trecho não cadastrado"))))</f>
        <v>RODOVIA TO-222 - TRECHO SANTA FÉ DO ARAGUAIA - DIVISA TO-PA (POVOADO PORTO LEMOS)</v>
      </c>
      <c r="J6" s="85" t="s">
        <v>833</v>
      </c>
      <c r="K6" s="9">
        <f>'REGIÃO 15 - HISTÓRICO'!E6</f>
        <v>1893813.42</v>
      </c>
      <c r="L6" s="8" t="str">
        <f>'REGIÃO 15 - HISTÓRICO'!I6</f>
        <v>Cancelada</v>
      </c>
      <c r="M6" s="34" t="s">
        <v>823</v>
      </c>
    </row>
    <row r="7" spans="1:14" x14ac:dyDescent="0.3">
      <c r="B7" s="33">
        <f>'REGIÃO 15 - HISTÓRICO'!B7</f>
        <v>0</v>
      </c>
      <c r="C7" s="87" t="s">
        <v>13</v>
      </c>
      <c r="D7" s="195" t="str">
        <f>_xlfn.XLOOKUP(tbResumoR15[[#This Row],[REGIÃO]],tbRegioes[Código Região],tbRegioes[Contrato],"")</f>
        <v>035.2025</v>
      </c>
      <c r="E7" s="202">
        <f>'REGIÃO 15 - HISTÓRICO'!C7</f>
        <v>5</v>
      </c>
      <c r="F7" s="197"/>
      <c r="G7" s="182">
        <f>'REGIÃO 15 - HISTÓRICO'!D7</f>
        <v>0</v>
      </c>
      <c r="H7" s="8"/>
      <c r="I7" s="199" t="str">
        <f>IF(tbResumoR15[[#This Row],[N° TRECHO]]="","",IFERROR(INDEX('REGIÃO 01 - TRECHOS'!$F$4:$F$119,MATCH(tbResumoR15[[#This Row],[N° TRECHO]],'REGIÃO 01 - TRECHOS'!$E$4:$E$119,0)),IFERROR(INDEX('REGIÃO 02 - TRECHOS'!$F$4:$F$76,MATCH(tbResumoR15[[#This Row],[N° TRECHO]],'REGIÃO 02 - TRECHOS'!$E$4:$E$76,0)),IFERROR(INDEX('REGIÃO 03 - TRECHOS'!$F$4:$F$53,MATCH(tbResumoR15[[#This Row],[N° TRECHO]],'REGIÃO 03 - TRECHOS'!$E$4:$E$53,0)),"Trecho não cadastrado"))))</f>
        <v/>
      </c>
      <c r="J7" s="85" t="s">
        <v>817</v>
      </c>
      <c r="K7" s="9">
        <f>'REGIÃO 15 - HISTÓRICO'!E7</f>
        <v>0</v>
      </c>
      <c r="L7" s="8">
        <f>'REGIÃO 15 - HISTÓRICO'!I7</f>
        <v>0</v>
      </c>
      <c r="M7" s="192"/>
    </row>
    <row r="8" spans="1:14" x14ac:dyDescent="0.3">
      <c r="B8" s="33">
        <f>'REGIÃO 15 - HISTÓRICO'!B8</f>
        <v>0</v>
      </c>
      <c r="C8" s="87" t="s">
        <v>13</v>
      </c>
      <c r="D8" s="195" t="str">
        <f>_xlfn.XLOOKUP(tbResumoR15[[#This Row],[REGIÃO]],tbRegioes[Código Região],tbRegioes[Contrato],"")</f>
        <v>035.2025</v>
      </c>
      <c r="E8" s="202">
        <f>'REGIÃO 15 - HISTÓRICO'!C8</f>
        <v>6</v>
      </c>
      <c r="F8" s="197"/>
      <c r="G8" s="182">
        <f>'REGIÃO 15 - HISTÓRICO'!D8</f>
        <v>0</v>
      </c>
      <c r="H8" s="8"/>
      <c r="I8" s="199" t="str">
        <f>IF(tbResumoR15[[#This Row],[N° TRECHO]]="","",IFERROR(INDEX('REGIÃO 01 - TRECHOS'!$F$4:$F$119,MATCH(tbResumoR15[[#This Row],[N° TRECHO]],'REGIÃO 01 - TRECHOS'!$E$4:$E$119,0)),IFERROR(INDEX('REGIÃO 02 - TRECHOS'!$F$4:$F$76,MATCH(tbResumoR15[[#This Row],[N° TRECHO]],'REGIÃO 02 - TRECHOS'!$E$4:$E$76,0)),IFERROR(INDEX('REGIÃO 03 - TRECHOS'!$F$4:$F$53,MATCH(tbResumoR15[[#This Row],[N° TRECHO]],'REGIÃO 03 - TRECHOS'!$E$4:$E$53,0)),"Trecho não cadastrado"))))</f>
        <v/>
      </c>
      <c r="J8" s="85" t="s">
        <v>817</v>
      </c>
      <c r="K8" s="9">
        <f>'REGIÃO 15 - HISTÓRICO'!E8</f>
        <v>0</v>
      </c>
      <c r="L8" s="8">
        <f>'REGIÃO 15 - HISTÓRICO'!I8</f>
        <v>0</v>
      </c>
      <c r="M8" s="192"/>
    </row>
    <row r="9" spans="1:14" x14ac:dyDescent="0.3">
      <c r="B9" s="33">
        <f>'REGIÃO 15 - HISTÓRICO'!B9</f>
        <v>0</v>
      </c>
      <c r="C9" s="194"/>
      <c r="D9" s="195" t="str">
        <f>_xlfn.XLOOKUP(tbResumoR15[[#This Row],[REGIÃO]],tbRegioes[Código Região],tbRegioes[Contrato],"")</f>
        <v/>
      </c>
      <c r="E9" s="202"/>
      <c r="F9" s="197"/>
      <c r="G9" s="182"/>
      <c r="H9" s="8"/>
      <c r="I9" s="199"/>
      <c r="J9" s="85"/>
      <c r="K9" s="200"/>
      <c r="L9" s="201"/>
      <c r="M9" s="192"/>
    </row>
    <row r="10" spans="1:14" ht="18" x14ac:dyDescent="0.3">
      <c r="B10" s="10"/>
      <c r="C10" s="305"/>
      <c r="D10" s="305"/>
      <c r="E10" s="305"/>
      <c r="F10" s="305"/>
      <c r="G10" s="305"/>
      <c r="H10" s="305"/>
      <c r="I10" s="305"/>
      <c r="J10" s="305"/>
      <c r="K10" s="305"/>
      <c r="L10" s="305"/>
      <c r="M10" s="305"/>
    </row>
    <row r="11" spans="1:14" x14ac:dyDescent="0.3">
      <c r="B11" s="10"/>
      <c r="C11" s="10"/>
      <c r="D11" s="10"/>
      <c r="E11" s="10"/>
      <c r="F11" s="10"/>
      <c r="H11" s="10"/>
    </row>
    <row r="12" spans="1:14" x14ac:dyDescent="0.3">
      <c r="B12" s="10"/>
      <c r="C12" s="10"/>
      <c r="D12" s="10"/>
      <c r="E12" s="10"/>
      <c r="F12" s="10"/>
      <c r="H12" s="10"/>
    </row>
  </sheetData>
  <sheetProtection formatCells="0" formatColumns="0" formatRows="0" insertColumns="0" insertRows="0" insertHyperlinks="0" deleteColumns="0" deleteRows="0" sort="0" autoFilter="0" pivotTables="0"/>
  <mergeCells count="2">
    <mergeCell ref="B2:M2"/>
    <mergeCell ref="C10:M10"/>
  </mergeCells>
  <dataValidations count="1">
    <dataValidation allowBlank="1" showInputMessage="1" showErrorMessage="1" sqref="D4:D9" xr:uid="{C0423A5A-D253-4F27-9977-C1AC342DA5A1}"/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58EB849-0C98-4283-AA29-BD92AB7C13DF}">
          <x14:formula1>
            <xm:f>'Tabelas Auxiliares'!$B$4:$B$9</xm:f>
          </x14:formula1>
          <xm:sqref>C4:C9</xm:sqref>
        </x14:dataValidation>
        <x14:dataValidation type="list" allowBlank="1" showInputMessage="1" showErrorMessage="1" xr:uid="{145A4EB7-B346-4D0F-ADA2-7091C3431D52}">
          <x14:formula1>
            <xm:f>'Tabelas Auxiliares'!$M$4:$M$11</xm:f>
          </x14:formula1>
          <xm:sqref>L4:L9</xm:sqref>
        </x14:dataValidation>
        <x14:dataValidation type="list" allowBlank="1" showInputMessage="1" showErrorMessage="1" xr:uid="{4F5254E0-4A0B-4D2D-867C-5C7067AF90B0}">
          <x14:formula1>
            <xm:f>'Tabelas Auxiliares'!$H$3:$H$81</xm:f>
          </x14:formula1>
          <xm:sqref>J9</xm:sqref>
        </x14:dataValidation>
        <x14:dataValidation type="list" allowBlank="1" showInputMessage="1" showErrorMessage="1" xr:uid="{941E20F4-44AF-43AA-89C3-4A3ABD4421CC}">
          <x14:formula1>
            <xm:f>'Tabelas Auxiliares'!$K$3:$K$59</xm:f>
          </x14:formula1>
          <xm:sqref>J4:J8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1BC8B-E18A-42A1-A2E6-B70873BC5025}">
  <sheetPr codeName="Planilha11"/>
  <dimension ref="B2:AG13"/>
  <sheetViews>
    <sheetView zoomScale="85" zoomScaleNormal="85" workbookViewId="0">
      <pane xSplit="9" ySplit="3" topLeftCell="O4" activePane="bottomRight" state="frozen"/>
      <selection pane="topRight" activeCell="J1" sqref="J1"/>
      <selection pane="bottomLeft" activeCell="A4" sqref="A4"/>
      <selection pane="bottomRight" activeCell="D7" sqref="D7"/>
    </sheetView>
  </sheetViews>
  <sheetFormatPr defaultRowHeight="15.6" x14ac:dyDescent="0.3"/>
  <cols>
    <col min="1" max="1" width="3" customWidth="1"/>
    <col min="2" max="2" width="4.19921875" style="10" hidden="1" customWidth="1"/>
    <col min="3" max="3" width="11.69921875" style="10" customWidth="1"/>
    <col min="4" max="4" width="20" style="10" customWidth="1"/>
    <col min="5" max="7" width="22.5" customWidth="1"/>
    <col min="8" max="8" width="14.8984375" customWidth="1"/>
    <col min="9" max="9" width="22.5" style="36" customWidth="1"/>
    <col min="10" max="10" width="15.8984375" style="46" customWidth="1"/>
    <col min="11" max="11" width="14.69921875" style="10" customWidth="1"/>
    <col min="12" max="12" width="15.5" style="46" customWidth="1"/>
    <col min="13" max="13" width="14.796875" style="10" customWidth="1"/>
    <col min="14" max="14" width="15.59765625" customWidth="1"/>
    <col min="15" max="15" width="14.69921875" style="10" customWidth="1"/>
    <col min="16" max="16" width="15.59765625" customWidth="1"/>
    <col min="17" max="17" width="14.69921875" customWidth="1"/>
    <col min="18" max="18" width="15.59765625" customWidth="1"/>
    <col min="19" max="19" width="14.69921875" customWidth="1"/>
    <col min="20" max="20" width="15.59765625" customWidth="1"/>
    <col min="21" max="21" width="14.69921875" customWidth="1"/>
    <col min="22" max="22" width="15.59765625" customWidth="1"/>
    <col min="23" max="23" width="14.69921875" customWidth="1"/>
    <col min="24" max="24" width="15.59765625" customWidth="1"/>
    <col min="25" max="25" width="14.69921875" customWidth="1"/>
    <col min="26" max="26" width="15.59765625" customWidth="1"/>
    <col min="27" max="27" width="14.69921875" customWidth="1"/>
    <col min="28" max="28" width="15.59765625" customWidth="1"/>
    <col min="29" max="29" width="14.69921875" customWidth="1"/>
    <col min="30" max="30" width="15.59765625" customWidth="1"/>
    <col min="31" max="31" width="14.69921875" customWidth="1"/>
    <col min="32" max="32" width="15.59765625" customWidth="1"/>
    <col min="33" max="33" width="14.69921875" customWidth="1"/>
  </cols>
  <sheetData>
    <row r="2" spans="2:33" ht="30.6" customHeight="1" x14ac:dyDescent="0.3">
      <c r="B2" s="218" t="s">
        <v>705</v>
      </c>
      <c r="C2" s="219"/>
      <c r="D2" s="219"/>
      <c r="E2" s="219"/>
      <c r="F2" s="219"/>
      <c r="G2" s="219"/>
      <c r="H2" s="219"/>
      <c r="I2" s="219"/>
      <c r="J2" s="216">
        <v>46023</v>
      </c>
      <c r="K2" s="217"/>
      <c r="L2" s="220">
        <v>46054</v>
      </c>
      <c r="M2" s="221"/>
      <c r="N2" s="222">
        <v>46082</v>
      </c>
      <c r="O2" s="223"/>
      <c r="P2" s="224">
        <v>46113</v>
      </c>
      <c r="Q2" s="225"/>
      <c r="R2" s="216">
        <v>46143</v>
      </c>
      <c r="S2" s="217"/>
      <c r="T2" s="220">
        <v>46174</v>
      </c>
      <c r="U2" s="221"/>
      <c r="V2" s="222">
        <v>46204</v>
      </c>
      <c r="W2" s="223"/>
      <c r="X2" s="224">
        <v>46235</v>
      </c>
      <c r="Y2" s="225"/>
      <c r="Z2" s="216">
        <v>46266</v>
      </c>
      <c r="AA2" s="217"/>
      <c r="AB2" s="220">
        <v>46296</v>
      </c>
      <c r="AC2" s="221"/>
      <c r="AD2" s="222">
        <v>46327</v>
      </c>
      <c r="AE2" s="223"/>
      <c r="AF2" s="224">
        <v>46357</v>
      </c>
      <c r="AG2" s="225"/>
    </row>
    <row r="3" spans="2:33" ht="31.2" x14ac:dyDescent="0.3">
      <c r="B3" s="16" t="s">
        <v>3</v>
      </c>
      <c r="C3" s="16" t="s">
        <v>6</v>
      </c>
      <c r="D3" s="16" t="s">
        <v>40</v>
      </c>
      <c r="E3" s="16" t="s">
        <v>1</v>
      </c>
      <c r="F3" s="16" t="s">
        <v>42</v>
      </c>
      <c r="G3" s="16" t="s">
        <v>43</v>
      </c>
      <c r="H3" s="16" t="s">
        <v>45</v>
      </c>
      <c r="I3" s="50" t="s">
        <v>44</v>
      </c>
      <c r="J3" s="51" t="s">
        <v>39</v>
      </c>
      <c r="K3" s="13" t="s">
        <v>10</v>
      </c>
      <c r="L3" s="11" t="s">
        <v>39</v>
      </c>
      <c r="M3" s="11" t="s">
        <v>10</v>
      </c>
      <c r="N3" s="14" t="s">
        <v>39</v>
      </c>
      <c r="O3" s="14" t="s">
        <v>10</v>
      </c>
      <c r="P3" s="15" t="s">
        <v>39</v>
      </c>
      <c r="Q3" s="15" t="s">
        <v>10</v>
      </c>
      <c r="R3" s="13" t="s">
        <v>39</v>
      </c>
      <c r="S3" s="13" t="s">
        <v>10</v>
      </c>
      <c r="T3" s="11" t="s">
        <v>39</v>
      </c>
      <c r="U3" s="11" t="s">
        <v>10</v>
      </c>
      <c r="V3" s="14" t="s">
        <v>39</v>
      </c>
      <c r="W3" s="14" t="s">
        <v>10</v>
      </c>
      <c r="X3" s="15" t="s">
        <v>39</v>
      </c>
      <c r="Y3" s="15" t="s">
        <v>10</v>
      </c>
      <c r="Z3" s="13" t="s">
        <v>39</v>
      </c>
      <c r="AA3" s="13" t="s">
        <v>10</v>
      </c>
      <c r="AB3" s="11" t="s">
        <v>39</v>
      </c>
      <c r="AC3" s="11" t="s">
        <v>10</v>
      </c>
      <c r="AD3" s="14" t="s">
        <v>39</v>
      </c>
      <c r="AE3" s="14" t="s">
        <v>10</v>
      </c>
      <c r="AF3" s="15" t="s">
        <v>39</v>
      </c>
      <c r="AG3" s="15" t="s">
        <v>10</v>
      </c>
    </row>
    <row r="4" spans="2:33" x14ac:dyDescent="0.3">
      <c r="B4" s="30">
        <f>ROW()-ROW($B$3)</f>
        <v>1</v>
      </c>
      <c r="C4" s="32">
        <v>2</v>
      </c>
      <c r="D4" s="12" t="s">
        <v>696</v>
      </c>
      <c r="E4" s="18">
        <v>4007975.34</v>
      </c>
      <c r="F4" s="18">
        <f>SUM(J4,L4,N4,P4,R4,T4,V4,X4,Z4,AB4,AD4,AF4)</f>
        <v>2877414.09</v>
      </c>
      <c r="G4" s="49">
        <f t="shared" ref="G4" si="0">E4-F4</f>
        <v>1130561.25</v>
      </c>
      <c r="H4" s="48">
        <f>F4/E4</f>
        <v>0.7179221042812105</v>
      </c>
      <c r="I4" s="89" t="str" cm="1">
        <f t="array" ref="I4">IFERROR(LOOKUP(2,1/((MOD(COLUMN($K4:$AG4),2)=1)*($K4:$AG4&lt;&gt;"-")*($K4:$AG4&lt;&gt;"")),$K4:$AG4),"-")</f>
        <v>Concluída</v>
      </c>
      <c r="J4" s="45"/>
      <c r="K4" s="21"/>
      <c r="L4" s="45"/>
      <c r="M4" s="21"/>
      <c r="N4" s="45"/>
      <c r="O4" s="21"/>
      <c r="P4" s="45">
        <v>1477327.38</v>
      </c>
      <c r="Q4" s="21" t="s">
        <v>26</v>
      </c>
      <c r="R4" s="45">
        <v>1106577.99</v>
      </c>
      <c r="S4" s="21" t="s">
        <v>26</v>
      </c>
      <c r="T4" s="45">
        <v>293508.71999999997</v>
      </c>
      <c r="U4" s="21" t="s">
        <v>28</v>
      </c>
      <c r="V4" s="45"/>
      <c r="W4" s="21"/>
      <c r="X4" s="45"/>
      <c r="Y4" s="21"/>
      <c r="Z4" s="45"/>
      <c r="AA4" s="21"/>
      <c r="AB4" s="45"/>
      <c r="AC4" s="21"/>
      <c r="AD4" s="45"/>
      <c r="AE4" s="21"/>
      <c r="AF4" s="45"/>
      <c r="AG4" s="21"/>
    </row>
    <row r="5" spans="2:33" x14ac:dyDescent="0.3">
      <c r="B5" s="30"/>
      <c r="C5" s="32">
        <v>3</v>
      </c>
      <c r="D5" s="12" t="s">
        <v>804</v>
      </c>
      <c r="E5" s="18">
        <v>86860.5</v>
      </c>
      <c r="F5" s="18">
        <f>SUM(J5,L5,N5,P5,R5,T5,V5,X5,Z5,AB5,AD5,AF5)</f>
        <v>0</v>
      </c>
      <c r="G5" s="49">
        <f t="shared" ref="G5" si="1">E5-F5</f>
        <v>86860.5</v>
      </c>
      <c r="H5" s="48">
        <f>F5/E5</f>
        <v>0</v>
      </c>
      <c r="I5" s="89" t="str" cm="1">
        <f t="array" ref="I5">IFERROR(LOOKUP(2,1/((MOD(COLUMN($K5:$AG5),2)=1)*($K5:$AG5&lt;&gt;"-")*($K5:$AG5&lt;&gt;"")),$K5:$AG5),"-")</f>
        <v>Cancelada</v>
      </c>
      <c r="J5" s="45"/>
      <c r="K5" s="21"/>
      <c r="L5" s="45"/>
      <c r="M5" s="21"/>
      <c r="N5" s="45"/>
      <c r="O5" s="21"/>
      <c r="P5" s="45"/>
      <c r="Q5" s="21"/>
      <c r="R5" s="45"/>
      <c r="S5" s="21"/>
      <c r="T5" s="45">
        <v>0</v>
      </c>
      <c r="U5" s="21" t="s">
        <v>34</v>
      </c>
      <c r="V5" s="45"/>
      <c r="W5" s="21"/>
      <c r="X5" s="45"/>
      <c r="Y5" s="21"/>
      <c r="Z5" s="45"/>
      <c r="AA5" s="21"/>
      <c r="AB5" s="45"/>
      <c r="AC5" s="21"/>
      <c r="AD5" s="45"/>
      <c r="AE5" s="21"/>
      <c r="AF5" s="45"/>
      <c r="AG5" s="21"/>
    </row>
    <row r="6" spans="2:33" x14ac:dyDescent="0.3">
      <c r="B6" s="30"/>
      <c r="C6" s="32">
        <v>4</v>
      </c>
      <c r="D6" s="12" t="s">
        <v>804</v>
      </c>
      <c r="E6" s="18">
        <v>1893813.42</v>
      </c>
      <c r="F6" s="18">
        <f>SUM(J6,L6,N6,P6,R6,T6,V6,X6,Z6,AB6,AD6,AF6)</f>
        <v>0</v>
      </c>
      <c r="G6" s="49">
        <f t="shared" ref="G6" si="2">E6-F6</f>
        <v>1893813.42</v>
      </c>
      <c r="H6" s="48">
        <f>F6/E6</f>
        <v>0</v>
      </c>
      <c r="I6" s="89" t="str" cm="1">
        <f t="array" ref="I6">IFERROR(LOOKUP(2,1/((MOD(COLUMN($K6:$AG6),2)=1)*($K6:$AG6&lt;&gt;"-")*($K6:$AG6&lt;&gt;"")),$K6:$AG6),"-")</f>
        <v>Cancelada</v>
      </c>
      <c r="J6" s="45"/>
      <c r="K6" s="21"/>
      <c r="L6" s="45"/>
      <c r="M6" s="21"/>
      <c r="N6" s="45"/>
      <c r="O6" s="21"/>
      <c r="P6" s="45"/>
      <c r="Q6" s="21"/>
      <c r="R6" s="45"/>
      <c r="S6" s="21"/>
      <c r="T6" s="45">
        <v>0</v>
      </c>
      <c r="U6" s="21" t="s">
        <v>34</v>
      </c>
      <c r="V6" s="45"/>
      <c r="W6" s="21"/>
      <c r="X6" s="45"/>
      <c r="Y6" s="21"/>
      <c r="Z6" s="45"/>
      <c r="AA6" s="21"/>
      <c r="AB6" s="45"/>
      <c r="AC6" s="21"/>
      <c r="AD6" s="45"/>
      <c r="AE6" s="21"/>
      <c r="AF6" s="45"/>
      <c r="AG6" s="21"/>
    </row>
    <row r="7" spans="2:33" x14ac:dyDescent="0.3">
      <c r="B7" s="30"/>
      <c r="C7" s="32">
        <v>5</v>
      </c>
      <c r="D7" s="12"/>
      <c r="E7" s="18"/>
      <c r="F7" s="18"/>
      <c r="G7" s="49"/>
      <c r="H7" s="48"/>
      <c r="I7" s="89"/>
      <c r="J7" s="45"/>
      <c r="K7" s="21"/>
      <c r="L7" s="45"/>
      <c r="M7" s="21"/>
      <c r="N7" s="45"/>
      <c r="O7" s="21"/>
      <c r="P7" s="45"/>
      <c r="Q7" s="21"/>
      <c r="R7" s="45"/>
      <c r="S7" s="21"/>
      <c r="T7" s="45"/>
      <c r="U7" s="21"/>
      <c r="V7" s="45"/>
      <c r="W7" s="21"/>
      <c r="X7" s="45"/>
      <c r="Y7" s="21"/>
      <c r="Z7" s="45"/>
      <c r="AA7" s="21"/>
      <c r="AB7" s="45"/>
      <c r="AC7" s="21"/>
      <c r="AD7" s="45"/>
      <c r="AE7" s="21"/>
      <c r="AF7" s="45"/>
      <c r="AG7" s="21"/>
    </row>
    <row r="8" spans="2:33" x14ac:dyDescent="0.3">
      <c r="B8" s="30"/>
      <c r="C8" s="32">
        <v>6</v>
      </c>
      <c r="D8" s="12"/>
      <c r="E8" s="18"/>
      <c r="F8" s="18"/>
      <c r="G8" s="49"/>
      <c r="H8" s="48"/>
      <c r="I8" s="89"/>
      <c r="J8" s="45"/>
      <c r="K8" s="21"/>
      <c r="L8" s="45"/>
      <c r="M8" s="21"/>
      <c r="N8" s="45"/>
      <c r="O8" s="21"/>
      <c r="P8" s="45"/>
      <c r="Q8" s="21"/>
      <c r="R8" s="45"/>
      <c r="S8" s="21"/>
      <c r="T8" s="45"/>
      <c r="U8" s="21"/>
      <c r="V8" s="45"/>
      <c r="W8" s="21"/>
      <c r="X8" s="45"/>
      <c r="Y8" s="21"/>
      <c r="Z8" s="45"/>
      <c r="AA8" s="21"/>
      <c r="AB8" s="45"/>
      <c r="AC8" s="21"/>
      <c r="AD8" s="45"/>
      <c r="AE8" s="21"/>
      <c r="AF8" s="45"/>
      <c r="AG8" s="21"/>
    </row>
    <row r="9" spans="2:33" x14ac:dyDescent="0.3">
      <c r="B9" s="30"/>
      <c r="C9" s="32"/>
      <c r="D9" s="12"/>
      <c r="E9" s="18"/>
      <c r="F9" s="18"/>
      <c r="G9" s="49"/>
      <c r="H9" s="48"/>
      <c r="I9" s="89"/>
      <c r="J9" s="45"/>
      <c r="K9" s="21"/>
      <c r="L9" s="45"/>
      <c r="M9" s="21"/>
      <c r="N9" s="45"/>
      <c r="O9" s="21"/>
      <c r="P9" s="45"/>
      <c r="Q9" s="21"/>
      <c r="R9" s="45"/>
      <c r="S9" s="21"/>
      <c r="T9" s="45"/>
      <c r="U9" s="21"/>
      <c r="V9" s="45"/>
      <c r="W9" s="21"/>
      <c r="X9" s="45"/>
      <c r="Y9" s="21"/>
      <c r="Z9" s="45"/>
      <c r="AA9" s="21"/>
      <c r="AB9" s="45"/>
      <c r="AC9" s="21"/>
      <c r="AD9" s="45"/>
      <c r="AE9" s="21"/>
      <c r="AF9" s="45"/>
      <c r="AG9" s="21"/>
    </row>
    <row r="10" spans="2:33" x14ac:dyDescent="0.3">
      <c r="B10" s="30"/>
      <c r="C10" s="32"/>
      <c r="D10" s="12"/>
      <c r="E10" s="18"/>
      <c r="F10" s="18"/>
      <c r="G10" s="49"/>
      <c r="H10" s="48"/>
      <c r="I10" s="89"/>
      <c r="J10" s="45"/>
      <c r="K10" s="21"/>
      <c r="L10" s="45"/>
      <c r="M10" s="21"/>
      <c r="N10" s="45"/>
      <c r="O10" s="21"/>
      <c r="P10" s="45"/>
      <c r="Q10" s="21"/>
      <c r="R10" s="45"/>
      <c r="S10" s="21"/>
      <c r="T10" s="45"/>
      <c r="U10" s="21"/>
      <c r="V10" s="45"/>
      <c r="W10" s="21"/>
      <c r="X10" s="45"/>
      <c r="Y10" s="21"/>
      <c r="Z10" s="45"/>
      <c r="AA10" s="21"/>
      <c r="AB10" s="45"/>
      <c r="AC10" s="21"/>
      <c r="AD10" s="45"/>
      <c r="AE10" s="21"/>
      <c r="AF10" s="45"/>
      <c r="AG10" s="21"/>
    </row>
    <row r="11" spans="2:33" x14ac:dyDescent="0.3">
      <c r="B11" s="30"/>
      <c r="C11" s="32"/>
      <c r="D11" s="12"/>
      <c r="E11" s="18"/>
      <c r="F11" s="18"/>
      <c r="G11" s="49"/>
      <c r="H11" s="48"/>
      <c r="I11" s="89"/>
      <c r="J11" s="45"/>
      <c r="K11" s="21"/>
      <c r="L11" s="45"/>
      <c r="M11" s="21"/>
      <c r="N11" s="45"/>
      <c r="O11" s="21"/>
      <c r="P11" s="45"/>
      <c r="Q11" s="21"/>
      <c r="R11" s="45"/>
      <c r="S11" s="21"/>
      <c r="T11" s="45"/>
      <c r="U11" s="21"/>
      <c r="V11" s="45"/>
      <c r="W11" s="21"/>
      <c r="X11" s="45"/>
      <c r="Y11" s="21"/>
      <c r="Z11" s="45"/>
      <c r="AA11" s="21"/>
      <c r="AB11" s="45"/>
      <c r="AC11" s="21"/>
      <c r="AD11" s="45"/>
      <c r="AE11" s="21"/>
      <c r="AF11" s="45"/>
      <c r="AG11" s="21"/>
    </row>
    <row r="12" spans="2:33" x14ac:dyDescent="0.3">
      <c r="B12" s="30">
        <f>ROW()-ROW($B$3)</f>
        <v>9</v>
      </c>
      <c r="C12" s="32"/>
      <c r="D12" s="12"/>
      <c r="E12" s="18"/>
      <c r="F12" s="18">
        <f>SUM(J12,L12,N12,P12,R12,T12,V12,X12,Z12,AB12,AD12,AF12)</f>
        <v>0</v>
      </c>
      <c r="G12" s="49">
        <f t="shared" ref="G12" si="3">E12-F12</f>
        <v>0</v>
      </c>
      <c r="H12" s="48"/>
      <c r="I12" s="89" t="str" cm="1">
        <f t="array" ref="I12">IFERROR(LOOKUP(2,1/((MOD(COLUMN($K12:$AG12),2)=1)*($K12:$AG12&lt;&gt;"-")*($K12:$AG12&lt;&gt;"")),$K12:$AG12),"-")</f>
        <v>-</v>
      </c>
      <c r="J12" s="45"/>
      <c r="K12" s="21"/>
      <c r="L12" s="45"/>
      <c r="M12" s="21"/>
      <c r="N12" s="45"/>
      <c r="O12" s="21"/>
      <c r="P12" s="45"/>
      <c r="Q12" s="21"/>
      <c r="R12" s="45"/>
      <c r="S12" s="21"/>
      <c r="T12" s="45"/>
      <c r="U12" s="21"/>
      <c r="V12" s="45"/>
      <c r="W12" s="21"/>
      <c r="X12" s="45"/>
      <c r="Y12" s="21"/>
      <c r="Z12" s="45"/>
      <c r="AA12" s="21"/>
      <c r="AB12" s="45"/>
      <c r="AC12" s="21"/>
      <c r="AD12" s="45"/>
      <c r="AE12" s="21"/>
      <c r="AF12" s="45"/>
      <c r="AG12" s="21"/>
    </row>
    <row r="13" spans="2:33" ht="28.8" customHeight="1" x14ac:dyDescent="0.3">
      <c r="B13" s="17"/>
      <c r="C13" s="32"/>
      <c r="D13" s="12"/>
      <c r="E13" s="18"/>
      <c r="F13" s="18"/>
      <c r="G13" s="18"/>
      <c r="H13" s="22"/>
      <c r="I13" s="35"/>
      <c r="J13" s="45"/>
      <c r="K13" s="21"/>
      <c r="L13" s="45"/>
      <c r="M13" s="21"/>
      <c r="N13" s="19"/>
      <c r="O13" s="21"/>
      <c r="P13" s="19"/>
      <c r="Q13" s="21"/>
      <c r="R13" s="19"/>
      <c r="S13" s="21"/>
      <c r="T13" s="19"/>
      <c r="U13" s="20"/>
      <c r="V13" s="19"/>
      <c r="W13" s="20"/>
      <c r="X13" s="19"/>
      <c r="Y13" s="20"/>
      <c r="Z13" s="19"/>
      <c r="AA13" s="20"/>
      <c r="AB13" s="19"/>
      <c r="AC13" s="20"/>
      <c r="AD13" s="19"/>
      <c r="AE13" s="20"/>
      <c r="AF13" s="19"/>
      <c r="AG13" s="20"/>
    </row>
  </sheetData>
  <mergeCells count="13">
    <mergeCell ref="R2:S2"/>
    <mergeCell ref="B2:I2"/>
    <mergeCell ref="J2:K2"/>
    <mergeCell ref="L2:M2"/>
    <mergeCell ref="N2:O2"/>
    <mergeCell ref="P2:Q2"/>
    <mergeCell ref="AF2:AG2"/>
    <mergeCell ref="T2:U2"/>
    <mergeCell ref="V2:W2"/>
    <mergeCell ref="X2:Y2"/>
    <mergeCell ref="Z2:AA2"/>
    <mergeCell ref="AB2:AC2"/>
    <mergeCell ref="AD2:AE2"/>
  </mergeCells>
  <conditionalFormatting sqref="H7:H13">
    <cfRule type="colorScale" priority="53">
      <colorScale>
        <cfvo type="min"/>
        <cfvo type="percentile" val="50"/>
        <cfvo type="max"/>
        <color rgb="FFC00000"/>
        <color rgb="FFFFFF00"/>
        <color rgb="FF92D050"/>
      </colorScale>
    </cfRule>
  </conditionalFormatting>
  <conditionalFormatting sqref="H4:H6">
    <cfRule type="colorScale" priority="1">
      <colorScale>
        <cfvo type="min"/>
        <cfvo type="percentile" val="50"/>
        <cfvo type="max"/>
        <color rgb="FFC00000"/>
        <color rgb="FFFFFF00"/>
        <color rgb="FF92D050"/>
      </colorScale>
    </cfRule>
  </conditionalFormatting>
  <pageMargins left="0.7" right="0.7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6D52F35F-E73C-49F4-BA65-F2A954CDA700}">
            <xm:f>NOT(ISERROR(SEARCH('Tabelas Auxiliares'!$M$8,I4)))</xm:f>
            <xm:f>'Tabelas Auxiliares'!$M$8</xm:f>
            <x14:dxf>
              <fill>
                <patternFill>
                  <fgColor rgb="FFFF0000"/>
                  <bgColor rgb="FFFF0000"/>
                </patternFill>
              </fill>
            </x14:dxf>
          </x14:cfRule>
          <x14:cfRule type="containsText" priority="4" operator="containsText" id="{15899456-A934-4C86-9AAD-0CE1D3136B81}">
            <xm:f>NOT(ISERROR(SEARCH('Tabelas Auxiliares'!$M$7,I4)))</xm:f>
            <xm:f>'Tabelas Auxiliares'!$M$7</xm:f>
            <x14:dxf>
              <fill>
                <patternFill>
                  <fgColor rgb="FFFFFF00"/>
                  <bgColor rgb="FFFFFF00"/>
                </patternFill>
              </fill>
            </x14:dxf>
          </x14:cfRule>
          <x14:cfRule type="containsText" priority="5" operator="containsText" id="{C6452BC9-46EB-42C2-B392-A026DF1AC54B}">
            <xm:f>NOT(ISERROR(SEARCH('Tabelas Auxiliares'!$M$6,I4)))</xm:f>
            <xm:f>'Tabelas Auxiliares'!$M$6</xm:f>
            <x14:dxf>
              <fill>
                <patternFill>
                  <fgColor rgb="FF92D050"/>
                  <bgColor rgb="FF92D050"/>
                </patternFill>
              </fill>
            </x14:dxf>
          </x14:cfRule>
          <x14:cfRule type="containsText" priority="6" operator="containsText" id="{47BC91FE-FDCF-4FBD-B444-8707771C9F9C}">
            <xm:f>NOT(ISERROR(SEARCH('Tabelas Auxiliares'!$M$5,I4)))</xm:f>
            <xm:f>'Tabelas Auxiliares'!$M$5</xm:f>
            <x14:dxf>
              <fill>
                <patternFill>
                  <fgColor rgb="FF00B0F0"/>
                  <bgColor rgb="FF00B0F0"/>
                </patternFill>
              </fill>
            </x14:dxf>
          </x14:cfRule>
          <x14:cfRule type="containsText" priority="7" operator="containsText" id="{3E7C0D60-69A4-4F90-8CA6-BC7CC466C702}">
            <xm:f>NOT(ISERROR(SEARCH('Tabelas Auxiliares'!$M$4,I4)))</xm:f>
            <xm:f>'Tabelas Auxiliares'!$M$4</xm:f>
            <x14:dxf>
              <font>
                <color rgb="FF000000"/>
              </font>
              <fill>
                <patternFill patternType="solid">
                  <fgColor indexed="64"/>
                  <bgColor rgb="FFFFFFFF"/>
                </patternFill>
              </fill>
            </x14:dxf>
          </x14:cfRule>
          <xm:sqref>I4:I13</xm:sqref>
        </x14:conditionalFormatting>
        <x14:conditionalFormatting xmlns:xm="http://schemas.microsoft.com/office/excel/2006/main">
          <x14:cfRule type="containsText" priority="14" operator="containsText" id="{4DDB2EB8-EBDF-4048-A464-131448173791}">
            <xm:f>NOT(ISERROR(SEARCH('Tabelas Auxiliares'!$M$9,I4)))</xm:f>
            <xm:f>'Tabelas Auxiliares'!$M$9</xm:f>
            <x14:dxf>
              <font>
                <color rgb="FFFFFFFF"/>
              </font>
              <fill>
                <patternFill patternType="solid">
                  <fgColor indexed="64"/>
                  <bgColor rgb="FF7030A0"/>
                </patternFill>
              </fill>
            </x14:dxf>
          </x14:cfRule>
          <xm:sqref>I4:I13</xm:sqref>
        </x14:conditionalFormatting>
        <x14:conditionalFormatting xmlns:xm="http://schemas.microsoft.com/office/excel/2006/main">
          <x14:cfRule type="containsText" priority="54" operator="containsText" id="{7B77CC11-9C6C-497B-9AD7-EBC5D6C9242A}">
            <xm:f>NOT(ISERROR(SEARCH('Tabelas Auxiliares'!$M$10,I4)))</xm:f>
            <xm:f>'Tabelas Auxiliares'!$M$10</xm:f>
            <x14:dxf>
              <font>
                <color rgb="FFFFFFFF"/>
              </font>
              <fill>
                <patternFill patternType="solid">
                  <fgColor indexed="64"/>
                  <bgColor rgb="FFED7D31"/>
                </patternFill>
              </fill>
            </x14:dxf>
          </x14:cfRule>
          <xm:sqref>I4:I13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1FDB7E8-A432-49FA-B54C-34E56BC97F7B}">
          <x14:formula1>
            <xm:f>'Tabelas Auxiliares'!$M$4:$M$11</xm:f>
          </x14:formula1>
          <xm:sqref>S4:S13 K4:K13 M4:M13 AC4:AC13 Q4:Q13 U4:U13 W4:W13 Y4:Y13 AA4:AA13 AE4:AE13 AG4:AG13 O4:O13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FA6D2-CFB5-489B-89A3-813950E2228A}">
  <sheetPr codeName="Planilha12"/>
  <dimension ref="A1:N12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M13" sqref="M13"/>
    </sheetView>
  </sheetViews>
  <sheetFormatPr defaultRowHeight="15.6" x14ac:dyDescent="0.3"/>
  <cols>
    <col min="1" max="1" width="3.796875" customWidth="1"/>
    <col min="2" max="2" width="9.765625E-2" customWidth="1"/>
    <col min="3" max="3" width="10.19921875" customWidth="1"/>
    <col min="4" max="4" width="17.09765625" customWidth="1"/>
    <col min="5" max="5" width="9.3984375" customWidth="1"/>
    <col min="6" max="6" width="12.19921875" bestFit="1" customWidth="1"/>
    <col min="7" max="7" width="18.69921875" customWidth="1"/>
    <col min="8" max="8" width="10.8984375" customWidth="1"/>
    <col min="9" max="9" width="53.69921875" customWidth="1"/>
    <col min="10" max="10" width="28.19921875" customWidth="1"/>
    <col min="11" max="11" width="17.5" bestFit="1" customWidth="1"/>
    <col min="12" max="12" width="16" bestFit="1" customWidth="1"/>
    <col min="13" max="13" width="68.59765625" customWidth="1"/>
  </cols>
  <sheetData>
    <row r="1" spans="1:14" ht="16.2" thickBot="1" x14ac:dyDescent="0.35"/>
    <row r="2" spans="1:14" ht="58.2" customHeight="1" thickBot="1" x14ac:dyDescent="0.35">
      <c r="B2" s="301" t="s">
        <v>706</v>
      </c>
      <c r="C2" s="302"/>
      <c r="D2" s="302"/>
      <c r="E2" s="302"/>
      <c r="F2" s="302"/>
      <c r="G2" s="302"/>
      <c r="H2" s="302"/>
      <c r="I2" s="302"/>
      <c r="J2" s="302"/>
      <c r="K2" s="302"/>
      <c r="L2" s="302"/>
      <c r="M2" s="303"/>
    </row>
    <row r="3" spans="1:14" ht="62.4" customHeight="1" thickBot="1" x14ac:dyDescent="0.4">
      <c r="A3" s="1"/>
      <c r="B3" s="24" t="s">
        <v>3</v>
      </c>
      <c r="C3" s="25" t="s">
        <v>4</v>
      </c>
      <c r="D3" s="25" t="s">
        <v>5</v>
      </c>
      <c r="E3" s="25" t="s">
        <v>6</v>
      </c>
      <c r="F3" s="25" t="s">
        <v>7</v>
      </c>
      <c r="G3" s="25" t="s">
        <v>40</v>
      </c>
      <c r="H3" s="25" t="s">
        <v>8</v>
      </c>
      <c r="I3" s="25" t="s">
        <v>0</v>
      </c>
      <c r="J3" s="25" t="s">
        <v>9</v>
      </c>
      <c r="K3" s="25" t="s">
        <v>1</v>
      </c>
      <c r="L3" s="25" t="s">
        <v>10</v>
      </c>
      <c r="M3" s="23" t="s">
        <v>46</v>
      </c>
      <c r="N3" s="2"/>
    </row>
    <row r="4" spans="1:14" ht="62.4" x14ac:dyDescent="0.35">
      <c r="A4" s="1"/>
      <c r="B4" s="29">
        <f>'REGIÃO 16 - HISTÓRICO'!B4</f>
        <v>0</v>
      </c>
      <c r="C4" s="87" t="s">
        <v>35</v>
      </c>
      <c r="D4" s="27" t="str">
        <f>_xlfn.XLOOKUP(tbResumoR16[[#This Row],[REGIÃO]],tbRegioes[Código Região],tbRegioes[Contrato],"")</f>
        <v>036.2025</v>
      </c>
      <c r="E4" s="26">
        <f>'REGIÃO 16 - HISTÓRICO'!C4</f>
        <v>1</v>
      </c>
      <c r="F4" s="85" t="s">
        <v>61</v>
      </c>
      <c r="G4" s="183" t="str">
        <f>'REGIÃO 16 - HISTÓRICO'!D4</f>
        <v>mar/abr/mai</v>
      </c>
      <c r="H4" s="8">
        <v>73</v>
      </c>
      <c r="I4" s="83" t="str">
        <f>IF(tbResumoR16[[#This Row],[N° TRECHO]]="","",IFERROR(INDEX('REGIÃO 01 - TRECHOS'!$F$4:$F$119,MATCH(tbResumoR16[[#This Row],[N° TRECHO]],'REGIÃO 01 - TRECHOS'!$E$4:$E$119,0)),IFERROR(INDEX('REGIÃO 02 - TRECHOS'!$F$4:$F$76,MATCH(tbResumoR16[[#This Row],[N° TRECHO]],'REGIÃO 02 - TRECHOS'!$E$4:$E$76,0)),IFERROR(INDEX('REGIÃO 03 - TRECHOS'!$F$4:$F$53,MATCH(tbResumoR16[[#This Row],[N° TRECHO]],'REGIÃO 03 - TRECHOS'!$E$4:$E$53,0)),"Trecho não cadastrado"))))</f>
        <v>RODOVIA TO-130 - TRECHO ENTR. TO-010 - TRECHO BARRA DO OURO - ENTR. BR-010 (POVOADO MORRO GRANDE)</v>
      </c>
      <c r="J4" s="85" t="s">
        <v>834</v>
      </c>
      <c r="K4" s="9">
        <f>'REGIÃO 16 - HISTÓRICO'!E4</f>
        <v>20918755.530000001</v>
      </c>
      <c r="L4" s="188" t="str">
        <f>'REGIÃO 16 - HISTÓRICO'!I4</f>
        <v>Concluída</v>
      </c>
      <c r="M4" s="34"/>
      <c r="N4" s="2"/>
    </row>
    <row r="5" spans="1:14" ht="62.4" x14ac:dyDescent="0.35">
      <c r="A5" s="1"/>
      <c r="B5" s="29">
        <f>'REGIÃO 16 - HISTÓRICO'!B5</f>
        <v>0</v>
      </c>
      <c r="C5" s="87" t="s">
        <v>35</v>
      </c>
      <c r="D5" s="27" t="str">
        <f>_xlfn.XLOOKUP(tbResumoR16[[#This Row],[REGIÃO]],tbRegioes[Código Região],tbRegioes[Contrato],"")</f>
        <v>036.2025</v>
      </c>
      <c r="E5" s="26">
        <f>'REGIÃO 16 - HISTÓRICO'!C5</f>
        <v>2</v>
      </c>
      <c r="F5" s="85" t="s">
        <v>64</v>
      </c>
      <c r="G5" s="183" t="str">
        <f>'REGIÃO 16 - HISTÓRICO'!D5</f>
        <v>jun/jul</v>
      </c>
      <c r="H5" s="8">
        <v>68</v>
      </c>
      <c r="I5" s="83" t="str">
        <f>IF(tbResumoR16[[#This Row],[N° TRECHO]]="","",IFERROR(INDEX('REGIÃO 01 - TRECHOS'!$F$4:$F$119,MATCH(tbResumoR16[[#This Row],[N° TRECHO]],'REGIÃO 01 - TRECHOS'!$E$4:$E$119,0)),IFERROR(INDEX('REGIÃO 02 - TRECHOS'!$F$4:$F$76,MATCH(tbResumoR16[[#This Row],[N° TRECHO]],'REGIÃO 02 - TRECHOS'!$E$4:$E$76,0)),IFERROR(INDEX('REGIÃO 03 - TRECHOS'!$F$4:$F$53,MATCH(tbResumoR16[[#This Row],[N° TRECHO]],'REGIÃO 03 - TRECHOS'!$E$4:$E$53,0)),"Trecho não cadastrado"))))</f>
        <v>RODOVIA TO-010 - TRECHO PALMEIRANTE - ENTR. TO-222 (POVOADO BIELÂNDIA)</v>
      </c>
      <c r="J5" s="85" t="s">
        <v>836</v>
      </c>
      <c r="K5" s="9">
        <f>'REGIÃO 16 - HISTÓRICO'!E5</f>
        <v>5613050.5800000001</v>
      </c>
      <c r="L5" s="188" t="str">
        <f>'REGIÃO 16 - HISTÓRICO'!I5</f>
        <v>Concluída</v>
      </c>
      <c r="M5" s="34"/>
      <c r="N5" s="2"/>
    </row>
    <row r="6" spans="1:14" ht="78" x14ac:dyDescent="0.3">
      <c r="B6" s="33">
        <f>'REGIÃO 16 - HISTÓRICO'!B6</f>
        <v>0</v>
      </c>
      <c r="C6" s="87" t="s">
        <v>35</v>
      </c>
      <c r="D6" s="99" t="str">
        <f>_xlfn.XLOOKUP(tbResumoR16[[#This Row],[REGIÃO]],tbRegioes[Código Região],tbRegioes[Contrato],"")</f>
        <v>036.2025</v>
      </c>
      <c r="E6" s="26">
        <f>'REGIÃO 16 - HISTÓRICO'!C6</f>
        <v>3</v>
      </c>
      <c r="F6" s="85" t="s">
        <v>64</v>
      </c>
      <c r="G6" s="183" t="str">
        <f>'REGIÃO 16 - HISTÓRICO'!D6</f>
        <v>jun/jul</v>
      </c>
      <c r="H6" s="8">
        <v>68</v>
      </c>
      <c r="I6" s="187" t="str">
        <f>IF(tbResumoR16[[#This Row],[N° TRECHO]]="","",IFERROR(INDEX('REGIÃO 01 - TRECHOS'!$F$4:$F$119,MATCH(tbResumoR16[[#This Row],[N° TRECHO]],'REGIÃO 01 - TRECHOS'!$E$4:$E$119,0)),IFERROR(INDEX('REGIÃO 02 - TRECHOS'!$F$4:$F$76,MATCH(tbResumoR16[[#This Row],[N° TRECHO]],'REGIÃO 02 - TRECHOS'!$E$4:$E$76,0)),IFERROR(INDEX('REGIÃO 03 - TRECHOS'!$F$4:$F$53,MATCH(tbResumoR16[[#This Row],[N° TRECHO]],'REGIÃO 03 - TRECHOS'!$E$4:$E$53,0)),"Trecho não cadastrado"))))</f>
        <v>RODOVIA TO-010 - TRECHO PALMEIRANTE - ENTR. TO-222 (POVOADO BIELÂNDIA)</v>
      </c>
      <c r="J6" s="85" t="s">
        <v>835</v>
      </c>
      <c r="K6" s="9">
        <f>'REGIÃO 16 - HISTÓRICO'!E6</f>
        <v>5839446.1399999997</v>
      </c>
      <c r="L6" s="188" t="str">
        <f>'REGIÃO 16 - HISTÓRICO'!I6</f>
        <v>Concluída</v>
      </c>
      <c r="M6" s="181"/>
    </row>
    <row r="7" spans="1:14" ht="62.4" x14ac:dyDescent="0.3">
      <c r="B7" s="33">
        <f>'REGIÃO 16 - HISTÓRICO'!B7</f>
        <v>0</v>
      </c>
      <c r="C7" s="87" t="s">
        <v>35</v>
      </c>
      <c r="D7" s="99" t="str">
        <f>_xlfn.XLOOKUP(tbResumoR16[[#This Row],[REGIÃO]],tbRegioes[Código Região],tbRegioes[Contrato],"")</f>
        <v>036.2025</v>
      </c>
      <c r="E7" s="26">
        <f>'REGIÃO 16 - HISTÓRICO'!C7</f>
        <v>4</v>
      </c>
      <c r="F7" s="179" t="s">
        <v>776</v>
      </c>
      <c r="G7" s="183" t="str">
        <f>'REGIÃO 16 - HISTÓRICO'!D7</f>
        <v>ago/set/out</v>
      </c>
      <c r="H7" s="8">
        <v>74</v>
      </c>
      <c r="I7" s="187" t="str">
        <f>IF(tbResumoR16[[#This Row],[N° TRECHO]]="","",IFERROR(INDEX('REGIÃO 01 - TRECHOS'!$F$4:$F$119,MATCH(tbResumoR16[[#This Row],[N° TRECHO]],'REGIÃO 01 - TRECHOS'!$E$4:$E$119,0)),IFERROR(INDEX('REGIÃO 02 - TRECHOS'!$F$4:$F$76,MATCH(tbResumoR16[[#This Row],[N° TRECHO]],'REGIÃO 02 - TRECHOS'!$E$4:$E$76,0)),IFERROR(INDEX('REGIÃO 03 - TRECHOS'!$F$4:$F$53,MATCH(tbResumoR16[[#This Row],[N° TRECHO]],'REGIÃO 03 - TRECHOS'!$E$4:$E$53,0)),"Trecho não cadastrado"))))</f>
        <v>RODOVIA TO-222 - TRECHO ARAGUAÍNA - FILADÉLFIA</v>
      </c>
      <c r="J7" s="85" t="s">
        <v>834</v>
      </c>
      <c r="K7" s="9">
        <f>'REGIÃO 16 - HISTÓRICO'!E7</f>
        <v>1304987.33</v>
      </c>
      <c r="L7" s="188" t="str">
        <f>'REGIÃO 16 - HISTÓRICO'!I7</f>
        <v>Em elaboração</v>
      </c>
      <c r="M7" s="181"/>
    </row>
    <row r="8" spans="1:14" ht="62.4" x14ac:dyDescent="0.3">
      <c r="B8" s="33">
        <f>'REGIÃO 16 - HISTÓRICO'!B8</f>
        <v>0</v>
      </c>
      <c r="C8" s="87" t="s">
        <v>35</v>
      </c>
      <c r="D8" s="99" t="str">
        <f>_xlfn.XLOOKUP(tbResumoR16[[#This Row],[REGIÃO]],tbRegioes[Código Região],tbRegioes[Contrato],"")</f>
        <v>036.2025</v>
      </c>
      <c r="E8" s="26">
        <f>'REGIÃO 16 - HISTÓRICO'!C8</f>
        <v>5</v>
      </c>
      <c r="F8" s="179" t="s">
        <v>776</v>
      </c>
      <c r="G8" s="183" t="str">
        <f>'REGIÃO 16 - HISTÓRICO'!D8</f>
        <v>ago/set/out</v>
      </c>
      <c r="H8" s="8">
        <v>77</v>
      </c>
      <c r="I8" s="187" t="str">
        <f>IF(tbResumoR16[[#This Row],[N° TRECHO]]="","",IFERROR(INDEX('REGIÃO 01 - TRECHOS'!$F$4:$F$119,MATCH(tbResumoR16[[#This Row],[N° TRECHO]],'REGIÃO 01 - TRECHOS'!$E$4:$E$119,0)),IFERROR(INDEX('REGIÃO 02 - TRECHOS'!$F$4:$F$76,MATCH(tbResumoR16[[#This Row],[N° TRECHO]],'REGIÃO 02 - TRECHOS'!$E$4:$E$76,0)),IFERROR(INDEX('REGIÃO 03 - TRECHOS'!$F$4:$F$53,MATCH(tbResumoR16[[#This Row],[N° TRECHO]],'REGIÃO 03 - TRECHOS'!$E$4:$E$53,0)),"Trecho não cadastrado"))))</f>
        <v>RODOVIA TO-226 - TRECHO GOIATINS - CAMPOS LINDOS - DIV TO-MA</v>
      </c>
      <c r="J8" s="85" t="s">
        <v>832</v>
      </c>
      <c r="K8" s="9">
        <f>'REGIÃO 16 - HISTÓRICO'!E8</f>
        <v>8406774.8100000005</v>
      </c>
      <c r="L8" s="188" t="str">
        <f>'REGIÃO 16 - HISTÓRICO'!I8</f>
        <v>Em andamento</v>
      </c>
      <c r="M8" s="192"/>
    </row>
    <row r="9" spans="1:14" ht="31.2" x14ac:dyDescent="0.3">
      <c r="B9" s="33">
        <f>'REGIÃO 16 - HISTÓRICO'!B9</f>
        <v>0</v>
      </c>
      <c r="C9" s="211" t="s">
        <v>35</v>
      </c>
      <c r="D9" s="313" t="str">
        <f>_xlfn.XLOOKUP(tbResumoR16[[#This Row],[REGIÃO]],tbRegioes[Código Região],tbRegioes[Contrato],"")</f>
        <v>036.2025</v>
      </c>
      <c r="E9" s="335">
        <f>'REGIÃO 16 - HISTÓRICO'!C9</f>
        <v>6</v>
      </c>
      <c r="F9" s="314" t="s">
        <v>841</v>
      </c>
      <c r="G9" s="336" t="str">
        <f>'REGIÃO 16 - HISTÓRICO'!D9</f>
        <v>set/out/nov</v>
      </c>
      <c r="H9" s="213">
        <v>77</v>
      </c>
      <c r="I9" s="315" t="str">
        <f>IF(tbResumoR16[[#This Row],[N° TRECHO]]="","",IFERROR(INDEX('REGIÃO 01 - TRECHOS'!$F$4:$F$119,MATCH(tbResumoR16[[#This Row],[N° TRECHO]],'REGIÃO 01 - TRECHOS'!$E$4:$E$119,0)),IFERROR(INDEX('REGIÃO 02 - TRECHOS'!$F$4:$F$76,MATCH(tbResumoR16[[#This Row],[N° TRECHO]],'REGIÃO 02 - TRECHOS'!$E$4:$E$76,0)),IFERROR(INDEX('REGIÃO 03 - TRECHOS'!$F$4:$F$53,MATCH(tbResumoR16[[#This Row],[N° TRECHO]],'REGIÃO 03 - TRECHOS'!$E$4:$E$53,0)),"Trecho não cadastrado"))))</f>
        <v>RODOVIA TO-226 - TRECHO GOIATINS - CAMPOS LINDOS - DIV TO-MA</v>
      </c>
      <c r="J9" s="214" t="s">
        <v>817</v>
      </c>
      <c r="K9" s="316">
        <f>'REGIÃO 16 - HISTÓRICO'!E9</f>
        <v>0</v>
      </c>
      <c r="L9" s="317" t="str">
        <f>'REGIÃO 16 - HISTÓRICO'!I9</f>
        <v>Em elaboração</v>
      </c>
      <c r="M9" s="215"/>
    </row>
    <row r="10" spans="1:14" x14ac:dyDescent="0.3">
      <c r="B10" s="10"/>
      <c r="C10" s="304"/>
      <c r="D10" s="304"/>
      <c r="E10" s="304"/>
      <c r="F10" s="304"/>
      <c r="G10" s="304"/>
      <c r="H10" s="304"/>
      <c r="I10" s="304"/>
      <c r="J10" s="304"/>
      <c r="K10" s="304"/>
      <c r="L10" s="304"/>
      <c r="M10" s="304"/>
    </row>
    <row r="11" spans="1:14" x14ac:dyDescent="0.3">
      <c r="B11" s="10"/>
      <c r="C11" s="10"/>
      <c r="D11" s="10"/>
      <c r="E11" s="10"/>
      <c r="F11" s="10"/>
      <c r="H11" s="10"/>
    </row>
    <row r="12" spans="1:14" x14ac:dyDescent="0.3">
      <c r="B12" s="10"/>
      <c r="C12" s="10"/>
      <c r="D12" s="10"/>
      <c r="E12" s="10"/>
      <c r="F12" s="10"/>
      <c r="H12" s="10"/>
    </row>
  </sheetData>
  <sheetProtection formatCells="0" formatColumns="0" formatRows="0" insertColumns="0" insertRows="0" insertHyperlinks="0" deleteColumns="0" deleteRows="0" sort="0" autoFilter="0" pivotTables="0"/>
  <mergeCells count="2">
    <mergeCell ref="B2:M2"/>
    <mergeCell ref="C10:M10"/>
  </mergeCells>
  <dataValidations count="1">
    <dataValidation allowBlank="1" showInputMessage="1" showErrorMessage="1" sqref="D4:D9" xr:uid="{2E43EA06-856D-4A61-8FD2-4B93C8B52E78}"/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85AD85A-B8BD-4063-A828-C73C7689708D}">
          <x14:formula1>
            <xm:f>'Tabelas Auxiliares'!$M$4:$M$11</xm:f>
          </x14:formula1>
          <xm:sqref>L4:L9</xm:sqref>
        </x14:dataValidation>
        <x14:dataValidation type="list" allowBlank="1" showInputMessage="1" showErrorMessage="1" xr:uid="{865EAE82-4007-4141-804F-A65D113994DB}">
          <x14:formula1>
            <xm:f>'Tabelas Auxiliares'!$B$4:$B$9</xm:f>
          </x14:formula1>
          <xm:sqref>C4:C9</xm:sqref>
        </x14:dataValidation>
        <x14:dataValidation type="list" allowBlank="1" showInputMessage="1" showErrorMessage="1" xr:uid="{CAD4E44B-829B-4A0B-A6E5-7EAE9276AE6D}">
          <x14:formula1>
            <xm:f>'Tabelas Auxiliares'!$K$3:$K$50</xm:f>
          </x14:formula1>
          <xm:sqref>J4:J9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00593-BE36-4907-9326-763AFA6243F7}">
  <sheetPr codeName="Planilha13"/>
  <dimension ref="B2:AG10"/>
  <sheetViews>
    <sheetView zoomScaleNormal="100" workbookViewId="0">
      <pane xSplit="9" ySplit="3" topLeftCell="X4" activePane="bottomRight" state="frozen"/>
      <selection pane="topRight" activeCell="J1" sqref="J1"/>
      <selection pane="bottomLeft" activeCell="A4" sqref="A4"/>
      <selection pane="bottomRight" activeCell="Y20" sqref="Y20"/>
    </sheetView>
  </sheetViews>
  <sheetFormatPr defaultRowHeight="15.6" x14ac:dyDescent="0.3"/>
  <cols>
    <col min="1" max="1" width="3" customWidth="1"/>
    <col min="2" max="2" width="4.19921875" style="10" hidden="1" customWidth="1"/>
    <col min="3" max="3" width="11.69921875" style="10" customWidth="1"/>
    <col min="4" max="4" width="20" style="10" customWidth="1"/>
    <col min="5" max="7" width="22.5" customWidth="1"/>
    <col min="8" max="8" width="14.8984375" customWidth="1"/>
    <col min="9" max="9" width="22.5" style="36" customWidth="1"/>
    <col min="10" max="10" width="15.8984375" style="46" customWidth="1"/>
    <col min="11" max="11" width="14.69921875" style="10" customWidth="1"/>
    <col min="12" max="12" width="15.5" style="46" customWidth="1"/>
    <col min="13" max="13" width="14.796875" style="10" customWidth="1"/>
    <col min="14" max="14" width="15.59765625" customWidth="1"/>
    <col min="15" max="15" width="14.69921875" style="10" customWidth="1"/>
    <col min="16" max="16" width="15.59765625" customWidth="1"/>
    <col min="17" max="17" width="14.69921875" customWidth="1"/>
    <col min="18" max="18" width="15.59765625" customWidth="1"/>
    <col min="19" max="19" width="14.69921875" customWidth="1"/>
    <col min="20" max="20" width="15.59765625" customWidth="1"/>
    <col min="21" max="21" width="14.69921875" customWidth="1"/>
    <col min="22" max="22" width="15.59765625" customWidth="1"/>
    <col min="23" max="23" width="14.69921875" customWidth="1"/>
    <col min="24" max="24" width="15.59765625" customWidth="1"/>
    <col min="25" max="25" width="14.69921875" customWidth="1"/>
    <col min="26" max="26" width="15.59765625" customWidth="1"/>
    <col min="27" max="27" width="14.69921875" customWidth="1"/>
    <col min="28" max="28" width="15.59765625" customWidth="1"/>
    <col min="29" max="29" width="14.69921875" customWidth="1"/>
    <col min="30" max="30" width="15.59765625" customWidth="1"/>
    <col min="31" max="31" width="14.69921875" customWidth="1"/>
    <col min="32" max="32" width="15.59765625" customWidth="1"/>
    <col min="33" max="33" width="14.69921875" customWidth="1"/>
  </cols>
  <sheetData>
    <row r="2" spans="2:33" ht="30.6" customHeight="1" x14ac:dyDescent="0.3">
      <c r="B2" s="218" t="s">
        <v>706</v>
      </c>
      <c r="C2" s="219"/>
      <c r="D2" s="219"/>
      <c r="E2" s="219"/>
      <c r="F2" s="219"/>
      <c r="G2" s="219"/>
      <c r="H2" s="219"/>
      <c r="I2" s="219"/>
      <c r="J2" s="216">
        <v>46023</v>
      </c>
      <c r="K2" s="217"/>
      <c r="L2" s="220">
        <v>46054</v>
      </c>
      <c r="M2" s="221"/>
      <c r="N2" s="222">
        <v>46082</v>
      </c>
      <c r="O2" s="223"/>
      <c r="P2" s="224">
        <v>46113</v>
      </c>
      <c r="Q2" s="225"/>
      <c r="R2" s="216">
        <v>46143</v>
      </c>
      <c r="S2" s="217"/>
      <c r="T2" s="220">
        <v>46174</v>
      </c>
      <c r="U2" s="221"/>
      <c r="V2" s="222">
        <v>46204</v>
      </c>
      <c r="W2" s="223"/>
      <c r="X2" s="224">
        <v>46235</v>
      </c>
      <c r="Y2" s="225"/>
      <c r="Z2" s="216">
        <v>46266</v>
      </c>
      <c r="AA2" s="217"/>
      <c r="AB2" s="220">
        <v>46296</v>
      </c>
      <c r="AC2" s="221"/>
      <c r="AD2" s="222">
        <v>46327</v>
      </c>
      <c r="AE2" s="223"/>
      <c r="AF2" s="224">
        <v>46357</v>
      </c>
      <c r="AG2" s="225"/>
    </row>
    <row r="3" spans="2:33" ht="31.2" x14ac:dyDescent="0.3">
      <c r="B3" s="16" t="s">
        <v>3</v>
      </c>
      <c r="C3" s="16" t="s">
        <v>6</v>
      </c>
      <c r="D3" s="16" t="s">
        <v>40</v>
      </c>
      <c r="E3" s="16" t="s">
        <v>1</v>
      </c>
      <c r="F3" s="16" t="s">
        <v>42</v>
      </c>
      <c r="G3" s="16" t="s">
        <v>43</v>
      </c>
      <c r="H3" s="16" t="s">
        <v>45</v>
      </c>
      <c r="I3" s="50" t="s">
        <v>44</v>
      </c>
      <c r="J3" s="51" t="s">
        <v>39</v>
      </c>
      <c r="K3" s="13" t="s">
        <v>10</v>
      </c>
      <c r="L3" s="11" t="s">
        <v>39</v>
      </c>
      <c r="M3" s="11" t="s">
        <v>10</v>
      </c>
      <c r="N3" s="14" t="s">
        <v>39</v>
      </c>
      <c r="O3" s="14" t="s">
        <v>10</v>
      </c>
      <c r="P3" s="15" t="s">
        <v>39</v>
      </c>
      <c r="Q3" s="15" t="s">
        <v>10</v>
      </c>
      <c r="R3" s="13" t="s">
        <v>39</v>
      </c>
      <c r="S3" s="13" t="s">
        <v>10</v>
      </c>
      <c r="T3" s="11" t="s">
        <v>39</v>
      </c>
      <c r="U3" s="11" t="s">
        <v>10</v>
      </c>
      <c r="V3" s="14" t="s">
        <v>39</v>
      </c>
      <c r="W3" s="14" t="s">
        <v>10</v>
      </c>
      <c r="X3" s="15" t="s">
        <v>39</v>
      </c>
      <c r="Y3" s="15" t="s">
        <v>10</v>
      </c>
      <c r="Z3" s="13" t="s">
        <v>39</v>
      </c>
      <c r="AA3" s="13" t="s">
        <v>10</v>
      </c>
      <c r="AB3" s="11" t="s">
        <v>39</v>
      </c>
      <c r="AC3" s="11" t="s">
        <v>10</v>
      </c>
      <c r="AD3" s="14" t="s">
        <v>39</v>
      </c>
      <c r="AE3" s="14" t="s">
        <v>10</v>
      </c>
      <c r="AF3" s="15" t="s">
        <v>39</v>
      </c>
      <c r="AG3" s="15" t="s">
        <v>10</v>
      </c>
    </row>
    <row r="4" spans="2:33" x14ac:dyDescent="0.3">
      <c r="B4" s="30"/>
      <c r="C4" s="32">
        <v>1</v>
      </c>
      <c r="D4" s="12" t="s">
        <v>74</v>
      </c>
      <c r="E4" s="18">
        <v>20918755.530000001</v>
      </c>
      <c r="F4" s="18">
        <f>SUM(J4,L4,N4,P4,R4,T4,V4,X4,Z4,AB4,AD4,AF4)</f>
        <v>20301976.329999998</v>
      </c>
      <c r="G4" s="49">
        <f>E4-F4</f>
        <v>616779.20000000298</v>
      </c>
      <c r="H4" s="48">
        <f>F4/E4</f>
        <v>0.9705154927062718</v>
      </c>
      <c r="I4" s="89" t="str" cm="1">
        <f t="array" ref="I4">IFERROR(LOOKUP(2,1/((MOD(COLUMN($K4:$AG4),2)=1)*($K4:$AG4&lt;&gt;"-")*($K4:$AG4&lt;&gt;"")),$K4:$AG4),"-")</f>
        <v>Concluída</v>
      </c>
      <c r="J4" s="45"/>
      <c r="K4" s="21"/>
      <c r="L4" s="45"/>
      <c r="M4" s="21"/>
      <c r="N4" s="45">
        <v>1530229.79</v>
      </c>
      <c r="O4" s="21" t="s">
        <v>26</v>
      </c>
      <c r="P4" s="45">
        <v>7232414.29</v>
      </c>
      <c r="Q4" s="21" t="s">
        <v>26</v>
      </c>
      <c r="R4" s="45">
        <v>11539332.25</v>
      </c>
      <c r="S4" s="21" t="s">
        <v>28</v>
      </c>
      <c r="T4" s="45"/>
      <c r="U4" s="21"/>
      <c r="V4" s="45"/>
      <c r="W4" s="21"/>
      <c r="X4" s="45"/>
      <c r="Y4" s="21"/>
      <c r="Z4" s="45"/>
      <c r="AA4" s="21"/>
      <c r="AB4" s="45"/>
      <c r="AC4" s="21"/>
      <c r="AD4" s="45"/>
      <c r="AE4" s="21"/>
      <c r="AF4" s="45"/>
      <c r="AG4" s="21"/>
    </row>
    <row r="5" spans="2:33" x14ac:dyDescent="0.3">
      <c r="B5" s="30"/>
      <c r="C5" s="32">
        <v>2</v>
      </c>
      <c r="D5" s="12" t="s">
        <v>701</v>
      </c>
      <c r="E5" s="18">
        <v>5613050.5800000001</v>
      </c>
      <c r="F5" s="18">
        <f t="shared" ref="F5:F7" si="0">SUM(J5,L5,N5,P5,R5,T5,V5,X5,Z5,AB5,AD5,AF5)</f>
        <v>5550900.46</v>
      </c>
      <c r="G5" s="49">
        <f t="shared" ref="G5:G7" si="1">E5-F5</f>
        <v>62150.120000000112</v>
      </c>
      <c r="H5" s="48">
        <f t="shared" ref="H5:H7" si="2">F5/E5</f>
        <v>0.98892756815314498</v>
      </c>
      <c r="I5" s="89" t="str" cm="1">
        <f t="array" ref="I5">IFERROR(LOOKUP(2,1/((MOD(COLUMN($K5:$AG5),2)=1)*($K5:$AG5&lt;&gt;"-")*($K5:$AG5&lt;&gt;"")),$K5:$AG5),"-")</f>
        <v>Concluída</v>
      </c>
      <c r="J5" s="45"/>
      <c r="K5" s="21"/>
      <c r="L5" s="45"/>
      <c r="M5" s="21"/>
      <c r="N5" s="45"/>
      <c r="O5" s="21"/>
      <c r="P5" s="45"/>
      <c r="Q5" s="21"/>
      <c r="R5" s="45"/>
      <c r="S5" s="21"/>
      <c r="T5" s="45">
        <v>5550900.46</v>
      </c>
      <c r="U5" s="21" t="s">
        <v>26</v>
      </c>
      <c r="V5" s="45"/>
      <c r="W5" s="21" t="s">
        <v>28</v>
      </c>
      <c r="X5" s="45"/>
      <c r="Y5" s="21"/>
      <c r="Z5" s="45"/>
      <c r="AA5" s="21"/>
      <c r="AB5" s="45"/>
      <c r="AC5" s="21"/>
      <c r="AD5" s="45"/>
      <c r="AE5" s="21"/>
      <c r="AF5" s="45"/>
      <c r="AG5" s="21"/>
    </row>
    <row r="6" spans="2:33" x14ac:dyDescent="0.3">
      <c r="B6" s="30"/>
      <c r="C6" s="32">
        <v>3</v>
      </c>
      <c r="D6" s="10" t="s">
        <v>701</v>
      </c>
      <c r="E6" s="18">
        <v>5839446.1399999997</v>
      </c>
      <c r="F6" s="18">
        <f t="shared" si="0"/>
        <v>5645703</v>
      </c>
      <c r="G6" s="49">
        <f t="shared" si="1"/>
        <v>193743.13999999966</v>
      </c>
      <c r="H6" s="48">
        <f t="shared" si="2"/>
        <v>0.9668216581923984</v>
      </c>
      <c r="I6" s="89" t="str" cm="1">
        <f t="array" ref="I6">IFERROR(LOOKUP(2,1/((MOD(COLUMN($K6:$AG6),2)=1)*($K6:$AG6&lt;&gt;"-")*($K6:$AG6&lt;&gt;"")),$K6:$AG6),"-")</f>
        <v>Concluída</v>
      </c>
      <c r="J6" s="45"/>
      <c r="K6" s="21"/>
      <c r="L6" s="45"/>
      <c r="M6" s="21"/>
      <c r="N6" s="45"/>
      <c r="O6" s="21"/>
      <c r="P6" s="45"/>
      <c r="Q6" s="21"/>
      <c r="R6" s="45"/>
      <c r="S6" s="21"/>
      <c r="T6" s="45">
        <v>5276893.41</v>
      </c>
      <c r="U6" s="21" t="s">
        <v>26</v>
      </c>
      <c r="V6" s="45">
        <v>368809.59</v>
      </c>
      <c r="W6" s="21" t="s">
        <v>28</v>
      </c>
      <c r="X6" s="45"/>
      <c r="Y6" s="21"/>
      <c r="Z6" s="45"/>
      <c r="AA6" s="21"/>
      <c r="AB6" s="45"/>
      <c r="AC6" s="21"/>
      <c r="AD6" s="45"/>
      <c r="AE6" s="21"/>
      <c r="AF6" s="45"/>
      <c r="AG6" s="21"/>
    </row>
    <row r="7" spans="2:33" x14ac:dyDescent="0.3">
      <c r="B7" s="30"/>
      <c r="C7" s="32">
        <v>4</v>
      </c>
      <c r="D7" s="12" t="s">
        <v>781</v>
      </c>
      <c r="E7" s="18">
        <v>1304987.33</v>
      </c>
      <c r="F7" s="18">
        <f t="shared" si="0"/>
        <v>0</v>
      </c>
      <c r="G7" s="49">
        <f t="shared" si="1"/>
        <v>1304987.33</v>
      </c>
      <c r="H7" s="48">
        <f t="shared" si="2"/>
        <v>0</v>
      </c>
      <c r="I7" s="89" t="str" cm="1">
        <f t="array" ref="I7">IFERROR(LOOKUP(2,1/((MOD(COLUMN($K7:$AG7),2)=1)*($K7:$AG7&lt;&gt;"-")*($K7:$AG7&lt;&gt;"")),$K7:$AG7),"-")</f>
        <v>Em elaboração</v>
      </c>
      <c r="J7" s="45"/>
      <c r="K7" s="21"/>
      <c r="L7" s="45"/>
      <c r="M7" s="21"/>
      <c r="N7" s="45"/>
      <c r="O7" s="21"/>
      <c r="P7" s="45"/>
      <c r="Q7" s="21"/>
      <c r="R7" s="45"/>
      <c r="S7" s="21"/>
      <c r="T7" s="45"/>
      <c r="U7" s="21"/>
      <c r="V7" s="45"/>
      <c r="W7" s="21"/>
      <c r="X7" s="45"/>
      <c r="Y7" s="21" t="s">
        <v>77</v>
      </c>
      <c r="Z7" s="45"/>
      <c r="AA7" s="21"/>
      <c r="AB7" s="45"/>
      <c r="AC7" s="21"/>
      <c r="AD7" s="45"/>
      <c r="AE7" s="21"/>
      <c r="AF7" s="45"/>
      <c r="AG7" s="21"/>
    </row>
    <row r="8" spans="2:33" x14ac:dyDescent="0.3">
      <c r="B8" s="30"/>
      <c r="C8" s="32">
        <v>5</v>
      </c>
      <c r="D8" s="12" t="s">
        <v>781</v>
      </c>
      <c r="E8" s="18">
        <v>8406774.8100000005</v>
      </c>
      <c r="F8" s="18">
        <f t="shared" ref="F8" si="3">SUM(J8,L8,N8,P8,R8,T8,V8,X8,Z8,AB8,AD8,AF8)</f>
        <v>3401462.82</v>
      </c>
      <c r="G8" s="49">
        <f t="shared" ref="G8" si="4">E8-F8</f>
        <v>5005311.99</v>
      </c>
      <c r="H8" s="48">
        <f t="shared" ref="H8" si="5">F8/E8</f>
        <v>0.40460972214384788</v>
      </c>
      <c r="I8" s="89" t="str" cm="1">
        <f t="array" ref="I8">IFERROR(LOOKUP(2,1/((MOD(COLUMN($K8:$AG8),2)=1)*($K8:$AG8&lt;&gt;"-")*($K8:$AG8&lt;&gt;"")),$K8:$AG8),"-")</f>
        <v>Em andamento</v>
      </c>
      <c r="J8" s="45"/>
      <c r="K8" s="21"/>
      <c r="L8" s="45"/>
      <c r="M8" s="21"/>
      <c r="N8" s="45"/>
      <c r="O8" s="21"/>
      <c r="P8" s="45"/>
      <c r="Q8" s="21"/>
      <c r="R8" s="45"/>
      <c r="S8" s="21"/>
      <c r="T8" s="45"/>
      <c r="U8" s="21"/>
      <c r="V8" s="45"/>
      <c r="W8" s="21"/>
      <c r="X8" s="45">
        <v>3401462.82</v>
      </c>
      <c r="Y8" s="21" t="s">
        <v>26</v>
      </c>
      <c r="Z8" s="45"/>
      <c r="AA8" s="21"/>
      <c r="AB8" s="45"/>
      <c r="AC8" s="21"/>
      <c r="AD8" s="45"/>
      <c r="AE8" s="21"/>
      <c r="AF8" s="45"/>
      <c r="AG8" s="21"/>
    </row>
    <row r="9" spans="2:33" x14ac:dyDescent="0.3">
      <c r="B9" s="30"/>
      <c r="C9" s="32">
        <v>6</v>
      </c>
      <c r="D9" s="12" t="s">
        <v>840</v>
      </c>
      <c r="E9" s="18">
        <v>0</v>
      </c>
      <c r="F9" s="18">
        <f t="shared" ref="F9" si="6">SUM(J9,L9,N9,P9,R9,T9,V9,X9,Z9,AB9,AD9,AF9)</f>
        <v>0</v>
      </c>
      <c r="G9" s="49">
        <f t="shared" ref="G9" si="7">E9-F9</f>
        <v>0</v>
      </c>
      <c r="H9" s="48" t="e">
        <f t="shared" ref="H9" si="8">F9/E9</f>
        <v>#DIV/0!</v>
      </c>
      <c r="I9" s="89" t="str" cm="1">
        <f t="array" ref="I9">IFERROR(LOOKUP(2,1/((MOD(COLUMN($K9:$AG9),2)=1)*($K9:$AG9&lt;&gt;"-")*($K9:$AG9&lt;&gt;"")),$K9:$AG9),"-")</f>
        <v>Em elaboração</v>
      </c>
      <c r="J9" s="45"/>
      <c r="K9" s="21"/>
      <c r="L9" s="45"/>
      <c r="M9" s="21"/>
      <c r="N9" s="45"/>
      <c r="O9" s="21"/>
      <c r="P9" s="45"/>
      <c r="Q9" s="21"/>
      <c r="R9" s="45"/>
      <c r="S9" s="21"/>
      <c r="T9" s="45"/>
      <c r="U9" s="21"/>
      <c r="V9" s="45"/>
      <c r="W9" s="21"/>
      <c r="X9" s="45"/>
      <c r="Y9" s="21"/>
      <c r="Z9" s="45"/>
      <c r="AA9" s="21" t="s">
        <v>77</v>
      </c>
      <c r="AB9" s="45"/>
      <c r="AC9" s="21"/>
      <c r="AD9" s="45"/>
      <c r="AE9" s="21"/>
      <c r="AF9" s="45"/>
      <c r="AG9" s="21"/>
    </row>
    <row r="10" spans="2:33" ht="28.8" customHeight="1" x14ac:dyDescent="0.3">
      <c r="B10" s="17"/>
      <c r="C10" s="32"/>
      <c r="D10" s="12"/>
      <c r="E10" s="18"/>
      <c r="F10" s="18"/>
      <c r="G10" s="18"/>
      <c r="H10" s="22"/>
      <c r="I10" s="35"/>
      <c r="J10" s="45"/>
      <c r="K10" s="21"/>
      <c r="L10" s="45"/>
      <c r="M10" s="21"/>
      <c r="N10" s="19"/>
      <c r="O10" s="21"/>
      <c r="P10" s="19"/>
      <c r="Q10" s="21"/>
      <c r="R10" s="19"/>
      <c r="S10" s="21"/>
      <c r="T10" s="19"/>
      <c r="U10" s="20"/>
      <c r="V10" s="19"/>
      <c r="W10" s="20"/>
      <c r="X10" s="19"/>
      <c r="Y10" s="20"/>
      <c r="Z10" s="19"/>
      <c r="AA10" s="20"/>
      <c r="AB10" s="19"/>
      <c r="AC10" s="20"/>
      <c r="AD10" s="19"/>
      <c r="AE10" s="20"/>
      <c r="AF10" s="19"/>
      <c r="AG10" s="20"/>
    </row>
  </sheetData>
  <mergeCells count="13">
    <mergeCell ref="R2:S2"/>
    <mergeCell ref="B2:I2"/>
    <mergeCell ref="J2:K2"/>
    <mergeCell ref="L2:M2"/>
    <mergeCell ref="N2:O2"/>
    <mergeCell ref="P2:Q2"/>
    <mergeCell ref="AF2:AG2"/>
    <mergeCell ref="T2:U2"/>
    <mergeCell ref="V2:W2"/>
    <mergeCell ref="X2:Y2"/>
    <mergeCell ref="Z2:AA2"/>
    <mergeCell ref="AB2:AC2"/>
    <mergeCell ref="AD2:AE2"/>
  </mergeCells>
  <conditionalFormatting sqref="H4:H10">
    <cfRule type="colorScale" priority="68">
      <colorScale>
        <cfvo type="min"/>
        <cfvo type="percentile" val="50"/>
        <cfvo type="max"/>
        <color rgb="FFC00000"/>
        <color rgb="FFFFFF00"/>
        <color rgb="FF92D050"/>
      </colorScale>
    </cfRule>
  </conditionalFormatting>
  <pageMargins left="0.7" right="0.7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7" operator="containsText" id="{45858145-75F6-49F5-A36D-92407DF7803E}">
            <xm:f>NOT(ISERROR(SEARCH('Tabelas Auxiliares'!$M$8,I10)))</xm:f>
            <xm:f>'Tabelas Auxiliares'!$M$8</xm:f>
            <x14:dxf>
              <fill>
                <patternFill>
                  <fgColor rgb="FFFF0000"/>
                  <bgColor rgb="FFFF0000"/>
                </patternFill>
              </fill>
            </x14:dxf>
          </x14:cfRule>
          <x14:cfRule type="containsText" priority="8" operator="containsText" id="{8B42BBF9-33E3-44C2-B67D-089E37824CD8}">
            <xm:f>NOT(ISERROR(SEARCH('Tabelas Auxiliares'!$M$7,I10)))</xm:f>
            <xm:f>'Tabelas Auxiliares'!$M$7</xm:f>
            <x14:dxf>
              <fill>
                <patternFill>
                  <fgColor rgb="FFFFFF00"/>
                  <bgColor rgb="FFFFFF00"/>
                </patternFill>
              </fill>
            </x14:dxf>
          </x14:cfRule>
          <x14:cfRule type="containsText" priority="9" operator="containsText" id="{6DC3A0B3-3734-453A-B5B5-FD6A8882AE02}">
            <xm:f>NOT(ISERROR(SEARCH('Tabelas Auxiliares'!$M$6,I10)))</xm:f>
            <xm:f>'Tabelas Auxiliares'!$M$6</xm:f>
            <x14:dxf>
              <fill>
                <patternFill>
                  <fgColor rgb="FF92D050"/>
                  <bgColor rgb="FF92D050"/>
                </patternFill>
              </fill>
            </x14:dxf>
          </x14:cfRule>
          <x14:cfRule type="containsText" priority="10" operator="containsText" id="{849F5CAF-BF50-4AFC-B81C-E4DFD98867FE}">
            <xm:f>NOT(ISERROR(SEARCH('Tabelas Auxiliares'!$M$5,I10)))</xm:f>
            <xm:f>'Tabelas Auxiliares'!$M$5</xm:f>
            <x14:dxf>
              <fill>
                <patternFill>
                  <fgColor rgb="FF00B0F0"/>
                  <bgColor rgb="FF00B0F0"/>
                </patternFill>
              </fill>
            </x14:dxf>
          </x14:cfRule>
          <x14:cfRule type="containsText" priority="11" operator="containsText" id="{AF2D001C-E8EB-44E3-A204-FC59CC110948}">
            <xm:f>NOT(ISERROR(SEARCH('Tabelas Auxiliares'!$M$4,I10)))</xm:f>
            <xm:f>'Tabelas Auxiliares'!$M$4</xm:f>
            <x14:dxf>
              <font>
                <color rgb="FF000000"/>
              </font>
              <fill>
                <patternFill patternType="solid">
                  <fgColor indexed="64"/>
                  <bgColor rgb="FFFFFFFF"/>
                </patternFill>
              </fill>
            </x14:dxf>
          </x14:cfRule>
          <xm:sqref>I10</xm:sqref>
        </x14:conditionalFormatting>
        <x14:conditionalFormatting xmlns:xm="http://schemas.microsoft.com/office/excel/2006/main">
          <x14:cfRule type="containsText" priority="19" operator="containsText" id="{EE7E1A52-58E0-45CB-AFF4-4AE4177F854E}">
            <xm:f>NOT(ISERROR(SEARCH('Tabelas Auxiliares'!$M$9,I10)))</xm:f>
            <xm:f>'Tabelas Auxiliares'!$M$9</xm:f>
            <x14:dxf>
              <font>
                <color rgb="FFFFFFFF"/>
              </font>
              <fill>
                <patternFill patternType="solid">
                  <fgColor indexed="64"/>
                  <bgColor rgb="FF7030A0"/>
                </patternFill>
              </fill>
            </x14:dxf>
          </x14:cfRule>
          <xm:sqref>I10</xm:sqref>
        </x14:conditionalFormatting>
        <x14:conditionalFormatting xmlns:xm="http://schemas.microsoft.com/office/excel/2006/main">
          <x14:cfRule type="containsText" priority="1" operator="containsText" id="{A8301E90-3E37-4ABF-B29B-4C5D93F807FE}">
            <xm:f>NOT(ISERROR(SEARCH('Tabelas Auxiliares'!$M$8,I4)))</xm:f>
            <xm:f>'Tabelas Auxiliares'!$M$8</xm:f>
            <x14:dxf>
              <fill>
                <patternFill>
                  <fgColor rgb="FFFF0000"/>
                  <bgColor rgb="FFFF0000"/>
                </patternFill>
              </fill>
            </x14:dxf>
          </x14:cfRule>
          <x14:cfRule type="containsText" priority="2" operator="containsText" id="{ED2FA4FF-08A9-4B60-8706-4ADF80BFE856}">
            <xm:f>NOT(ISERROR(SEARCH('Tabelas Auxiliares'!$M$7,I4)))</xm:f>
            <xm:f>'Tabelas Auxiliares'!$M$7</xm:f>
            <x14:dxf>
              <fill>
                <patternFill>
                  <fgColor rgb="FFFFFF00"/>
                  <bgColor rgb="FFFFFF00"/>
                </patternFill>
              </fill>
            </x14:dxf>
          </x14:cfRule>
          <x14:cfRule type="containsText" priority="3" operator="containsText" id="{1F0F2AD0-72E4-4544-AF22-ABD36D54D628}">
            <xm:f>NOT(ISERROR(SEARCH('Tabelas Auxiliares'!$M$6,I4)))</xm:f>
            <xm:f>'Tabelas Auxiliares'!$M$6</xm:f>
            <x14:dxf>
              <fill>
                <patternFill>
                  <fgColor rgb="FF92D050"/>
                  <bgColor rgb="FF92D050"/>
                </patternFill>
              </fill>
            </x14:dxf>
          </x14:cfRule>
          <x14:cfRule type="containsText" priority="4" operator="containsText" id="{75638C95-4824-438A-BD8A-443A4D90F8DE}">
            <xm:f>NOT(ISERROR(SEARCH('Tabelas Auxiliares'!$M$5,I4)))</xm:f>
            <xm:f>'Tabelas Auxiliares'!$M$5</xm:f>
            <x14:dxf>
              <fill>
                <patternFill>
                  <fgColor rgb="FF00B0F0"/>
                  <bgColor rgb="FF00B0F0"/>
                </patternFill>
              </fill>
            </x14:dxf>
          </x14:cfRule>
          <x14:cfRule type="containsText" priority="5" operator="containsText" id="{9D2C6B95-01FE-4179-86F3-08E5ECB130AB}">
            <xm:f>NOT(ISERROR(SEARCH('Tabelas Auxiliares'!$M$4,I4)))</xm:f>
            <xm:f>'Tabelas Auxiliares'!$M$4</xm:f>
            <x14:dxf>
              <font>
                <color rgb="FF000000"/>
              </font>
              <fill>
                <patternFill patternType="solid">
                  <fgColor indexed="64"/>
                  <bgColor rgb="FFFFFFFF"/>
                </patternFill>
              </fill>
            </x14:dxf>
          </x14:cfRule>
          <xm:sqref>I4:I9</xm:sqref>
        </x14:conditionalFormatting>
        <x14:conditionalFormatting xmlns:xm="http://schemas.microsoft.com/office/excel/2006/main">
          <x14:cfRule type="containsText" priority="6" operator="containsText" id="{143A64A5-3609-4E2E-A6A0-21EAB704F080}">
            <xm:f>NOT(ISERROR(SEARCH('Tabelas Auxiliares'!$M$9,I4)))</xm:f>
            <xm:f>'Tabelas Auxiliares'!$M$9</xm:f>
            <x14:dxf>
              <font>
                <color rgb="FFFFFFFF"/>
              </font>
              <fill>
                <patternFill patternType="solid">
                  <fgColor indexed="64"/>
                  <bgColor rgb="FF7030A0"/>
                </patternFill>
              </fill>
            </x14:dxf>
          </x14:cfRule>
          <xm:sqref>I4:I9</xm:sqref>
        </x14:conditionalFormatting>
        <x14:conditionalFormatting xmlns:xm="http://schemas.microsoft.com/office/excel/2006/main">
          <x14:cfRule type="containsText" priority="69" operator="containsText" id="{922FF270-CC82-480B-AC60-6B4B39E63207}">
            <xm:f>NOT(ISERROR(SEARCH('Tabelas Auxiliares'!$M$10,I4)))</xm:f>
            <xm:f>'Tabelas Auxiliares'!$M$10</xm:f>
            <x14:dxf>
              <font>
                <color rgb="FFFFFFFF"/>
              </font>
              <fill>
                <patternFill patternType="solid">
                  <fgColor indexed="64"/>
                  <bgColor rgb="FFED7D31"/>
                </patternFill>
              </fill>
            </x14:dxf>
          </x14:cfRule>
          <xm:sqref>I4:I9</xm:sqref>
        </x14:conditionalFormatting>
        <x14:conditionalFormatting xmlns:xm="http://schemas.microsoft.com/office/excel/2006/main">
          <x14:cfRule type="containsText" priority="70" operator="containsText" id="{F9FEBC8B-4FBF-4294-B598-1D66D6E04B05}">
            <xm:f>NOT(ISERROR(SEARCH('Tabelas Auxiliares'!$M$10,I10)))</xm:f>
            <xm:f>'Tabelas Auxiliares'!$M$10</xm:f>
            <x14:dxf>
              <font>
                <color rgb="FFFFFFFF"/>
              </font>
              <fill>
                <patternFill patternType="solid">
                  <fgColor indexed="64"/>
                  <bgColor rgb="FFED7D31"/>
                </patternFill>
              </fill>
            </x14:dxf>
          </x14:cfRule>
          <xm:sqref>I10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E6CA935-6C55-4FFC-B6C6-F98B434FC5F4}">
          <x14:formula1>
            <xm:f>'Tabelas Auxiliares'!$M$4:$M$11</xm:f>
          </x14:formula1>
          <xm:sqref>O4:O10 S4:S10 AG4:AG10 M4:M10 AC4:AC10 K4:K10 U4:U10 W4:W10 Y4:Y10 AA4:AA10 AE4:AE10 Q4:Q10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20EF6-08E8-4C0C-AABD-8E9D4B7A2D6B}">
  <sheetPr codeName="Planilha15"/>
  <dimension ref="B2:O119"/>
  <sheetViews>
    <sheetView workbookViewId="0">
      <selection activeCell="G12" sqref="G12"/>
    </sheetView>
  </sheetViews>
  <sheetFormatPr defaultColWidth="8.19921875" defaultRowHeight="13.8" x14ac:dyDescent="0.3"/>
  <cols>
    <col min="1" max="1" width="4.5" style="62" customWidth="1"/>
    <col min="2" max="2" width="12.5" style="64" customWidth="1"/>
    <col min="3" max="3" width="17.5" style="62" customWidth="1"/>
    <col min="4" max="4" width="20.69921875" style="62" customWidth="1"/>
    <col min="5" max="5" width="10.69921875" style="62" customWidth="1"/>
    <col min="6" max="6" width="68.8984375" style="62" customWidth="1"/>
    <col min="7" max="7" width="14.796875" style="62" customWidth="1"/>
    <col min="8" max="8" width="69.69921875" style="68" customWidth="1"/>
    <col min="9" max="9" width="14.69921875" style="62" customWidth="1"/>
    <col min="10" max="10" width="9.796875" style="64" customWidth="1"/>
    <col min="11" max="11" width="36.09765625" style="62" bestFit="1" customWidth="1"/>
    <col min="12" max="12" width="11.19921875" style="67" bestFit="1" customWidth="1"/>
    <col min="13" max="13" width="8.09765625" style="64" customWidth="1"/>
    <col min="14" max="14" width="23" style="64" customWidth="1"/>
    <col min="15" max="15" width="15.296875" style="62" customWidth="1"/>
    <col min="16" max="16384" width="8.19921875" style="62"/>
  </cols>
  <sheetData>
    <row r="2" spans="2:15" s="54" customFormat="1" ht="44.25" customHeight="1" x14ac:dyDescent="0.3">
      <c r="B2" s="306" t="s">
        <v>116</v>
      </c>
      <c r="C2" s="306"/>
      <c r="D2" s="306"/>
      <c r="E2" s="306"/>
      <c r="F2" s="306"/>
      <c r="G2" s="306"/>
      <c r="H2" s="306"/>
      <c r="I2" s="306"/>
      <c r="J2" s="306"/>
      <c r="K2" s="306"/>
      <c r="L2" s="306"/>
      <c r="M2" s="53"/>
      <c r="N2" s="53"/>
      <c r="O2" s="53"/>
    </row>
    <row r="3" spans="2:15" s="53" customFormat="1" ht="36" customHeight="1" x14ac:dyDescent="0.3">
      <c r="B3" s="55" t="s">
        <v>117</v>
      </c>
      <c r="C3" s="55" t="s">
        <v>118</v>
      </c>
      <c r="D3" s="55" t="s">
        <v>119</v>
      </c>
      <c r="E3" s="55" t="s">
        <v>8</v>
      </c>
      <c r="F3" s="55" t="s">
        <v>0</v>
      </c>
      <c r="G3" s="55" t="s">
        <v>120</v>
      </c>
      <c r="H3" s="55" t="s">
        <v>121</v>
      </c>
      <c r="I3" s="55" t="s">
        <v>122</v>
      </c>
      <c r="J3" s="55" t="s">
        <v>123</v>
      </c>
      <c r="K3" s="55" t="s">
        <v>124</v>
      </c>
      <c r="L3" s="55" t="s">
        <v>125</v>
      </c>
    </row>
    <row r="4" spans="2:15" s="61" customFormat="1" x14ac:dyDescent="0.3">
      <c r="B4" s="56">
        <v>1</v>
      </c>
      <c r="C4" s="57">
        <v>1</v>
      </c>
      <c r="D4" s="57" t="s">
        <v>126</v>
      </c>
      <c r="E4" s="58">
        <v>1</v>
      </c>
      <c r="F4" s="47" t="s">
        <v>127</v>
      </c>
      <c r="G4" s="57" t="s">
        <v>128</v>
      </c>
      <c r="H4" s="47" t="s">
        <v>129</v>
      </c>
      <c r="I4" s="59">
        <v>0.87749259325600004</v>
      </c>
      <c r="J4" s="57" t="s">
        <v>687</v>
      </c>
      <c r="K4" s="57" t="s">
        <v>688</v>
      </c>
      <c r="L4" s="60"/>
    </row>
    <row r="5" spans="2:15" s="61" customFormat="1" x14ac:dyDescent="0.3">
      <c r="B5" s="56">
        <v>1</v>
      </c>
      <c r="C5" s="57">
        <v>1</v>
      </c>
      <c r="D5" s="57" t="s">
        <v>126</v>
      </c>
      <c r="E5" s="58">
        <v>1</v>
      </c>
      <c r="F5" s="47" t="s">
        <v>127</v>
      </c>
      <c r="G5" s="57" t="s">
        <v>130</v>
      </c>
      <c r="H5" s="47" t="s">
        <v>129</v>
      </c>
      <c r="I5" s="59">
        <v>1.98925832543</v>
      </c>
      <c r="J5" s="57" t="s">
        <v>687</v>
      </c>
      <c r="K5" s="57" t="s">
        <v>688</v>
      </c>
      <c r="L5" s="60"/>
    </row>
    <row r="6" spans="2:15" s="61" customFormat="1" x14ac:dyDescent="0.3">
      <c r="B6" s="56">
        <v>1</v>
      </c>
      <c r="C6" s="57">
        <v>1</v>
      </c>
      <c r="D6" s="57" t="s">
        <v>126</v>
      </c>
      <c r="E6" s="58">
        <v>1</v>
      </c>
      <c r="F6" s="47" t="s">
        <v>127</v>
      </c>
      <c r="G6" s="57" t="s">
        <v>131</v>
      </c>
      <c r="H6" s="47" t="s">
        <v>132</v>
      </c>
      <c r="I6" s="59">
        <v>3.8103284894499998</v>
      </c>
      <c r="J6" s="57" t="s">
        <v>278</v>
      </c>
      <c r="K6" s="57" t="s">
        <v>177</v>
      </c>
      <c r="L6" s="60"/>
    </row>
    <row r="7" spans="2:15" s="61" customFormat="1" x14ac:dyDescent="0.3">
      <c r="B7" s="56">
        <v>1</v>
      </c>
      <c r="C7" s="57">
        <v>1</v>
      </c>
      <c r="D7" s="57" t="s">
        <v>126</v>
      </c>
      <c r="E7" s="58">
        <v>1</v>
      </c>
      <c r="F7" s="47" t="s">
        <v>127</v>
      </c>
      <c r="G7" s="57" t="s">
        <v>133</v>
      </c>
      <c r="H7" s="47" t="s">
        <v>134</v>
      </c>
      <c r="I7" s="59">
        <v>1.66539509741</v>
      </c>
      <c r="J7" s="57" t="s">
        <v>278</v>
      </c>
      <c r="K7" s="57" t="s">
        <v>177</v>
      </c>
      <c r="L7" s="60"/>
    </row>
    <row r="8" spans="2:15" s="61" customFormat="1" x14ac:dyDescent="0.3">
      <c r="B8" s="56">
        <v>1</v>
      </c>
      <c r="C8" s="57">
        <v>1</v>
      </c>
      <c r="D8" s="57" t="s">
        <v>126</v>
      </c>
      <c r="E8" s="58">
        <v>1</v>
      </c>
      <c r="F8" s="47" t="s">
        <v>127</v>
      </c>
      <c r="G8" s="57" t="s">
        <v>135</v>
      </c>
      <c r="H8" s="47" t="s">
        <v>136</v>
      </c>
      <c r="I8" s="59">
        <v>1.3552324662799999</v>
      </c>
      <c r="J8" s="57" t="s">
        <v>278</v>
      </c>
      <c r="K8" s="57" t="s">
        <v>177</v>
      </c>
      <c r="L8" s="60"/>
    </row>
    <row r="9" spans="2:15" s="61" customFormat="1" x14ac:dyDescent="0.3">
      <c r="B9" s="56">
        <v>1</v>
      </c>
      <c r="C9" s="57">
        <v>1</v>
      </c>
      <c r="D9" s="57" t="s">
        <v>126</v>
      </c>
      <c r="E9" s="58">
        <v>1</v>
      </c>
      <c r="F9" s="47" t="s">
        <v>127</v>
      </c>
      <c r="G9" s="57" t="s">
        <v>137</v>
      </c>
      <c r="H9" s="47" t="s">
        <v>138</v>
      </c>
      <c r="I9" s="59">
        <v>32.187522192499998</v>
      </c>
      <c r="J9" s="57" t="s">
        <v>689</v>
      </c>
      <c r="K9" s="57" t="s">
        <v>177</v>
      </c>
      <c r="L9" s="60"/>
    </row>
    <row r="10" spans="2:15" s="61" customFormat="1" x14ac:dyDescent="0.3">
      <c r="B10" s="56">
        <v>1</v>
      </c>
      <c r="C10" s="57">
        <v>1</v>
      </c>
      <c r="D10" s="57" t="s">
        <v>126</v>
      </c>
      <c r="E10" s="58">
        <v>1</v>
      </c>
      <c r="F10" s="47" t="s">
        <v>127</v>
      </c>
      <c r="G10" s="57" t="s">
        <v>139</v>
      </c>
      <c r="H10" s="47" t="s">
        <v>140</v>
      </c>
      <c r="I10" s="59">
        <v>5.3799353933000003</v>
      </c>
      <c r="J10" s="57" t="s">
        <v>689</v>
      </c>
      <c r="K10" s="57" t="s">
        <v>177</v>
      </c>
      <c r="L10" s="60"/>
    </row>
    <row r="11" spans="2:15" s="61" customFormat="1" x14ac:dyDescent="0.3">
      <c r="B11" s="56">
        <v>1</v>
      </c>
      <c r="C11" s="57">
        <v>1</v>
      </c>
      <c r="D11" s="57" t="s">
        <v>126</v>
      </c>
      <c r="E11" s="58">
        <v>1</v>
      </c>
      <c r="F11" s="47" t="s">
        <v>127</v>
      </c>
      <c r="G11" s="57" t="s">
        <v>141</v>
      </c>
      <c r="H11" s="47" t="s">
        <v>142</v>
      </c>
      <c r="I11" s="59">
        <v>16.209854130699998</v>
      </c>
      <c r="J11" s="57" t="s">
        <v>689</v>
      </c>
      <c r="K11" s="57" t="s">
        <v>177</v>
      </c>
      <c r="L11" s="60"/>
    </row>
    <row r="12" spans="2:15" s="61" customFormat="1" x14ac:dyDescent="0.3">
      <c r="B12" s="56">
        <v>1</v>
      </c>
      <c r="C12" s="57">
        <v>1</v>
      </c>
      <c r="D12" s="57" t="s">
        <v>126</v>
      </c>
      <c r="E12" s="58">
        <v>1</v>
      </c>
      <c r="F12" s="47" t="s">
        <v>127</v>
      </c>
      <c r="G12" s="57" t="s">
        <v>143</v>
      </c>
      <c r="H12" s="47" t="s">
        <v>144</v>
      </c>
      <c r="I12" s="59">
        <v>1.34564477962</v>
      </c>
      <c r="J12" s="57" t="s">
        <v>689</v>
      </c>
      <c r="K12" s="57" t="s">
        <v>177</v>
      </c>
      <c r="L12" s="60"/>
    </row>
    <row r="13" spans="2:15" s="61" customFormat="1" x14ac:dyDescent="0.3">
      <c r="B13" s="56">
        <v>1</v>
      </c>
      <c r="C13" s="57">
        <v>1</v>
      </c>
      <c r="D13" s="57" t="s">
        <v>126</v>
      </c>
      <c r="E13" s="58">
        <v>1</v>
      </c>
      <c r="F13" s="47" t="s">
        <v>127</v>
      </c>
      <c r="G13" s="57" t="s">
        <v>145</v>
      </c>
      <c r="H13" s="47" t="s">
        <v>146</v>
      </c>
      <c r="I13" s="59">
        <v>7.29392567847</v>
      </c>
      <c r="J13" s="57" t="s">
        <v>689</v>
      </c>
      <c r="K13" s="57" t="s">
        <v>177</v>
      </c>
      <c r="L13" s="60"/>
    </row>
    <row r="14" spans="2:15" s="61" customFormat="1" x14ac:dyDescent="0.3">
      <c r="B14" s="56">
        <v>1</v>
      </c>
      <c r="C14" s="57">
        <v>1</v>
      </c>
      <c r="D14" s="57" t="s">
        <v>126</v>
      </c>
      <c r="E14" s="58">
        <v>1</v>
      </c>
      <c r="F14" s="47" t="s">
        <v>127</v>
      </c>
      <c r="G14" s="57" t="s">
        <v>147</v>
      </c>
      <c r="H14" s="47" t="s">
        <v>148</v>
      </c>
      <c r="I14" s="59">
        <v>3.8572586660399999</v>
      </c>
      <c r="J14" s="57" t="s">
        <v>689</v>
      </c>
      <c r="K14" s="57" t="s">
        <v>177</v>
      </c>
      <c r="L14" s="60"/>
    </row>
    <row r="15" spans="2:15" s="61" customFormat="1" x14ac:dyDescent="0.3">
      <c r="B15" s="56">
        <v>1</v>
      </c>
      <c r="C15" s="57">
        <v>1</v>
      </c>
      <c r="D15" s="57" t="s">
        <v>126</v>
      </c>
      <c r="E15" s="58">
        <v>1</v>
      </c>
      <c r="F15" s="47" t="s">
        <v>127</v>
      </c>
      <c r="G15" s="57" t="s">
        <v>149</v>
      </c>
      <c r="H15" s="47" t="s">
        <v>150</v>
      </c>
      <c r="I15" s="59">
        <v>9.3575815335199994</v>
      </c>
      <c r="J15" s="57" t="s">
        <v>689</v>
      </c>
      <c r="K15" s="57" t="s">
        <v>177</v>
      </c>
      <c r="L15" s="60"/>
    </row>
    <row r="16" spans="2:15" s="61" customFormat="1" x14ac:dyDescent="0.3">
      <c r="B16" s="56">
        <v>1</v>
      </c>
      <c r="C16" s="57">
        <v>1</v>
      </c>
      <c r="D16" s="57" t="s">
        <v>126</v>
      </c>
      <c r="E16" s="58">
        <v>2</v>
      </c>
      <c r="F16" s="47" t="s">
        <v>151</v>
      </c>
      <c r="G16" s="57" t="s">
        <v>152</v>
      </c>
      <c r="H16" s="47" t="s">
        <v>153</v>
      </c>
      <c r="I16" s="59">
        <v>1.03059884173</v>
      </c>
      <c r="J16" s="57" t="s">
        <v>278</v>
      </c>
      <c r="K16" s="57" t="s">
        <v>177</v>
      </c>
      <c r="L16" s="60"/>
    </row>
    <row r="17" spans="2:12" s="61" customFormat="1" x14ac:dyDescent="0.3">
      <c r="B17" s="56">
        <v>1</v>
      </c>
      <c r="C17" s="57">
        <v>1</v>
      </c>
      <c r="D17" s="57" t="s">
        <v>126</v>
      </c>
      <c r="E17" s="58">
        <v>2</v>
      </c>
      <c r="F17" s="47" t="s">
        <v>151</v>
      </c>
      <c r="G17" s="57" t="s">
        <v>154</v>
      </c>
      <c r="H17" s="47" t="s">
        <v>155</v>
      </c>
      <c r="I17" s="59">
        <v>8.6075718702900001</v>
      </c>
      <c r="J17" s="57" t="s">
        <v>278</v>
      </c>
      <c r="K17" s="57" t="s">
        <v>177</v>
      </c>
      <c r="L17" s="60"/>
    </row>
    <row r="18" spans="2:12" s="61" customFormat="1" x14ac:dyDescent="0.3">
      <c r="B18" s="56">
        <v>1</v>
      </c>
      <c r="C18" s="57">
        <v>1</v>
      </c>
      <c r="D18" s="57" t="s">
        <v>126</v>
      </c>
      <c r="E18" s="58">
        <v>3</v>
      </c>
      <c r="F18" s="47" t="s">
        <v>47</v>
      </c>
      <c r="G18" s="57" t="s">
        <v>156</v>
      </c>
      <c r="H18" s="47" t="s">
        <v>157</v>
      </c>
      <c r="I18" s="59">
        <v>7.7551853679800002</v>
      </c>
      <c r="J18" s="57" t="s">
        <v>278</v>
      </c>
      <c r="K18" s="57" t="s">
        <v>177</v>
      </c>
      <c r="L18" s="60"/>
    </row>
    <row r="19" spans="2:12" s="61" customFormat="1" x14ac:dyDescent="0.3">
      <c r="B19" s="56">
        <v>1</v>
      </c>
      <c r="C19" s="57">
        <v>1</v>
      </c>
      <c r="D19" s="57" t="s">
        <v>126</v>
      </c>
      <c r="E19" s="58">
        <v>3</v>
      </c>
      <c r="F19" s="47" t="s">
        <v>47</v>
      </c>
      <c r="G19" s="57" t="s">
        <v>158</v>
      </c>
      <c r="H19" s="47" t="s">
        <v>159</v>
      </c>
      <c r="I19" s="59">
        <v>28.047220652899998</v>
      </c>
      <c r="J19" s="57" t="s">
        <v>278</v>
      </c>
      <c r="K19" s="57" t="s">
        <v>177</v>
      </c>
      <c r="L19" s="60"/>
    </row>
    <row r="20" spans="2:12" s="61" customFormat="1" x14ac:dyDescent="0.3">
      <c r="B20" s="56">
        <v>1</v>
      </c>
      <c r="C20" s="57">
        <v>1</v>
      </c>
      <c r="D20" s="57" t="s">
        <v>126</v>
      </c>
      <c r="E20" s="58">
        <v>3</v>
      </c>
      <c r="F20" s="47" t="s">
        <v>47</v>
      </c>
      <c r="G20" s="57" t="s">
        <v>160</v>
      </c>
      <c r="H20" s="47" t="s">
        <v>161</v>
      </c>
      <c r="I20" s="59">
        <v>2.8623319182300002</v>
      </c>
      <c r="J20" s="57" t="s">
        <v>278</v>
      </c>
      <c r="K20" s="57" t="s">
        <v>177</v>
      </c>
      <c r="L20" s="60"/>
    </row>
    <row r="21" spans="2:12" s="61" customFormat="1" x14ac:dyDescent="0.3">
      <c r="B21" s="56">
        <v>1</v>
      </c>
      <c r="C21" s="57">
        <v>1</v>
      </c>
      <c r="D21" s="57" t="s">
        <v>126</v>
      </c>
      <c r="E21" s="58">
        <v>3</v>
      </c>
      <c r="F21" s="47" t="s">
        <v>47</v>
      </c>
      <c r="G21" s="57" t="s">
        <v>162</v>
      </c>
      <c r="H21" s="47" t="s">
        <v>163</v>
      </c>
      <c r="I21" s="59">
        <v>2.9422715580699998</v>
      </c>
      <c r="J21" s="57" t="s">
        <v>278</v>
      </c>
      <c r="K21" s="57" t="s">
        <v>177</v>
      </c>
      <c r="L21" s="60"/>
    </row>
    <row r="22" spans="2:12" s="61" customFormat="1" ht="27.6" x14ac:dyDescent="0.3">
      <c r="B22" s="56">
        <v>1</v>
      </c>
      <c r="C22" s="57">
        <v>1</v>
      </c>
      <c r="D22" s="57" t="s">
        <v>126</v>
      </c>
      <c r="E22" s="58">
        <v>4</v>
      </c>
      <c r="F22" s="47" t="s">
        <v>48</v>
      </c>
      <c r="G22" s="57" t="s">
        <v>164</v>
      </c>
      <c r="H22" s="47" t="s">
        <v>165</v>
      </c>
      <c r="I22" s="59">
        <v>3.6607757999700001</v>
      </c>
      <c r="J22" s="57" t="s">
        <v>278</v>
      </c>
      <c r="K22" s="57" t="s">
        <v>177</v>
      </c>
      <c r="L22" s="60"/>
    </row>
    <row r="23" spans="2:12" s="61" customFormat="1" ht="27.6" x14ac:dyDescent="0.3">
      <c r="B23" s="56">
        <v>1</v>
      </c>
      <c r="C23" s="57">
        <v>1</v>
      </c>
      <c r="D23" s="57" t="s">
        <v>126</v>
      </c>
      <c r="E23" s="58">
        <v>4</v>
      </c>
      <c r="F23" s="47" t="s">
        <v>48</v>
      </c>
      <c r="G23" s="57" t="s">
        <v>166</v>
      </c>
      <c r="H23" s="47" t="s">
        <v>167</v>
      </c>
      <c r="I23" s="59">
        <v>5.5891580305200002</v>
      </c>
      <c r="J23" s="57" t="s">
        <v>278</v>
      </c>
      <c r="K23" s="57" t="s">
        <v>177</v>
      </c>
      <c r="L23" s="60"/>
    </row>
    <row r="24" spans="2:12" s="61" customFormat="1" ht="27.6" x14ac:dyDescent="0.3">
      <c r="B24" s="56">
        <v>1</v>
      </c>
      <c r="C24" s="57">
        <v>1</v>
      </c>
      <c r="D24" s="57" t="s">
        <v>126</v>
      </c>
      <c r="E24" s="58">
        <v>5</v>
      </c>
      <c r="F24" s="47" t="s">
        <v>168</v>
      </c>
      <c r="G24" s="57" t="s">
        <v>169</v>
      </c>
      <c r="H24" s="47" t="s">
        <v>170</v>
      </c>
      <c r="I24" s="59">
        <v>1.86233580401</v>
      </c>
      <c r="J24" s="57" t="s">
        <v>690</v>
      </c>
      <c r="K24" s="57" t="s">
        <v>688</v>
      </c>
      <c r="L24" s="60"/>
    </row>
    <row r="25" spans="2:12" s="61" customFormat="1" ht="27.6" x14ac:dyDescent="0.3">
      <c r="B25" s="56">
        <v>1</v>
      </c>
      <c r="C25" s="57">
        <v>1</v>
      </c>
      <c r="D25" s="57" t="s">
        <v>126</v>
      </c>
      <c r="E25" s="58">
        <v>5</v>
      </c>
      <c r="F25" s="47" t="s">
        <v>168</v>
      </c>
      <c r="G25" s="57" t="s">
        <v>171</v>
      </c>
      <c r="H25" s="47" t="s">
        <v>172</v>
      </c>
      <c r="I25" s="59">
        <v>22.489852453000001</v>
      </c>
      <c r="J25" s="57" t="s">
        <v>278</v>
      </c>
      <c r="K25" s="57" t="s">
        <v>177</v>
      </c>
      <c r="L25" s="60"/>
    </row>
    <row r="26" spans="2:12" s="61" customFormat="1" ht="27.6" x14ac:dyDescent="0.3">
      <c r="B26" s="56">
        <v>1</v>
      </c>
      <c r="C26" s="57">
        <v>1</v>
      </c>
      <c r="D26" s="57" t="s">
        <v>126</v>
      </c>
      <c r="E26" s="58">
        <v>5</v>
      </c>
      <c r="F26" s="47" t="s">
        <v>168</v>
      </c>
      <c r="G26" s="57" t="s">
        <v>173</v>
      </c>
      <c r="H26" s="47" t="s">
        <v>174</v>
      </c>
      <c r="I26" s="59">
        <v>3.23447964588</v>
      </c>
      <c r="J26" s="57" t="s">
        <v>278</v>
      </c>
      <c r="K26" s="57" t="s">
        <v>177</v>
      </c>
      <c r="L26" s="60"/>
    </row>
    <row r="27" spans="2:12" s="61" customFormat="1" ht="27.6" x14ac:dyDescent="0.3">
      <c r="B27" s="56">
        <v>1</v>
      </c>
      <c r="C27" s="57">
        <v>1</v>
      </c>
      <c r="D27" s="57" t="s">
        <v>126</v>
      </c>
      <c r="E27" s="58">
        <v>5</v>
      </c>
      <c r="F27" s="47" t="s">
        <v>168</v>
      </c>
      <c r="G27" s="57" t="s">
        <v>175</v>
      </c>
      <c r="H27" s="47" t="s">
        <v>176</v>
      </c>
      <c r="I27" s="59">
        <v>2.6525118651900002</v>
      </c>
      <c r="J27" s="57" t="s">
        <v>278</v>
      </c>
      <c r="K27" s="57" t="s">
        <v>177</v>
      </c>
      <c r="L27" s="60"/>
    </row>
    <row r="28" spans="2:12" s="61" customFormat="1" x14ac:dyDescent="0.3">
      <c r="B28" s="56">
        <v>1</v>
      </c>
      <c r="C28" s="57">
        <v>1</v>
      </c>
      <c r="D28" s="57" t="s">
        <v>126</v>
      </c>
      <c r="E28" s="58">
        <v>6</v>
      </c>
      <c r="F28" s="47" t="s">
        <v>49</v>
      </c>
      <c r="G28" s="57" t="s">
        <v>178</v>
      </c>
      <c r="H28" s="47" t="s">
        <v>179</v>
      </c>
      <c r="I28" s="59">
        <v>35.479668777500002</v>
      </c>
      <c r="J28" s="57" t="s">
        <v>691</v>
      </c>
      <c r="K28" s="57" t="s">
        <v>180</v>
      </c>
      <c r="L28" s="60">
        <v>785829.62</v>
      </c>
    </row>
    <row r="29" spans="2:12" s="61" customFormat="1" x14ac:dyDescent="0.3">
      <c r="B29" s="56">
        <v>1</v>
      </c>
      <c r="C29" s="57">
        <v>1</v>
      </c>
      <c r="D29" s="57" t="s">
        <v>126</v>
      </c>
      <c r="E29" s="58">
        <v>6</v>
      </c>
      <c r="F29" s="47" t="s">
        <v>49</v>
      </c>
      <c r="G29" s="57" t="s">
        <v>181</v>
      </c>
      <c r="H29" s="47" t="s">
        <v>182</v>
      </c>
      <c r="I29" s="59">
        <v>5.5291152566699999</v>
      </c>
      <c r="J29" s="57" t="s">
        <v>278</v>
      </c>
      <c r="K29" s="57"/>
      <c r="L29" s="60"/>
    </row>
    <row r="30" spans="2:12" s="61" customFormat="1" x14ac:dyDescent="0.3">
      <c r="B30" s="56">
        <v>1</v>
      </c>
      <c r="C30" s="57">
        <v>1</v>
      </c>
      <c r="D30" s="57" t="s">
        <v>126</v>
      </c>
      <c r="E30" s="58">
        <v>6</v>
      </c>
      <c r="F30" s="47" t="s">
        <v>49</v>
      </c>
      <c r="G30" s="57" t="s">
        <v>183</v>
      </c>
      <c r="H30" s="47" t="s">
        <v>184</v>
      </c>
      <c r="I30" s="59">
        <v>2.9848124491900001</v>
      </c>
      <c r="J30" s="57" t="s">
        <v>278</v>
      </c>
      <c r="K30" s="57"/>
      <c r="L30" s="60"/>
    </row>
    <row r="31" spans="2:12" s="61" customFormat="1" x14ac:dyDescent="0.3">
      <c r="B31" s="56">
        <v>1</v>
      </c>
      <c r="C31" s="57">
        <v>1</v>
      </c>
      <c r="D31" s="57" t="s">
        <v>126</v>
      </c>
      <c r="E31" s="58">
        <v>7</v>
      </c>
      <c r="F31" s="47" t="s">
        <v>185</v>
      </c>
      <c r="G31" s="57" t="s">
        <v>186</v>
      </c>
      <c r="H31" s="47" t="s">
        <v>187</v>
      </c>
      <c r="I31" s="59">
        <v>0.74066591426299999</v>
      </c>
      <c r="J31" s="57" t="s">
        <v>687</v>
      </c>
      <c r="K31" s="57" t="s">
        <v>688</v>
      </c>
      <c r="L31" s="60"/>
    </row>
    <row r="32" spans="2:12" s="61" customFormat="1" ht="27.6" x14ac:dyDescent="0.3">
      <c r="B32" s="56">
        <v>1</v>
      </c>
      <c r="C32" s="57">
        <v>1</v>
      </c>
      <c r="D32" s="57" t="s">
        <v>126</v>
      </c>
      <c r="E32" s="58">
        <v>7</v>
      </c>
      <c r="F32" s="47" t="s">
        <v>185</v>
      </c>
      <c r="G32" s="57" t="s">
        <v>188</v>
      </c>
      <c r="H32" s="47" t="s">
        <v>189</v>
      </c>
      <c r="I32" s="59">
        <v>20.919422496700001</v>
      </c>
      <c r="J32" s="57" t="s">
        <v>278</v>
      </c>
      <c r="K32" s="57" t="s">
        <v>177</v>
      </c>
      <c r="L32" s="60"/>
    </row>
    <row r="33" spans="2:14" s="61" customFormat="1" x14ac:dyDescent="0.3">
      <c r="B33" s="56">
        <v>1</v>
      </c>
      <c r="C33" s="57">
        <v>1</v>
      </c>
      <c r="D33" s="57" t="s">
        <v>126</v>
      </c>
      <c r="E33" s="58">
        <v>8</v>
      </c>
      <c r="F33" s="47" t="s">
        <v>72</v>
      </c>
      <c r="G33" s="57" t="s">
        <v>190</v>
      </c>
      <c r="H33" s="47" t="s">
        <v>191</v>
      </c>
      <c r="I33" s="59">
        <v>11.3554300661</v>
      </c>
      <c r="J33" s="57" t="s">
        <v>278</v>
      </c>
      <c r="K33" s="57" t="s">
        <v>177</v>
      </c>
      <c r="L33" s="60"/>
    </row>
    <row r="34" spans="2:14" s="61" customFormat="1" x14ac:dyDescent="0.3">
      <c r="B34" s="56">
        <v>1</v>
      </c>
      <c r="C34" s="57">
        <v>1</v>
      </c>
      <c r="D34" s="57" t="s">
        <v>126</v>
      </c>
      <c r="E34" s="58">
        <v>8</v>
      </c>
      <c r="F34" s="47" t="s">
        <v>72</v>
      </c>
      <c r="G34" s="57" t="s">
        <v>192</v>
      </c>
      <c r="H34" s="47" t="s">
        <v>193</v>
      </c>
      <c r="I34" s="59">
        <v>14.021183132099999</v>
      </c>
      <c r="J34" s="57" t="s">
        <v>278</v>
      </c>
      <c r="K34" s="57" t="s">
        <v>177</v>
      </c>
      <c r="L34" s="60"/>
    </row>
    <row r="35" spans="2:14" s="61" customFormat="1" x14ac:dyDescent="0.3">
      <c r="B35" s="56">
        <v>1</v>
      </c>
      <c r="C35" s="57">
        <v>1</v>
      </c>
      <c r="D35" s="57" t="s">
        <v>126</v>
      </c>
      <c r="E35" s="58">
        <v>9</v>
      </c>
      <c r="F35" s="47" t="s">
        <v>50</v>
      </c>
      <c r="G35" s="57" t="s">
        <v>194</v>
      </c>
      <c r="H35" s="47" t="s">
        <v>195</v>
      </c>
      <c r="I35" s="59">
        <v>7.9173809789899998</v>
      </c>
      <c r="J35" s="57" t="s">
        <v>278</v>
      </c>
      <c r="K35" s="57" t="s">
        <v>196</v>
      </c>
      <c r="L35" s="60">
        <v>374294.00109999999</v>
      </c>
    </row>
    <row r="36" spans="2:14" s="61" customFormat="1" x14ac:dyDescent="0.3">
      <c r="B36" s="56">
        <v>1</v>
      </c>
      <c r="C36" s="57">
        <v>1</v>
      </c>
      <c r="D36" s="57" t="s">
        <v>126</v>
      </c>
      <c r="E36" s="58">
        <v>9</v>
      </c>
      <c r="F36" s="47" t="s">
        <v>50</v>
      </c>
      <c r="G36" s="57" t="s">
        <v>197</v>
      </c>
      <c r="H36" s="47" t="s">
        <v>198</v>
      </c>
      <c r="I36" s="59">
        <v>6.5761498107099996</v>
      </c>
      <c r="J36" s="57" t="s">
        <v>278</v>
      </c>
      <c r="K36" s="57" t="s">
        <v>196</v>
      </c>
      <c r="L36" s="60"/>
    </row>
    <row r="37" spans="2:14" s="61" customFormat="1" x14ac:dyDescent="0.3">
      <c r="B37" s="56">
        <v>1</v>
      </c>
      <c r="C37" s="57">
        <v>1</v>
      </c>
      <c r="D37" s="57" t="s">
        <v>126</v>
      </c>
      <c r="E37" s="58">
        <v>9</v>
      </c>
      <c r="F37" s="47" t="s">
        <v>50</v>
      </c>
      <c r="G37" s="57" t="s">
        <v>199</v>
      </c>
      <c r="H37" s="47" t="s">
        <v>200</v>
      </c>
      <c r="I37" s="59">
        <v>2.1814370737400002</v>
      </c>
      <c r="J37" s="57" t="s">
        <v>278</v>
      </c>
      <c r="K37" s="57" t="s">
        <v>196</v>
      </c>
      <c r="L37" s="60"/>
    </row>
    <row r="38" spans="2:14" s="61" customFormat="1" x14ac:dyDescent="0.3">
      <c r="B38" s="56">
        <v>1</v>
      </c>
      <c r="C38" s="57">
        <v>1</v>
      </c>
      <c r="D38" s="57" t="s">
        <v>126</v>
      </c>
      <c r="E38" s="58">
        <v>10</v>
      </c>
      <c r="F38" s="47" t="s">
        <v>201</v>
      </c>
      <c r="G38" s="57" t="s">
        <v>202</v>
      </c>
      <c r="H38" s="47" t="s">
        <v>203</v>
      </c>
      <c r="I38" s="59">
        <v>31.5971797837</v>
      </c>
      <c r="J38" s="57" t="s">
        <v>278</v>
      </c>
      <c r="K38" s="57" t="s">
        <v>177</v>
      </c>
      <c r="L38" s="60"/>
    </row>
    <row r="39" spans="2:14" s="61" customFormat="1" x14ac:dyDescent="0.3">
      <c r="B39" s="56">
        <v>1</v>
      </c>
      <c r="C39" s="57">
        <v>1</v>
      </c>
      <c r="D39" s="57" t="s">
        <v>126</v>
      </c>
      <c r="E39" s="58">
        <v>10</v>
      </c>
      <c r="F39" s="47" t="s">
        <v>201</v>
      </c>
      <c r="G39" s="57" t="s">
        <v>204</v>
      </c>
      <c r="H39" s="47" t="s">
        <v>205</v>
      </c>
      <c r="I39" s="59">
        <v>13.750622153</v>
      </c>
      <c r="J39" s="57" t="s">
        <v>278</v>
      </c>
      <c r="K39" s="57" t="s">
        <v>177</v>
      </c>
      <c r="L39" s="60"/>
    </row>
    <row r="40" spans="2:14" s="61" customFormat="1" x14ac:dyDescent="0.3">
      <c r="B40" s="56">
        <v>1</v>
      </c>
      <c r="C40" s="57">
        <v>1</v>
      </c>
      <c r="D40" s="57" t="s">
        <v>126</v>
      </c>
      <c r="E40" s="58">
        <v>11</v>
      </c>
      <c r="F40" s="47" t="s">
        <v>206</v>
      </c>
      <c r="G40" s="57" t="s">
        <v>207</v>
      </c>
      <c r="H40" s="47" t="s">
        <v>208</v>
      </c>
      <c r="I40" s="59">
        <v>9.8047447062799993</v>
      </c>
      <c r="J40" s="57" t="s">
        <v>278</v>
      </c>
      <c r="K40" s="57" t="s">
        <v>177</v>
      </c>
      <c r="L40" s="60"/>
    </row>
    <row r="41" spans="2:14" s="61" customFormat="1" x14ac:dyDescent="0.3">
      <c r="B41" s="56">
        <v>1</v>
      </c>
      <c r="C41" s="57">
        <v>1</v>
      </c>
      <c r="D41" s="57" t="s">
        <v>126</v>
      </c>
      <c r="E41" s="58">
        <v>11</v>
      </c>
      <c r="F41" s="47" t="s">
        <v>206</v>
      </c>
      <c r="G41" s="57" t="s">
        <v>209</v>
      </c>
      <c r="H41" s="47" t="s">
        <v>210</v>
      </c>
      <c r="I41" s="59">
        <v>3.6265270530099998</v>
      </c>
      <c r="J41" s="57" t="s">
        <v>278</v>
      </c>
      <c r="K41" s="57" t="s">
        <v>177</v>
      </c>
      <c r="L41" s="60"/>
    </row>
    <row r="42" spans="2:14" s="61" customFormat="1" x14ac:dyDescent="0.3">
      <c r="B42" s="56">
        <v>1</v>
      </c>
      <c r="C42" s="57">
        <v>1</v>
      </c>
      <c r="D42" s="57" t="s">
        <v>126</v>
      </c>
      <c r="E42" s="58">
        <v>11</v>
      </c>
      <c r="F42" s="47" t="s">
        <v>206</v>
      </c>
      <c r="G42" s="57" t="s">
        <v>211</v>
      </c>
      <c r="H42" s="47" t="s">
        <v>212</v>
      </c>
      <c r="I42" s="59">
        <v>3.5926665791199999</v>
      </c>
      <c r="J42" s="57" t="s">
        <v>278</v>
      </c>
      <c r="K42" s="57" t="s">
        <v>177</v>
      </c>
      <c r="L42" s="60"/>
    </row>
    <row r="43" spans="2:14" s="61" customFormat="1" x14ac:dyDescent="0.3">
      <c r="B43" s="56">
        <v>1</v>
      </c>
      <c r="C43" s="57">
        <v>1</v>
      </c>
      <c r="D43" s="57" t="s">
        <v>126</v>
      </c>
      <c r="E43" s="58">
        <v>11</v>
      </c>
      <c r="F43" s="47" t="s">
        <v>206</v>
      </c>
      <c r="G43" s="57" t="s">
        <v>213</v>
      </c>
      <c r="H43" s="47" t="s">
        <v>214</v>
      </c>
      <c r="I43" s="59">
        <v>7.4162558291799998</v>
      </c>
      <c r="J43" s="57" t="s">
        <v>278</v>
      </c>
      <c r="K43" s="57" t="s">
        <v>177</v>
      </c>
      <c r="L43" s="60"/>
    </row>
    <row r="44" spans="2:14" ht="27.6" x14ac:dyDescent="0.3">
      <c r="B44" s="56">
        <v>1</v>
      </c>
      <c r="C44" s="57">
        <v>1</v>
      </c>
      <c r="D44" s="57" t="s">
        <v>126</v>
      </c>
      <c r="E44" s="58">
        <v>12</v>
      </c>
      <c r="F44" s="47" t="s">
        <v>215</v>
      </c>
      <c r="G44" s="57" t="s">
        <v>216</v>
      </c>
      <c r="H44" s="47" t="s">
        <v>217</v>
      </c>
      <c r="I44" s="59">
        <v>12.568883355400001</v>
      </c>
      <c r="J44" s="57" t="s">
        <v>691</v>
      </c>
      <c r="K44" s="57" t="s">
        <v>177</v>
      </c>
      <c r="L44" s="60"/>
      <c r="M44" s="62"/>
      <c r="N44" s="62"/>
    </row>
    <row r="45" spans="2:14" ht="27.6" x14ac:dyDescent="0.3">
      <c r="B45" s="56">
        <v>1</v>
      </c>
      <c r="C45" s="57">
        <v>1</v>
      </c>
      <c r="D45" s="57" t="s">
        <v>126</v>
      </c>
      <c r="E45" s="58">
        <v>12</v>
      </c>
      <c r="F45" s="47" t="s">
        <v>215</v>
      </c>
      <c r="G45" s="57" t="s">
        <v>218</v>
      </c>
      <c r="H45" s="47" t="s">
        <v>219</v>
      </c>
      <c r="I45" s="59">
        <v>1.14732172667</v>
      </c>
      <c r="J45" s="57" t="s">
        <v>691</v>
      </c>
      <c r="K45" s="57" t="s">
        <v>177</v>
      </c>
      <c r="L45" s="60"/>
      <c r="M45" s="62"/>
      <c r="N45" s="62"/>
    </row>
    <row r="46" spans="2:14" ht="27.6" x14ac:dyDescent="0.3">
      <c r="B46" s="56">
        <v>1</v>
      </c>
      <c r="C46" s="57">
        <v>1</v>
      </c>
      <c r="D46" s="57" t="s">
        <v>126</v>
      </c>
      <c r="E46" s="58">
        <v>12</v>
      </c>
      <c r="F46" s="47" t="s">
        <v>215</v>
      </c>
      <c r="G46" s="57" t="s">
        <v>220</v>
      </c>
      <c r="H46" s="47" t="s">
        <v>221</v>
      </c>
      <c r="I46" s="59">
        <v>3.5587620200700001</v>
      </c>
      <c r="J46" s="57" t="s">
        <v>691</v>
      </c>
      <c r="K46" s="57" t="s">
        <v>177</v>
      </c>
      <c r="L46" s="60"/>
      <c r="M46" s="62"/>
      <c r="N46" s="62"/>
    </row>
    <row r="47" spans="2:14" ht="27.6" x14ac:dyDescent="0.3">
      <c r="B47" s="56">
        <v>1</v>
      </c>
      <c r="C47" s="57">
        <v>1</v>
      </c>
      <c r="D47" s="57" t="s">
        <v>126</v>
      </c>
      <c r="E47" s="58">
        <v>12</v>
      </c>
      <c r="F47" s="47" t="s">
        <v>215</v>
      </c>
      <c r="G47" s="57" t="s">
        <v>222</v>
      </c>
      <c r="H47" s="47" t="s">
        <v>223</v>
      </c>
      <c r="I47" s="59">
        <v>4.3098892958899997</v>
      </c>
      <c r="J47" s="57" t="s">
        <v>691</v>
      </c>
      <c r="K47" s="57" t="s">
        <v>177</v>
      </c>
      <c r="L47" s="60"/>
      <c r="M47" s="62"/>
      <c r="N47" s="62"/>
    </row>
    <row r="48" spans="2:14" ht="27.6" x14ac:dyDescent="0.3">
      <c r="B48" s="56">
        <v>1</v>
      </c>
      <c r="C48" s="57">
        <v>1</v>
      </c>
      <c r="D48" s="57" t="s">
        <v>126</v>
      </c>
      <c r="E48" s="58">
        <v>12</v>
      </c>
      <c r="F48" s="47" t="s">
        <v>215</v>
      </c>
      <c r="G48" s="57" t="s">
        <v>224</v>
      </c>
      <c r="H48" s="47" t="s">
        <v>225</v>
      </c>
      <c r="I48" s="59">
        <v>1.0618145800100001</v>
      </c>
      <c r="J48" s="57" t="s">
        <v>691</v>
      </c>
      <c r="K48" s="57" t="s">
        <v>177</v>
      </c>
      <c r="L48" s="60"/>
      <c r="M48" s="62"/>
      <c r="N48" s="62"/>
    </row>
    <row r="49" spans="2:14" ht="27.6" x14ac:dyDescent="0.3">
      <c r="B49" s="56">
        <v>1</v>
      </c>
      <c r="C49" s="57">
        <v>1</v>
      </c>
      <c r="D49" s="57" t="s">
        <v>126</v>
      </c>
      <c r="E49" s="58">
        <v>12</v>
      </c>
      <c r="F49" s="47" t="s">
        <v>215</v>
      </c>
      <c r="G49" s="57" t="s">
        <v>226</v>
      </c>
      <c r="H49" s="47" t="s">
        <v>227</v>
      </c>
      <c r="I49" s="59">
        <v>3.65443679451</v>
      </c>
      <c r="J49" s="57" t="s">
        <v>691</v>
      </c>
      <c r="K49" s="57" t="s">
        <v>177</v>
      </c>
      <c r="L49" s="60"/>
      <c r="M49" s="62"/>
      <c r="N49" s="62"/>
    </row>
    <row r="50" spans="2:14" x14ac:dyDescent="0.3">
      <c r="B50" s="56">
        <v>1</v>
      </c>
      <c r="C50" s="57">
        <v>1</v>
      </c>
      <c r="D50" s="57" t="s">
        <v>126</v>
      </c>
      <c r="E50" s="58">
        <v>13</v>
      </c>
      <c r="F50" s="47" t="s">
        <v>228</v>
      </c>
      <c r="G50" s="57" t="s">
        <v>229</v>
      </c>
      <c r="H50" s="47" t="s">
        <v>230</v>
      </c>
      <c r="I50" s="59">
        <v>0.41740116896899998</v>
      </c>
      <c r="J50" s="57" t="s">
        <v>687</v>
      </c>
      <c r="K50" s="57" t="s">
        <v>688</v>
      </c>
      <c r="L50" s="60"/>
      <c r="M50" s="62"/>
      <c r="N50" s="62"/>
    </row>
    <row r="51" spans="2:14" x14ac:dyDescent="0.3">
      <c r="B51" s="56">
        <v>1</v>
      </c>
      <c r="C51" s="57">
        <v>1</v>
      </c>
      <c r="D51" s="57" t="s">
        <v>126</v>
      </c>
      <c r="E51" s="58">
        <v>13</v>
      </c>
      <c r="F51" s="47" t="s">
        <v>228</v>
      </c>
      <c r="G51" s="57" t="s">
        <v>231</v>
      </c>
      <c r="H51" s="47" t="s">
        <v>232</v>
      </c>
      <c r="I51" s="59">
        <v>41.676456106899998</v>
      </c>
      <c r="J51" s="57" t="s">
        <v>278</v>
      </c>
      <c r="K51" s="57" t="s">
        <v>177</v>
      </c>
      <c r="L51" s="60"/>
      <c r="M51" s="62"/>
      <c r="N51" s="62"/>
    </row>
    <row r="52" spans="2:14" x14ac:dyDescent="0.3">
      <c r="B52" s="56">
        <v>1</v>
      </c>
      <c r="C52" s="57">
        <v>1</v>
      </c>
      <c r="D52" s="57" t="s">
        <v>126</v>
      </c>
      <c r="E52" s="58">
        <v>13</v>
      </c>
      <c r="F52" s="47" t="s">
        <v>228</v>
      </c>
      <c r="G52" s="57" t="s">
        <v>233</v>
      </c>
      <c r="H52" s="47" t="s">
        <v>234</v>
      </c>
      <c r="I52" s="59">
        <v>4.1233136154199999</v>
      </c>
      <c r="J52" s="57" t="s">
        <v>278</v>
      </c>
      <c r="K52" s="57" t="s">
        <v>177</v>
      </c>
      <c r="L52" s="60"/>
      <c r="M52" s="62"/>
      <c r="N52" s="62"/>
    </row>
    <row r="53" spans="2:14" x14ac:dyDescent="0.3">
      <c r="B53" s="56">
        <v>1</v>
      </c>
      <c r="C53" s="57">
        <v>1</v>
      </c>
      <c r="D53" s="57" t="s">
        <v>126</v>
      </c>
      <c r="E53" s="58">
        <v>14</v>
      </c>
      <c r="F53" s="47" t="s">
        <v>235</v>
      </c>
      <c r="G53" s="57" t="s">
        <v>236</v>
      </c>
      <c r="H53" s="47" t="s">
        <v>237</v>
      </c>
      <c r="I53" s="59">
        <v>6.6208989713399999</v>
      </c>
      <c r="J53" s="57" t="s">
        <v>278</v>
      </c>
      <c r="K53" s="57" t="s">
        <v>177</v>
      </c>
      <c r="L53" s="60"/>
      <c r="M53" s="62"/>
      <c r="N53" s="62"/>
    </row>
    <row r="54" spans="2:14" x14ac:dyDescent="0.3">
      <c r="B54" s="56">
        <v>1</v>
      </c>
      <c r="C54" s="57">
        <v>1</v>
      </c>
      <c r="D54" s="57" t="s">
        <v>126</v>
      </c>
      <c r="E54" s="58">
        <v>14</v>
      </c>
      <c r="F54" s="47" t="s">
        <v>235</v>
      </c>
      <c r="G54" s="57" t="s">
        <v>238</v>
      </c>
      <c r="H54" s="47" t="s">
        <v>239</v>
      </c>
      <c r="I54" s="59">
        <v>3.37361729672</v>
      </c>
      <c r="J54" s="57" t="s">
        <v>278</v>
      </c>
      <c r="K54" s="57" t="s">
        <v>177</v>
      </c>
      <c r="L54" s="60"/>
      <c r="M54" s="62"/>
      <c r="N54" s="62"/>
    </row>
    <row r="55" spans="2:14" x14ac:dyDescent="0.3">
      <c r="B55" s="56">
        <v>1</v>
      </c>
      <c r="C55" s="57">
        <v>1</v>
      </c>
      <c r="D55" s="57" t="s">
        <v>126</v>
      </c>
      <c r="E55" s="58">
        <v>14</v>
      </c>
      <c r="F55" s="47" t="s">
        <v>235</v>
      </c>
      <c r="G55" s="57" t="s">
        <v>175</v>
      </c>
      <c r="H55" s="47" t="s">
        <v>240</v>
      </c>
      <c r="I55" s="59">
        <v>5.9161415636400001</v>
      </c>
      <c r="J55" s="57" t="s">
        <v>278</v>
      </c>
      <c r="K55" s="57" t="s">
        <v>177</v>
      </c>
      <c r="L55" s="60"/>
      <c r="M55" s="62"/>
      <c r="N55" s="62"/>
    </row>
    <row r="56" spans="2:14" ht="27.6" x14ac:dyDescent="0.3">
      <c r="B56" s="56">
        <v>1</v>
      </c>
      <c r="C56" s="57">
        <v>1</v>
      </c>
      <c r="D56" s="57" t="s">
        <v>126</v>
      </c>
      <c r="E56" s="58">
        <v>15</v>
      </c>
      <c r="F56" s="47" t="s">
        <v>241</v>
      </c>
      <c r="G56" s="57" t="s">
        <v>242</v>
      </c>
      <c r="H56" s="47" t="s">
        <v>243</v>
      </c>
      <c r="I56" s="59">
        <v>6.9727132514200001</v>
      </c>
      <c r="J56" s="57" t="s">
        <v>278</v>
      </c>
      <c r="K56" s="57" t="s">
        <v>177</v>
      </c>
      <c r="L56" s="60"/>
      <c r="M56" s="62"/>
      <c r="N56" s="62"/>
    </row>
    <row r="57" spans="2:14" ht="27.6" x14ac:dyDescent="0.3">
      <c r="B57" s="56">
        <v>1</v>
      </c>
      <c r="C57" s="57">
        <v>1</v>
      </c>
      <c r="D57" s="57" t="s">
        <v>126</v>
      </c>
      <c r="E57" s="58">
        <v>15</v>
      </c>
      <c r="F57" s="47" t="s">
        <v>241</v>
      </c>
      <c r="G57" s="57" t="s">
        <v>244</v>
      </c>
      <c r="H57" s="47" t="s">
        <v>245</v>
      </c>
      <c r="I57" s="59">
        <v>0.30242920566699999</v>
      </c>
      <c r="J57" s="57" t="s">
        <v>278</v>
      </c>
      <c r="K57" s="57" t="s">
        <v>177</v>
      </c>
      <c r="L57" s="60"/>
      <c r="M57" s="62"/>
      <c r="N57" s="62"/>
    </row>
    <row r="58" spans="2:14" ht="27.6" x14ac:dyDescent="0.3">
      <c r="B58" s="56">
        <v>1</v>
      </c>
      <c r="C58" s="57">
        <v>1</v>
      </c>
      <c r="D58" s="57" t="s">
        <v>126</v>
      </c>
      <c r="E58" s="58">
        <v>16</v>
      </c>
      <c r="F58" s="47" t="s">
        <v>246</v>
      </c>
      <c r="G58" s="57" t="s">
        <v>247</v>
      </c>
      <c r="H58" s="47" t="s">
        <v>248</v>
      </c>
      <c r="I58" s="59">
        <v>9.29256611908</v>
      </c>
      <c r="J58" s="57" t="s">
        <v>278</v>
      </c>
      <c r="K58" s="57" t="s">
        <v>177</v>
      </c>
      <c r="L58" s="60"/>
      <c r="M58" s="62"/>
      <c r="N58" s="62"/>
    </row>
    <row r="59" spans="2:14" ht="27.6" x14ac:dyDescent="0.3">
      <c r="B59" s="56">
        <v>1</v>
      </c>
      <c r="C59" s="57">
        <v>1</v>
      </c>
      <c r="D59" s="57" t="s">
        <v>126</v>
      </c>
      <c r="E59" s="58">
        <v>16</v>
      </c>
      <c r="F59" s="47" t="s">
        <v>246</v>
      </c>
      <c r="G59" s="57" t="s">
        <v>249</v>
      </c>
      <c r="H59" s="47" t="s">
        <v>250</v>
      </c>
      <c r="I59" s="59">
        <v>4.7790210114400002</v>
      </c>
      <c r="J59" s="57" t="s">
        <v>278</v>
      </c>
      <c r="K59" s="57" t="s">
        <v>177</v>
      </c>
      <c r="L59" s="60"/>
      <c r="M59" s="62"/>
      <c r="N59" s="62"/>
    </row>
    <row r="60" spans="2:14" x14ac:dyDescent="0.3">
      <c r="B60" s="56">
        <v>1</v>
      </c>
      <c r="C60" s="57">
        <v>1</v>
      </c>
      <c r="D60" s="57" t="s">
        <v>126</v>
      </c>
      <c r="E60" s="58">
        <v>17</v>
      </c>
      <c r="F60" s="47" t="s">
        <v>251</v>
      </c>
      <c r="G60" s="57" t="s">
        <v>252</v>
      </c>
      <c r="H60" s="47" t="s">
        <v>253</v>
      </c>
      <c r="I60" s="59">
        <v>6.4056834824299997</v>
      </c>
      <c r="J60" s="57" t="s">
        <v>278</v>
      </c>
      <c r="K60" s="57" t="s">
        <v>177</v>
      </c>
      <c r="L60" s="60"/>
      <c r="M60" s="62"/>
      <c r="N60" s="62"/>
    </row>
    <row r="61" spans="2:14" x14ac:dyDescent="0.3">
      <c r="B61" s="56">
        <v>1</v>
      </c>
      <c r="C61" s="57">
        <v>1</v>
      </c>
      <c r="D61" s="57" t="s">
        <v>126</v>
      </c>
      <c r="E61" s="58">
        <v>17</v>
      </c>
      <c r="F61" s="47" t="s">
        <v>251</v>
      </c>
      <c r="G61" s="57" t="s">
        <v>254</v>
      </c>
      <c r="H61" s="47" t="s">
        <v>255</v>
      </c>
      <c r="I61" s="59">
        <v>13.6626338889</v>
      </c>
      <c r="J61" s="57" t="s">
        <v>278</v>
      </c>
      <c r="K61" s="57" t="s">
        <v>177</v>
      </c>
      <c r="L61" s="60"/>
      <c r="M61" s="62"/>
      <c r="N61" s="62"/>
    </row>
    <row r="62" spans="2:14" x14ac:dyDescent="0.3">
      <c r="B62" s="56">
        <v>1</v>
      </c>
      <c r="C62" s="57">
        <v>1</v>
      </c>
      <c r="D62" s="57" t="s">
        <v>126</v>
      </c>
      <c r="E62" s="58">
        <v>18</v>
      </c>
      <c r="F62" s="47" t="s">
        <v>51</v>
      </c>
      <c r="G62" s="57" t="s">
        <v>256</v>
      </c>
      <c r="H62" s="47" t="s">
        <v>257</v>
      </c>
      <c r="I62" s="59">
        <v>13.605198378300001</v>
      </c>
      <c r="J62" s="57" t="s">
        <v>278</v>
      </c>
      <c r="K62" s="57" t="s">
        <v>177</v>
      </c>
      <c r="L62" s="60"/>
      <c r="M62" s="62"/>
      <c r="N62" s="62"/>
    </row>
    <row r="63" spans="2:14" x14ac:dyDescent="0.3">
      <c r="B63" s="56">
        <v>1</v>
      </c>
      <c r="C63" s="57">
        <v>1</v>
      </c>
      <c r="D63" s="57" t="s">
        <v>126</v>
      </c>
      <c r="E63" s="58">
        <v>18</v>
      </c>
      <c r="F63" s="47" t="s">
        <v>51</v>
      </c>
      <c r="G63" s="57" t="s">
        <v>258</v>
      </c>
      <c r="H63" s="47" t="s">
        <v>259</v>
      </c>
      <c r="I63" s="59">
        <v>4.2600635240600004</v>
      </c>
      <c r="J63" s="57" t="s">
        <v>278</v>
      </c>
      <c r="K63" s="57" t="s">
        <v>177</v>
      </c>
      <c r="L63" s="60"/>
      <c r="M63" s="62"/>
      <c r="N63" s="62"/>
    </row>
    <row r="64" spans="2:14" x14ac:dyDescent="0.3">
      <c r="B64" s="56">
        <v>1</v>
      </c>
      <c r="C64" s="57">
        <v>1</v>
      </c>
      <c r="D64" s="57" t="s">
        <v>126</v>
      </c>
      <c r="E64" s="58">
        <v>18</v>
      </c>
      <c r="F64" s="47" t="s">
        <v>51</v>
      </c>
      <c r="G64" s="57" t="s">
        <v>260</v>
      </c>
      <c r="H64" s="47" t="s">
        <v>261</v>
      </c>
      <c r="I64" s="59">
        <v>1.17418315623</v>
      </c>
      <c r="J64" s="57" t="s">
        <v>278</v>
      </c>
      <c r="K64" s="57" t="s">
        <v>177</v>
      </c>
      <c r="L64" s="60"/>
      <c r="M64" s="62"/>
      <c r="N64" s="62"/>
    </row>
    <row r="65" spans="2:14" x14ac:dyDescent="0.3">
      <c r="B65" s="56">
        <v>1</v>
      </c>
      <c r="C65" s="57">
        <v>1</v>
      </c>
      <c r="D65" s="57" t="s">
        <v>126</v>
      </c>
      <c r="E65" s="58">
        <v>18</v>
      </c>
      <c r="F65" s="47" t="s">
        <v>51</v>
      </c>
      <c r="G65" s="57" t="s">
        <v>262</v>
      </c>
      <c r="H65" s="47" t="s">
        <v>263</v>
      </c>
      <c r="I65" s="59">
        <v>6.9100749333199998</v>
      </c>
      <c r="J65" s="57" t="s">
        <v>278</v>
      </c>
      <c r="K65" s="57" t="s">
        <v>177</v>
      </c>
      <c r="L65" s="60"/>
      <c r="M65" s="62"/>
      <c r="N65" s="62"/>
    </row>
    <row r="66" spans="2:14" x14ac:dyDescent="0.3">
      <c r="B66" s="56">
        <v>1</v>
      </c>
      <c r="C66" s="57">
        <v>1</v>
      </c>
      <c r="D66" s="57" t="s">
        <v>126</v>
      </c>
      <c r="E66" s="58">
        <v>18</v>
      </c>
      <c r="F66" s="47" t="s">
        <v>51</v>
      </c>
      <c r="G66" s="57" t="s">
        <v>264</v>
      </c>
      <c r="H66" s="47" t="s">
        <v>265</v>
      </c>
      <c r="I66" s="59">
        <v>10.704591063600001</v>
      </c>
      <c r="J66" s="57" t="s">
        <v>278</v>
      </c>
      <c r="K66" s="57" t="s">
        <v>177</v>
      </c>
      <c r="L66" s="60"/>
      <c r="M66" s="62"/>
      <c r="N66" s="62"/>
    </row>
    <row r="67" spans="2:14" x14ac:dyDescent="0.3">
      <c r="B67" s="56">
        <v>1</v>
      </c>
      <c r="C67" s="57">
        <v>1</v>
      </c>
      <c r="D67" s="57" t="s">
        <v>126</v>
      </c>
      <c r="E67" s="58">
        <v>18</v>
      </c>
      <c r="F67" s="47" t="s">
        <v>51</v>
      </c>
      <c r="G67" s="57" t="s">
        <v>266</v>
      </c>
      <c r="H67" s="47" t="s">
        <v>267</v>
      </c>
      <c r="I67" s="59">
        <v>3.6607757999700001</v>
      </c>
      <c r="J67" s="57" t="s">
        <v>278</v>
      </c>
      <c r="K67" s="57" t="s">
        <v>177</v>
      </c>
      <c r="L67" s="60"/>
      <c r="M67" s="62"/>
      <c r="N67" s="62"/>
    </row>
    <row r="68" spans="2:14" x14ac:dyDescent="0.3">
      <c r="B68" s="56">
        <v>1</v>
      </c>
      <c r="C68" s="57">
        <v>1</v>
      </c>
      <c r="D68" s="57" t="s">
        <v>126</v>
      </c>
      <c r="E68" s="58">
        <v>19</v>
      </c>
      <c r="F68" s="47" t="s">
        <v>52</v>
      </c>
      <c r="G68" s="57" t="s">
        <v>268</v>
      </c>
      <c r="H68" s="47" t="s">
        <v>269</v>
      </c>
      <c r="I68" s="59">
        <v>3.6195886233099999</v>
      </c>
      <c r="J68" s="57" t="s">
        <v>278</v>
      </c>
      <c r="K68" s="57" t="s">
        <v>177</v>
      </c>
      <c r="L68" s="60"/>
      <c r="M68" s="62"/>
      <c r="N68" s="62"/>
    </row>
    <row r="69" spans="2:14" x14ac:dyDescent="0.3">
      <c r="B69" s="56">
        <v>1</v>
      </c>
      <c r="C69" s="57">
        <v>1</v>
      </c>
      <c r="D69" s="57" t="s">
        <v>126</v>
      </c>
      <c r="E69" s="58">
        <v>19</v>
      </c>
      <c r="F69" s="47" t="s">
        <v>52</v>
      </c>
      <c r="G69" s="57" t="s">
        <v>270</v>
      </c>
      <c r="H69" s="47" t="s">
        <v>271</v>
      </c>
      <c r="I69" s="59">
        <v>19.793994194500002</v>
      </c>
      <c r="J69" s="57" t="s">
        <v>278</v>
      </c>
      <c r="K69" s="57" t="s">
        <v>177</v>
      </c>
      <c r="L69" s="60"/>
      <c r="M69" s="62"/>
      <c r="N69" s="62"/>
    </row>
    <row r="70" spans="2:14" x14ac:dyDescent="0.3">
      <c r="B70" s="56">
        <v>1</v>
      </c>
      <c r="C70" s="57">
        <v>1</v>
      </c>
      <c r="D70" s="57" t="s">
        <v>126</v>
      </c>
      <c r="E70" s="58">
        <v>19</v>
      </c>
      <c r="F70" s="47" t="s">
        <v>52</v>
      </c>
      <c r="G70" s="57" t="s">
        <v>272</v>
      </c>
      <c r="H70" s="47" t="s">
        <v>273</v>
      </c>
      <c r="I70" s="59">
        <v>5.2504937683000001</v>
      </c>
      <c r="J70" s="57" t="s">
        <v>278</v>
      </c>
      <c r="K70" s="57" t="s">
        <v>177</v>
      </c>
      <c r="L70" s="60"/>
      <c r="M70" s="62"/>
      <c r="N70" s="62"/>
    </row>
    <row r="71" spans="2:14" x14ac:dyDescent="0.3">
      <c r="B71" s="56">
        <v>1</v>
      </c>
      <c r="C71" s="57">
        <v>1</v>
      </c>
      <c r="D71" s="57" t="s">
        <v>126</v>
      </c>
      <c r="E71" s="58">
        <v>19</v>
      </c>
      <c r="F71" s="47" t="s">
        <v>52</v>
      </c>
      <c r="G71" s="57" t="s">
        <v>274</v>
      </c>
      <c r="H71" s="47" t="s">
        <v>275</v>
      </c>
      <c r="I71" s="59">
        <v>9.2231364993699998</v>
      </c>
      <c r="J71" s="57" t="s">
        <v>278</v>
      </c>
      <c r="K71" s="57" t="s">
        <v>177</v>
      </c>
      <c r="L71" s="60"/>
      <c r="M71" s="62"/>
      <c r="N71" s="62"/>
    </row>
    <row r="72" spans="2:14" x14ac:dyDescent="0.3">
      <c r="B72" s="56">
        <v>1</v>
      </c>
      <c r="C72" s="57">
        <v>1</v>
      </c>
      <c r="D72" s="57" t="s">
        <v>126</v>
      </c>
      <c r="E72" s="58">
        <v>19</v>
      </c>
      <c r="F72" s="47" t="s">
        <v>52</v>
      </c>
      <c r="G72" s="57" t="s">
        <v>276</v>
      </c>
      <c r="H72" s="47" t="s">
        <v>277</v>
      </c>
      <c r="I72" s="59">
        <v>5.2172738370099996</v>
      </c>
      <c r="J72" s="57" t="s">
        <v>278</v>
      </c>
      <c r="K72" s="57" t="s">
        <v>177</v>
      </c>
      <c r="L72" s="60"/>
      <c r="M72" s="62"/>
      <c r="N72" s="62"/>
    </row>
    <row r="73" spans="2:14" ht="27.6" x14ac:dyDescent="0.3">
      <c r="B73" s="56">
        <v>1</v>
      </c>
      <c r="C73" s="57">
        <v>1</v>
      </c>
      <c r="D73" s="57" t="s">
        <v>126</v>
      </c>
      <c r="E73" s="58">
        <v>20</v>
      </c>
      <c r="F73" s="47" t="s">
        <v>279</v>
      </c>
      <c r="G73" s="57" t="s">
        <v>280</v>
      </c>
      <c r="H73" s="47" t="s">
        <v>281</v>
      </c>
      <c r="I73" s="59">
        <v>1.4887813576</v>
      </c>
      <c r="J73" s="57" t="s">
        <v>691</v>
      </c>
      <c r="K73" s="57" t="s">
        <v>177</v>
      </c>
      <c r="L73" s="60"/>
      <c r="M73" s="62"/>
      <c r="N73" s="62"/>
    </row>
    <row r="74" spans="2:14" x14ac:dyDescent="0.3">
      <c r="B74" s="56">
        <v>1</v>
      </c>
      <c r="C74" s="57">
        <v>1</v>
      </c>
      <c r="D74" s="57" t="s">
        <v>126</v>
      </c>
      <c r="E74" s="58">
        <v>20</v>
      </c>
      <c r="F74" s="47" t="s">
        <v>279</v>
      </c>
      <c r="G74" s="57" t="s">
        <v>282</v>
      </c>
      <c r="H74" s="47" t="s">
        <v>283</v>
      </c>
      <c r="I74" s="59">
        <v>8.6392069104099996</v>
      </c>
      <c r="J74" s="57" t="s">
        <v>691</v>
      </c>
      <c r="K74" s="57" t="s">
        <v>177</v>
      </c>
      <c r="L74" s="60"/>
      <c r="M74" s="62"/>
      <c r="N74" s="62"/>
    </row>
    <row r="75" spans="2:14" x14ac:dyDescent="0.3">
      <c r="B75" s="56">
        <v>1</v>
      </c>
      <c r="C75" s="57">
        <v>1</v>
      </c>
      <c r="D75" s="57" t="s">
        <v>126</v>
      </c>
      <c r="E75" s="58">
        <v>20</v>
      </c>
      <c r="F75" s="47" t="s">
        <v>279</v>
      </c>
      <c r="G75" s="57" t="s">
        <v>284</v>
      </c>
      <c r="H75" s="47" t="s">
        <v>285</v>
      </c>
      <c r="I75" s="59">
        <v>12.570027062399999</v>
      </c>
      <c r="J75" s="57" t="s">
        <v>691</v>
      </c>
      <c r="K75" s="57" t="s">
        <v>177</v>
      </c>
      <c r="L75" s="60"/>
      <c r="M75" s="62"/>
      <c r="N75" s="62"/>
    </row>
    <row r="76" spans="2:14" x14ac:dyDescent="0.3">
      <c r="B76" s="56">
        <v>1</v>
      </c>
      <c r="C76" s="57">
        <v>1</v>
      </c>
      <c r="D76" s="57" t="s">
        <v>126</v>
      </c>
      <c r="E76" s="58">
        <v>21</v>
      </c>
      <c r="F76" s="47" t="s">
        <v>286</v>
      </c>
      <c r="G76" s="57" t="s">
        <v>287</v>
      </c>
      <c r="H76" s="47" t="s">
        <v>288</v>
      </c>
      <c r="I76" s="59">
        <v>25.6739322335</v>
      </c>
      <c r="J76" s="57" t="s">
        <v>691</v>
      </c>
      <c r="K76" s="57" t="s">
        <v>289</v>
      </c>
      <c r="L76" s="60"/>
      <c r="M76" s="62"/>
      <c r="N76" s="62"/>
    </row>
    <row r="77" spans="2:14" x14ac:dyDescent="0.3">
      <c r="B77" s="56">
        <v>1</v>
      </c>
      <c r="C77" s="57">
        <v>1</v>
      </c>
      <c r="D77" s="57" t="s">
        <v>126</v>
      </c>
      <c r="E77" s="58">
        <v>22</v>
      </c>
      <c r="F77" s="47" t="s">
        <v>290</v>
      </c>
      <c r="G77" s="57" t="s">
        <v>291</v>
      </c>
      <c r="H77" s="47" t="s">
        <v>292</v>
      </c>
      <c r="I77" s="59">
        <v>38.250854647799997</v>
      </c>
      <c r="J77" s="57" t="s">
        <v>691</v>
      </c>
      <c r="K77" s="57" t="s">
        <v>289</v>
      </c>
      <c r="L77" s="60"/>
      <c r="M77" s="62"/>
      <c r="N77" s="62"/>
    </row>
    <row r="78" spans="2:14" x14ac:dyDescent="0.3">
      <c r="B78" s="56">
        <v>1</v>
      </c>
      <c r="C78" s="57">
        <v>1</v>
      </c>
      <c r="D78" s="57" t="s">
        <v>126</v>
      </c>
      <c r="E78" s="58">
        <v>23</v>
      </c>
      <c r="F78" s="47" t="s">
        <v>293</v>
      </c>
      <c r="G78" s="57" t="s">
        <v>294</v>
      </c>
      <c r="H78" s="47" t="s">
        <v>295</v>
      </c>
      <c r="I78" s="59">
        <v>1.3453044624999999</v>
      </c>
      <c r="J78" s="57" t="s">
        <v>278</v>
      </c>
      <c r="K78" s="57" t="s">
        <v>177</v>
      </c>
      <c r="L78" s="60"/>
      <c r="M78" s="62"/>
      <c r="N78" s="62"/>
    </row>
    <row r="79" spans="2:14" x14ac:dyDescent="0.3">
      <c r="B79" s="56">
        <v>1</v>
      </c>
      <c r="C79" s="57">
        <v>1</v>
      </c>
      <c r="D79" s="57" t="s">
        <v>126</v>
      </c>
      <c r="E79" s="58">
        <v>23</v>
      </c>
      <c r="F79" s="47" t="s">
        <v>293</v>
      </c>
      <c r="G79" s="57" t="s">
        <v>296</v>
      </c>
      <c r="H79" s="47" t="s">
        <v>297</v>
      </c>
      <c r="I79" s="59">
        <v>25.1849724954</v>
      </c>
      <c r="J79" s="57" t="s">
        <v>278</v>
      </c>
      <c r="K79" s="57" t="s">
        <v>177</v>
      </c>
      <c r="L79" s="60"/>
      <c r="M79" s="62"/>
      <c r="N79" s="62"/>
    </row>
    <row r="80" spans="2:14" ht="27.6" x14ac:dyDescent="0.3">
      <c r="B80" s="56">
        <v>1</v>
      </c>
      <c r="C80" s="57">
        <v>1</v>
      </c>
      <c r="D80" s="57" t="s">
        <v>126</v>
      </c>
      <c r="E80" s="58">
        <v>24</v>
      </c>
      <c r="F80" s="47" t="s">
        <v>298</v>
      </c>
      <c r="G80" s="57" t="s">
        <v>299</v>
      </c>
      <c r="H80" s="47" t="s">
        <v>300</v>
      </c>
      <c r="I80" s="59">
        <v>1.7025750742100001</v>
      </c>
      <c r="J80" s="57" t="s">
        <v>278</v>
      </c>
      <c r="K80" s="57" t="s">
        <v>177</v>
      </c>
      <c r="L80" s="60"/>
      <c r="M80" s="62"/>
      <c r="N80" s="62"/>
    </row>
    <row r="81" spans="2:14" ht="27.6" x14ac:dyDescent="0.3">
      <c r="B81" s="56">
        <v>1</v>
      </c>
      <c r="C81" s="57">
        <v>1</v>
      </c>
      <c r="D81" s="57" t="s">
        <v>126</v>
      </c>
      <c r="E81" s="58">
        <v>24</v>
      </c>
      <c r="F81" s="47" t="s">
        <v>298</v>
      </c>
      <c r="G81" s="57" t="s">
        <v>301</v>
      </c>
      <c r="H81" s="47" t="s">
        <v>302</v>
      </c>
      <c r="I81" s="59">
        <v>3.5113933610700001</v>
      </c>
      <c r="J81" s="57" t="s">
        <v>278</v>
      </c>
      <c r="K81" s="57" t="s">
        <v>177</v>
      </c>
      <c r="L81" s="60"/>
      <c r="M81" s="62"/>
      <c r="N81" s="62"/>
    </row>
    <row r="82" spans="2:14" ht="27.6" x14ac:dyDescent="0.3">
      <c r="B82" s="56">
        <v>1</v>
      </c>
      <c r="C82" s="57">
        <v>1</v>
      </c>
      <c r="D82" s="57" t="s">
        <v>126</v>
      </c>
      <c r="E82" s="58">
        <v>24</v>
      </c>
      <c r="F82" s="47" t="s">
        <v>298</v>
      </c>
      <c r="G82" s="57" t="s">
        <v>303</v>
      </c>
      <c r="H82" s="47" t="s">
        <v>304</v>
      </c>
      <c r="I82" s="59">
        <v>3.2953064946900001</v>
      </c>
      <c r="J82" s="57" t="s">
        <v>278</v>
      </c>
      <c r="K82" s="57" t="s">
        <v>177</v>
      </c>
      <c r="L82" s="60"/>
      <c r="M82" s="62"/>
      <c r="N82" s="62"/>
    </row>
    <row r="83" spans="2:14" ht="27.6" x14ac:dyDescent="0.3">
      <c r="B83" s="56">
        <v>1</v>
      </c>
      <c r="C83" s="57">
        <v>1</v>
      </c>
      <c r="D83" s="57" t="s">
        <v>126</v>
      </c>
      <c r="E83" s="58">
        <v>24</v>
      </c>
      <c r="F83" s="47" t="s">
        <v>298</v>
      </c>
      <c r="G83" s="57" t="s">
        <v>305</v>
      </c>
      <c r="H83" s="47" t="s">
        <v>306</v>
      </c>
      <c r="I83" s="59">
        <v>8.9366891105399997</v>
      </c>
      <c r="J83" s="57" t="s">
        <v>278</v>
      </c>
      <c r="K83" s="57" t="s">
        <v>177</v>
      </c>
      <c r="L83" s="60"/>
      <c r="M83" s="62"/>
      <c r="N83" s="62"/>
    </row>
    <row r="84" spans="2:14" ht="27.6" x14ac:dyDescent="0.3">
      <c r="B84" s="56">
        <v>1</v>
      </c>
      <c r="C84" s="57">
        <v>1</v>
      </c>
      <c r="D84" s="57" t="s">
        <v>126</v>
      </c>
      <c r="E84" s="58">
        <v>24</v>
      </c>
      <c r="F84" s="47" t="s">
        <v>298</v>
      </c>
      <c r="G84" s="57" t="s">
        <v>307</v>
      </c>
      <c r="H84" s="47" t="s">
        <v>308</v>
      </c>
      <c r="I84" s="59">
        <v>3.3621001742800001</v>
      </c>
      <c r="J84" s="57" t="s">
        <v>278</v>
      </c>
      <c r="K84" s="57" t="s">
        <v>177</v>
      </c>
      <c r="L84" s="60"/>
      <c r="M84" s="62"/>
      <c r="N84" s="62"/>
    </row>
    <row r="85" spans="2:14" ht="27.6" x14ac:dyDescent="0.3">
      <c r="B85" s="56">
        <v>1</v>
      </c>
      <c r="C85" s="57">
        <v>1</v>
      </c>
      <c r="D85" s="57" t="s">
        <v>126</v>
      </c>
      <c r="E85" s="58">
        <v>24</v>
      </c>
      <c r="F85" s="47" t="s">
        <v>298</v>
      </c>
      <c r="G85" s="57" t="s">
        <v>309</v>
      </c>
      <c r="H85" s="47" t="s">
        <v>310</v>
      </c>
      <c r="I85" s="59">
        <v>2.4541499881600002</v>
      </c>
      <c r="J85" s="57" t="s">
        <v>278</v>
      </c>
      <c r="K85" s="57" t="s">
        <v>177</v>
      </c>
      <c r="L85" s="60"/>
      <c r="M85" s="62"/>
      <c r="N85" s="62"/>
    </row>
    <row r="86" spans="2:14" ht="27.6" x14ac:dyDescent="0.3">
      <c r="B86" s="56">
        <v>1</v>
      </c>
      <c r="C86" s="57">
        <v>1</v>
      </c>
      <c r="D86" s="57" t="s">
        <v>126</v>
      </c>
      <c r="E86" s="58">
        <v>24</v>
      </c>
      <c r="F86" s="47" t="s">
        <v>298</v>
      </c>
      <c r="G86" s="57" t="s">
        <v>311</v>
      </c>
      <c r="H86" s="47" t="s">
        <v>312</v>
      </c>
      <c r="I86" s="59">
        <v>2.1853245159000001</v>
      </c>
      <c r="J86" s="57" t="s">
        <v>278</v>
      </c>
      <c r="K86" s="57" t="s">
        <v>177</v>
      </c>
      <c r="L86" s="60"/>
      <c r="M86" s="62"/>
      <c r="N86" s="62"/>
    </row>
    <row r="87" spans="2:14" x14ac:dyDescent="0.3">
      <c r="B87" s="56">
        <v>1</v>
      </c>
      <c r="C87" s="57">
        <v>1</v>
      </c>
      <c r="D87" s="57" t="s">
        <v>126</v>
      </c>
      <c r="E87" s="58">
        <v>25</v>
      </c>
      <c r="F87" s="47" t="s">
        <v>313</v>
      </c>
      <c r="G87" s="57" t="s">
        <v>314</v>
      </c>
      <c r="H87" s="47" t="s">
        <v>315</v>
      </c>
      <c r="I87" s="59">
        <v>3.8927996447000002</v>
      </c>
      <c r="J87" s="57" t="s">
        <v>278</v>
      </c>
      <c r="K87" s="57" t="s">
        <v>289</v>
      </c>
      <c r="L87" s="60"/>
      <c r="M87" s="62"/>
      <c r="N87" s="62"/>
    </row>
    <row r="88" spans="2:14" x14ac:dyDescent="0.3">
      <c r="B88" s="56">
        <v>1</v>
      </c>
      <c r="C88" s="57">
        <v>1</v>
      </c>
      <c r="D88" s="57" t="s">
        <v>126</v>
      </c>
      <c r="E88" s="58">
        <v>25</v>
      </c>
      <c r="F88" s="47" t="s">
        <v>313</v>
      </c>
      <c r="G88" s="57" t="s">
        <v>316</v>
      </c>
      <c r="H88" s="47" t="s">
        <v>317</v>
      </c>
      <c r="I88" s="59">
        <v>2.0956863697100001</v>
      </c>
      <c r="J88" s="57" t="s">
        <v>278</v>
      </c>
      <c r="K88" s="57" t="s">
        <v>289</v>
      </c>
      <c r="L88" s="60"/>
      <c r="M88" s="62"/>
      <c r="N88" s="62"/>
    </row>
    <row r="89" spans="2:14" x14ac:dyDescent="0.3">
      <c r="B89" s="56">
        <v>1</v>
      </c>
      <c r="C89" s="57">
        <v>1</v>
      </c>
      <c r="D89" s="57" t="s">
        <v>126</v>
      </c>
      <c r="E89" s="58">
        <v>25</v>
      </c>
      <c r="F89" s="47" t="s">
        <v>313</v>
      </c>
      <c r="G89" s="57" t="s">
        <v>318</v>
      </c>
      <c r="H89" s="47" t="s">
        <v>319</v>
      </c>
      <c r="I89" s="59">
        <v>6.3170268005999999</v>
      </c>
      <c r="J89" s="57" t="s">
        <v>278</v>
      </c>
      <c r="K89" s="57" t="s">
        <v>289</v>
      </c>
      <c r="L89" s="60"/>
      <c r="M89" s="62"/>
      <c r="N89" s="62"/>
    </row>
    <row r="90" spans="2:14" x14ac:dyDescent="0.3">
      <c r="B90" s="56">
        <v>1</v>
      </c>
      <c r="C90" s="57">
        <v>1</v>
      </c>
      <c r="D90" s="57" t="s">
        <v>126</v>
      </c>
      <c r="E90" s="58">
        <v>25</v>
      </c>
      <c r="F90" s="47" t="s">
        <v>313</v>
      </c>
      <c r="G90" s="57" t="s">
        <v>320</v>
      </c>
      <c r="H90" s="47" t="s">
        <v>321</v>
      </c>
      <c r="I90" s="59">
        <v>14.497344122099999</v>
      </c>
      <c r="J90" s="57" t="s">
        <v>691</v>
      </c>
      <c r="K90" s="57" t="s">
        <v>289</v>
      </c>
      <c r="L90" s="60"/>
      <c r="M90" s="62"/>
      <c r="N90" s="62"/>
    </row>
    <row r="91" spans="2:14" x14ac:dyDescent="0.3">
      <c r="B91" s="56">
        <v>1</v>
      </c>
      <c r="C91" s="57">
        <v>1</v>
      </c>
      <c r="D91" s="57" t="s">
        <v>126</v>
      </c>
      <c r="E91" s="58">
        <v>25</v>
      </c>
      <c r="F91" s="47" t="s">
        <v>313</v>
      </c>
      <c r="G91" s="57" t="s">
        <v>322</v>
      </c>
      <c r="H91" s="47" t="s">
        <v>323</v>
      </c>
      <c r="I91" s="59">
        <v>1.7447457825899999</v>
      </c>
      <c r="J91" s="57" t="s">
        <v>691</v>
      </c>
      <c r="K91" s="57" t="s">
        <v>289</v>
      </c>
      <c r="L91" s="60"/>
      <c r="M91" s="62"/>
      <c r="N91" s="62"/>
    </row>
    <row r="92" spans="2:14" x14ac:dyDescent="0.3">
      <c r="B92" s="56">
        <v>1</v>
      </c>
      <c r="C92" s="57">
        <v>1</v>
      </c>
      <c r="D92" s="57" t="s">
        <v>126</v>
      </c>
      <c r="E92" s="58">
        <v>25</v>
      </c>
      <c r="F92" s="47" t="s">
        <v>313</v>
      </c>
      <c r="G92" s="57" t="s">
        <v>175</v>
      </c>
      <c r="H92" s="47" t="s">
        <v>324</v>
      </c>
      <c r="I92" s="59">
        <v>4.5199947960399998</v>
      </c>
      <c r="J92" s="57" t="s">
        <v>278</v>
      </c>
      <c r="K92" s="57" t="s">
        <v>289</v>
      </c>
      <c r="L92" s="60"/>
      <c r="M92" s="62"/>
      <c r="N92" s="62"/>
    </row>
    <row r="93" spans="2:14" ht="27.6" x14ac:dyDescent="0.3">
      <c r="B93" s="56">
        <v>1</v>
      </c>
      <c r="C93" s="57">
        <v>1</v>
      </c>
      <c r="D93" s="57" t="s">
        <v>126</v>
      </c>
      <c r="E93" s="58">
        <v>26</v>
      </c>
      <c r="F93" s="47" t="s">
        <v>325</v>
      </c>
      <c r="G93" s="57" t="s">
        <v>326</v>
      </c>
      <c r="H93" s="47" t="s">
        <v>327</v>
      </c>
      <c r="I93" s="59">
        <v>14.2746532935</v>
      </c>
      <c r="J93" s="57" t="s">
        <v>691</v>
      </c>
      <c r="K93" s="57" t="s">
        <v>177</v>
      </c>
      <c r="L93" s="60"/>
      <c r="M93" s="62"/>
      <c r="N93" s="62"/>
    </row>
    <row r="94" spans="2:14" x14ac:dyDescent="0.3">
      <c r="B94" s="56">
        <v>1</v>
      </c>
      <c r="C94" s="57">
        <v>1</v>
      </c>
      <c r="D94" s="57" t="s">
        <v>126</v>
      </c>
      <c r="E94" s="58">
        <v>27</v>
      </c>
      <c r="F94" s="47" t="s">
        <v>328</v>
      </c>
      <c r="G94" s="57" t="s">
        <v>329</v>
      </c>
      <c r="H94" s="47" t="s">
        <v>330</v>
      </c>
      <c r="I94" s="59">
        <v>11.5570720649</v>
      </c>
      <c r="J94" s="57" t="s">
        <v>691</v>
      </c>
      <c r="K94" s="57" t="s">
        <v>177</v>
      </c>
      <c r="L94" s="60"/>
      <c r="M94" s="62"/>
      <c r="N94" s="62"/>
    </row>
    <row r="95" spans="2:14" x14ac:dyDescent="0.3">
      <c r="B95" s="56">
        <v>1</v>
      </c>
      <c r="C95" s="57">
        <v>1</v>
      </c>
      <c r="D95" s="57" t="s">
        <v>126</v>
      </c>
      <c r="E95" s="58">
        <v>27</v>
      </c>
      <c r="F95" s="47" t="s">
        <v>328</v>
      </c>
      <c r="G95" s="57" t="s">
        <v>331</v>
      </c>
      <c r="H95" s="47" t="s">
        <v>332</v>
      </c>
      <c r="I95" s="59">
        <v>7.6625836381000001</v>
      </c>
      <c r="J95" s="57" t="s">
        <v>691</v>
      </c>
      <c r="K95" s="57" t="s">
        <v>177</v>
      </c>
      <c r="L95" s="60"/>
      <c r="M95" s="62"/>
      <c r="N95" s="62"/>
    </row>
    <row r="96" spans="2:14" x14ac:dyDescent="0.3">
      <c r="B96" s="56">
        <v>1</v>
      </c>
      <c r="C96" s="57">
        <v>1</v>
      </c>
      <c r="D96" s="57" t="s">
        <v>126</v>
      </c>
      <c r="E96" s="58">
        <v>28</v>
      </c>
      <c r="F96" s="47" t="s">
        <v>53</v>
      </c>
      <c r="G96" s="57" t="s">
        <v>333</v>
      </c>
      <c r="H96" s="47" t="s">
        <v>334</v>
      </c>
      <c r="I96" s="59">
        <v>0.72297385526199998</v>
      </c>
      <c r="J96" s="57" t="s">
        <v>687</v>
      </c>
      <c r="K96" s="57" t="s">
        <v>196</v>
      </c>
      <c r="L96" s="60">
        <v>238619.19</v>
      </c>
      <c r="M96" s="62"/>
      <c r="N96" s="62"/>
    </row>
    <row r="97" spans="2:14" x14ac:dyDescent="0.3">
      <c r="B97" s="56">
        <v>1</v>
      </c>
      <c r="C97" s="57">
        <v>1</v>
      </c>
      <c r="D97" s="57" t="s">
        <v>126</v>
      </c>
      <c r="E97" s="58">
        <v>28</v>
      </c>
      <c r="F97" s="47" t="s">
        <v>53</v>
      </c>
      <c r="G97" s="57" t="s">
        <v>335</v>
      </c>
      <c r="H97" s="47" t="s">
        <v>336</v>
      </c>
      <c r="I97" s="59">
        <v>8.7275217850200004</v>
      </c>
      <c r="J97" s="57" t="s">
        <v>278</v>
      </c>
      <c r="K97" s="57" t="s">
        <v>196</v>
      </c>
      <c r="L97" s="60"/>
      <c r="M97" s="62"/>
      <c r="N97" s="62"/>
    </row>
    <row r="98" spans="2:14" ht="27.6" x14ac:dyDescent="0.3">
      <c r="B98" s="56">
        <v>1</v>
      </c>
      <c r="C98" s="57">
        <v>1</v>
      </c>
      <c r="D98" s="57" t="s">
        <v>126</v>
      </c>
      <c r="E98" s="58">
        <v>29</v>
      </c>
      <c r="F98" s="47" t="s">
        <v>337</v>
      </c>
      <c r="G98" s="57" t="s">
        <v>338</v>
      </c>
      <c r="H98" s="47" t="s">
        <v>339</v>
      </c>
      <c r="I98" s="59">
        <v>6.3326683670400001</v>
      </c>
      <c r="J98" s="57" t="s">
        <v>278</v>
      </c>
      <c r="K98" s="57" t="s">
        <v>177</v>
      </c>
      <c r="L98" s="60"/>
      <c r="M98" s="62"/>
      <c r="N98" s="62"/>
    </row>
    <row r="99" spans="2:14" ht="27.6" x14ac:dyDescent="0.3">
      <c r="B99" s="56">
        <v>1</v>
      </c>
      <c r="C99" s="57">
        <v>1</v>
      </c>
      <c r="D99" s="57" t="s">
        <v>126</v>
      </c>
      <c r="E99" s="58">
        <v>29</v>
      </c>
      <c r="F99" s="47" t="s">
        <v>337</v>
      </c>
      <c r="G99" s="57" t="s">
        <v>340</v>
      </c>
      <c r="H99" s="47" t="s">
        <v>341</v>
      </c>
      <c r="I99" s="59">
        <v>17.4447066663</v>
      </c>
      <c r="J99" s="57" t="s">
        <v>278</v>
      </c>
      <c r="K99" s="57" t="s">
        <v>177</v>
      </c>
      <c r="L99" s="60"/>
      <c r="M99" s="62"/>
      <c r="N99" s="62"/>
    </row>
    <row r="100" spans="2:14" ht="27.6" x14ac:dyDescent="0.3">
      <c r="B100" s="56">
        <v>1</v>
      </c>
      <c r="C100" s="57">
        <v>1</v>
      </c>
      <c r="D100" s="57" t="s">
        <v>126</v>
      </c>
      <c r="E100" s="58">
        <v>29</v>
      </c>
      <c r="F100" s="47" t="s">
        <v>337</v>
      </c>
      <c r="G100" s="57" t="s">
        <v>342</v>
      </c>
      <c r="H100" s="47" t="s">
        <v>343</v>
      </c>
      <c r="I100" s="59">
        <v>2.0654699252499999</v>
      </c>
      <c r="J100" s="57" t="s">
        <v>278</v>
      </c>
      <c r="K100" s="57" t="s">
        <v>177</v>
      </c>
      <c r="L100" s="60"/>
      <c r="M100" s="62"/>
      <c r="N100" s="62"/>
    </row>
    <row r="101" spans="2:14" x14ac:dyDescent="0.3">
      <c r="B101" s="56">
        <v>1</v>
      </c>
      <c r="C101" s="57">
        <v>1</v>
      </c>
      <c r="D101" s="57" t="s">
        <v>126</v>
      </c>
      <c r="E101" s="58">
        <v>30</v>
      </c>
      <c r="F101" s="47" t="s">
        <v>344</v>
      </c>
      <c r="G101" s="57" t="s">
        <v>345</v>
      </c>
      <c r="H101" s="47" t="s">
        <v>346</v>
      </c>
      <c r="I101" s="59">
        <v>6.0749262718899999</v>
      </c>
      <c r="J101" s="57" t="s">
        <v>278</v>
      </c>
      <c r="K101" s="57" t="s">
        <v>196</v>
      </c>
      <c r="L101" s="60">
        <v>316149.98</v>
      </c>
      <c r="M101" s="62"/>
      <c r="N101" s="62"/>
    </row>
    <row r="102" spans="2:14" x14ac:dyDescent="0.3">
      <c r="B102" s="56">
        <v>1</v>
      </c>
      <c r="C102" s="57">
        <v>1</v>
      </c>
      <c r="D102" s="57" t="s">
        <v>126</v>
      </c>
      <c r="E102" s="58">
        <v>30</v>
      </c>
      <c r="F102" s="47" t="s">
        <v>344</v>
      </c>
      <c r="G102" s="57" t="s">
        <v>347</v>
      </c>
      <c r="H102" s="47" t="s">
        <v>348</v>
      </c>
      <c r="I102" s="59">
        <v>6.0288383224700004</v>
      </c>
      <c r="J102" s="57" t="s">
        <v>278</v>
      </c>
      <c r="K102" s="57" t="s">
        <v>196</v>
      </c>
      <c r="L102" s="60"/>
      <c r="M102" s="62"/>
      <c r="N102" s="62"/>
    </row>
    <row r="103" spans="2:14" x14ac:dyDescent="0.3">
      <c r="B103" s="56">
        <v>1</v>
      </c>
      <c r="C103" s="57">
        <v>1</v>
      </c>
      <c r="D103" s="57" t="s">
        <v>126</v>
      </c>
      <c r="E103" s="58">
        <v>31</v>
      </c>
      <c r="F103" s="47" t="s">
        <v>73</v>
      </c>
      <c r="G103" s="57" t="s">
        <v>349</v>
      </c>
      <c r="H103" s="47" t="s">
        <v>350</v>
      </c>
      <c r="I103" s="59">
        <v>2.64010543268</v>
      </c>
      <c r="J103" s="57" t="s">
        <v>691</v>
      </c>
      <c r="K103" s="57" t="s">
        <v>177</v>
      </c>
      <c r="L103" s="60"/>
      <c r="M103" s="62"/>
      <c r="N103" s="62"/>
    </row>
    <row r="104" spans="2:14" x14ac:dyDescent="0.3">
      <c r="B104" s="56">
        <v>1</v>
      </c>
      <c r="C104" s="57">
        <v>1</v>
      </c>
      <c r="D104" s="57" t="s">
        <v>126</v>
      </c>
      <c r="E104" s="58">
        <v>31</v>
      </c>
      <c r="F104" s="47" t="s">
        <v>73</v>
      </c>
      <c r="G104" s="57" t="s">
        <v>351</v>
      </c>
      <c r="H104" s="47" t="s">
        <v>352</v>
      </c>
      <c r="I104" s="59">
        <v>4.9056458093700002</v>
      </c>
      <c r="J104" s="57" t="s">
        <v>691</v>
      </c>
      <c r="K104" s="57" t="s">
        <v>177</v>
      </c>
      <c r="L104" s="60"/>
      <c r="M104" s="62"/>
      <c r="N104" s="62"/>
    </row>
    <row r="105" spans="2:14" x14ac:dyDescent="0.3">
      <c r="B105" s="56">
        <v>1</v>
      </c>
      <c r="C105" s="57">
        <v>1</v>
      </c>
      <c r="D105" s="57" t="s">
        <v>126</v>
      </c>
      <c r="E105" s="58">
        <v>31</v>
      </c>
      <c r="F105" s="47" t="s">
        <v>73</v>
      </c>
      <c r="G105" s="57" t="s">
        <v>353</v>
      </c>
      <c r="H105" s="47" t="s">
        <v>354</v>
      </c>
      <c r="I105" s="59">
        <v>18.043359699300002</v>
      </c>
      <c r="J105" s="57" t="s">
        <v>691</v>
      </c>
      <c r="K105" s="57" t="s">
        <v>177</v>
      </c>
      <c r="L105" s="60"/>
      <c r="M105" s="62"/>
      <c r="N105" s="62"/>
    </row>
    <row r="106" spans="2:14" x14ac:dyDescent="0.3">
      <c r="B106" s="56">
        <v>1</v>
      </c>
      <c r="C106" s="57">
        <v>1</v>
      </c>
      <c r="D106" s="57" t="s">
        <v>126</v>
      </c>
      <c r="E106" s="58">
        <v>31</v>
      </c>
      <c r="F106" s="47" t="s">
        <v>73</v>
      </c>
      <c r="G106" s="57" t="s">
        <v>355</v>
      </c>
      <c r="H106" s="47" t="s">
        <v>356</v>
      </c>
      <c r="I106" s="59">
        <v>10.3664792796</v>
      </c>
      <c r="J106" s="57" t="s">
        <v>691</v>
      </c>
      <c r="K106" s="57" t="s">
        <v>177</v>
      </c>
      <c r="L106" s="60"/>
      <c r="M106" s="62"/>
      <c r="N106" s="62"/>
    </row>
    <row r="107" spans="2:14" ht="27.6" x14ac:dyDescent="0.3">
      <c r="B107" s="56">
        <v>1</v>
      </c>
      <c r="C107" s="57">
        <v>1</v>
      </c>
      <c r="D107" s="57" t="s">
        <v>126</v>
      </c>
      <c r="E107" s="58">
        <v>32</v>
      </c>
      <c r="F107" s="47" t="s">
        <v>54</v>
      </c>
      <c r="G107" s="57" t="s">
        <v>357</v>
      </c>
      <c r="H107" s="47" t="s">
        <v>358</v>
      </c>
      <c r="I107" s="59">
        <v>7.6877450416000004</v>
      </c>
      <c r="J107" s="57" t="s">
        <v>278</v>
      </c>
      <c r="K107" s="57" t="s">
        <v>196</v>
      </c>
      <c r="L107" s="63">
        <v>235899.01670999997</v>
      </c>
      <c r="M107" s="62"/>
      <c r="N107" s="62"/>
    </row>
    <row r="108" spans="2:14" x14ac:dyDescent="0.3">
      <c r="B108" s="56">
        <v>1</v>
      </c>
      <c r="C108" s="57">
        <v>1</v>
      </c>
      <c r="D108" s="57" t="s">
        <v>126</v>
      </c>
      <c r="E108" s="58">
        <v>33</v>
      </c>
      <c r="F108" s="47" t="s">
        <v>359</v>
      </c>
      <c r="G108" s="57" t="s">
        <v>360</v>
      </c>
      <c r="H108" s="47" t="s">
        <v>361</v>
      </c>
      <c r="I108" s="59">
        <v>18.409328083399998</v>
      </c>
      <c r="J108" s="57" t="s">
        <v>691</v>
      </c>
      <c r="K108" s="57" t="s">
        <v>289</v>
      </c>
      <c r="L108" s="63"/>
      <c r="M108" s="62"/>
      <c r="N108" s="62"/>
    </row>
    <row r="109" spans="2:14" x14ac:dyDescent="0.3">
      <c r="B109" s="56">
        <v>1</v>
      </c>
      <c r="C109" s="57">
        <v>1</v>
      </c>
      <c r="D109" s="57" t="s">
        <v>126</v>
      </c>
      <c r="E109" s="58">
        <v>33</v>
      </c>
      <c r="F109" s="47" t="s">
        <v>359</v>
      </c>
      <c r="G109" s="57" t="s">
        <v>362</v>
      </c>
      <c r="H109" s="47" t="s">
        <v>363</v>
      </c>
      <c r="I109" s="59">
        <v>26.483452889900001</v>
      </c>
      <c r="J109" s="57" t="s">
        <v>691</v>
      </c>
      <c r="K109" s="57" t="s">
        <v>289</v>
      </c>
      <c r="L109" s="63"/>
      <c r="M109" s="62"/>
      <c r="N109" s="62"/>
    </row>
    <row r="110" spans="2:14" x14ac:dyDescent="0.3">
      <c r="B110" s="56">
        <v>1</v>
      </c>
      <c r="C110" s="57">
        <v>1</v>
      </c>
      <c r="D110" s="57" t="s">
        <v>126</v>
      </c>
      <c r="E110" s="58">
        <v>34</v>
      </c>
      <c r="F110" s="47" t="s">
        <v>364</v>
      </c>
      <c r="G110" s="57" t="s">
        <v>365</v>
      </c>
      <c r="H110" s="47" t="s">
        <v>366</v>
      </c>
      <c r="I110" s="59">
        <v>32.812788573200002</v>
      </c>
      <c r="J110" s="57" t="s">
        <v>691</v>
      </c>
      <c r="K110" s="57" t="s">
        <v>289</v>
      </c>
      <c r="L110" s="63"/>
      <c r="M110" s="62"/>
      <c r="N110" s="62"/>
    </row>
    <row r="111" spans="2:14" ht="27.6" x14ac:dyDescent="0.3">
      <c r="B111" s="56">
        <v>1</v>
      </c>
      <c r="C111" s="57">
        <v>1</v>
      </c>
      <c r="D111" s="57" t="s">
        <v>126</v>
      </c>
      <c r="E111" s="58">
        <v>35</v>
      </c>
      <c r="F111" s="47" t="s">
        <v>367</v>
      </c>
      <c r="G111" s="57" t="s">
        <v>368</v>
      </c>
      <c r="H111" s="47" t="s">
        <v>369</v>
      </c>
      <c r="I111" s="59">
        <v>13.9122850812</v>
      </c>
      <c r="J111" s="57" t="s">
        <v>278</v>
      </c>
      <c r="K111" s="57" t="s">
        <v>177</v>
      </c>
      <c r="L111" s="63"/>
      <c r="M111" s="62"/>
      <c r="N111" s="62"/>
    </row>
    <row r="112" spans="2:14" ht="27.6" x14ac:dyDescent="0.3">
      <c r="B112" s="56">
        <v>1</v>
      </c>
      <c r="C112" s="57">
        <v>1</v>
      </c>
      <c r="D112" s="57" t="s">
        <v>126</v>
      </c>
      <c r="E112" s="58">
        <v>35</v>
      </c>
      <c r="F112" s="47" t="s">
        <v>367</v>
      </c>
      <c r="G112" s="57" t="s">
        <v>370</v>
      </c>
      <c r="H112" s="47" t="s">
        <v>371</v>
      </c>
      <c r="I112" s="59">
        <v>11.085450052100001</v>
      </c>
      <c r="J112" s="57" t="s">
        <v>278</v>
      </c>
      <c r="K112" s="57" t="s">
        <v>177</v>
      </c>
      <c r="L112" s="63"/>
      <c r="M112" s="62"/>
      <c r="N112" s="62"/>
    </row>
    <row r="113" spans="2:14" x14ac:dyDescent="0.3">
      <c r="B113" s="56">
        <v>1</v>
      </c>
      <c r="C113" s="57">
        <v>1</v>
      </c>
      <c r="D113" s="57" t="s">
        <v>126</v>
      </c>
      <c r="E113" s="58">
        <v>36</v>
      </c>
      <c r="F113" s="47" t="s">
        <v>372</v>
      </c>
      <c r="G113" s="57" t="s">
        <v>373</v>
      </c>
      <c r="H113" s="47" t="s">
        <v>374</v>
      </c>
      <c r="I113" s="59">
        <v>2.3264889275699998</v>
      </c>
      <c r="J113" s="57" t="s">
        <v>278</v>
      </c>
      <c r="K113" s="57" t="s">
        <v>177</v>
      </c>
      <c r="L113" s="63"/>
      <c r="M113" s="62"/>
      <c r="N113" s="62"/>
    </row>
    <row r="114" spans="2:14" x14ac:dyDescent="0.3">
      <c r="B114" s="56">
        <v>1</v>
      </c>
      <c r="C114" s="57">
        <v>1</v>
      </c>
      <c r="D114" s="57" t="s">
        <v>126</v>
      </c>
      <c r="E114" s="58">
        <v>36</v>
      </c>
      <c r="F114" s="47" t="s">
        <v>372</v>
      </c>
      <c r="G114" s="57" t="s">
        <v>375</v>
      </c>
      <c r="H114" s="47" t="s">
        <v>376</v>
      </c>
      <c r="I114" s="59">
        <v>3.9177303346099999</v>
      </c>
      <c r="J114" s="57" t="s">
        <v>278</v>
      </c>
      <c r="K114" s="57" t="s">
        <v>177</v>
      </c>
      <c r="L114" s="63"/>
      <c r="M114" s="62"/>
      <c r="N114" s="62"/>
    </row>
    <row r="115" spans="2:14" x14ac:dyDescent="0.3">
      <c r="B115" s="56">
        <v>1</v>
      </c>
      <c r="C115" s="57">
        <v>1</v>
      </c>
      <c r="D115" s="57" t="s">
        <v>126</v>
      </c>
      <c r="E115" s="58">
        <v>37</v>
      </c>
      <c r="F115" s="47" t="s">
        <v>377</v>
      </c>
      <c r="G115" s="57" t="s">
        <v>378</v>
      </c>
      <c r="H115" s="47" t="s">
        <v>379</v>
      </c>
      <c r="I115" s="59">
        <v>12.135700452</v>
      </c>
      <c r="J115" s="57" t="s">
        <v>691</v>
      </c>
      <c r="K115" s="57" t="s">
        <v>289</v>
      </c>
      <c r="L115" s="63"/>
      <c r="M115" s="62"/>
      <c r="N115" s="62"/>
    </row>
    <row r="116" spans="2:14" x14ac:dyDescent="0.3">
      <c r="B116" s="56">
        <v>1</v>
      </c>
      <c r="C116" s="57">
        <v>1</v>
      </c>
      <c r="D116" s="57" t="s">
        <v>126</v>
      </c>
      <c r="E116" s="58">
        <v>38</v>
      </c>
      <c r="F116" s="47" t="s">
        <v>380</v>
      </c>
      <c r="G116" s="57" t="s">
        <v>381</v>
      </c>
      <c r="H116" s="47" t="s">
        <v>382</v>
      </c>
      <c r="I116" s="59">
        <v>3.7562933373199998</v>
      </c>
      <c r="J116" s="57" t="s">
        <v>278</v>
      </c>
      <c r="K116" s="57" t="s">
        <v>177</v>
      </c>
      <c r="L116" s="63"/>
      <c r="M116" s="62"/>
      <c r="N116" s="62"/>
    </row>
    <row r="117" spans="2:14" x14ac:dyDescent="0.3">
      <c r="B117" s="56">
        <v>1</v>
      </c>
      <c r="C117" s="57">
        <v>1</v>
      </c>
      <c r="D117" s="57" t="s">
        <v>126</v>
      </c>
      <c r="E117" s="58">
        <v>38</v>
      </c>
      <c r="F117" s="47" t="s">
        <v>380</v>
      </c>
      <c r="G117" s="57" t="s">
        <v>383</v>
      </c>
      <c r="H117" s="47" t="s">
        <v>384</v>
      </c>
      <c r="I117" s="59">
        <v>4.2669872308099999</v>
      </c>
      <c r="J117" s="57" t="s">
        <v>278</v>
      </c>
      <c r="K117" s="57" t="s">
        <v>177</v>
      </c>
      <c r="L117" s="63"/>
      <c r="M117" s="62"/>
      <c r="N117" s="62"/>
    </row>
    <row r="119" spans="2:14" ht="14.4" thickBot="1" x14ac:dyDescent="0.35">
      <c r="H119" s="65" t="s">
        <v>385</v>
      </c>
      <c r="I119" s="66">
        <f>SUM(I4:I117)</f>
        <v>992.12981226503746</v>
      </c>
    </row>
  </sheetData>
  <mergeCells count="1">
    <mergeCell ref="B2:L2"/>
  </mergeCells>
  <conditionalFormatting sqref="K4:K117 N118:N1048576">
    <cfRule type="cellIs" dxfId="11" priority="1" operator="equal">
      <formula>"Acesso"</formula>
    </cfRule>
    <cfRule type="cellIs" dxfId="10" priority="2" operator="equal">
      <formula>"Não Encontrada"</formula>
    </cfRule>
    <cfRule type="cellIs" dxfId="9" priority="3" operator="equal">
      <formula>"Municipal"</formula>
    </cfRule>
  </conditionalFormatting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33D6C-C4F4-49A9-90B7-FE0516B38F2D}">
  <sheetPr codeName="Planilha16"/>
  <dimension ref="A2:O76"/>
  <sheetViews>
    <sheetView workbookViewId="0">
      <selection sqref="A1:XFD1048576"/>
    </sheetView>
  </sheetViews>
  <sheetFormatPr defaultColWidth="8.19921875" defaultRowHeight="13.8" x14ac:dyDescent="0.3"/>
  <cols>
    <col min="1" max="1" width="4.19921875" style="62" customWidth="1"/>
    <col min="2" max="2" width="8.19921875" style="64"/>
    <col min="3" max="3" width="18.796875" style="62" customWidth="1"/>
    <col min="4" max="4" width="23.09765625" style="62" customWidth="1"/>
    <col min="5" max="5" width="14.5" style="68" customWidth="1"/>
    <col min="6" max="6" width="101.59765625" style="62" bestFit="1" customWidth="1"/>
    <col min="7" max="7" width="16.796875" style="64" customWidth="1"/>
    <col min="8" max="8" width="64.3984375" style="62" customWidth="1"/>
    <col min="9" max="9" width="14.09765625" style="67" customWidth="1"/>
    <col min="10" max="10" width="9.3984375" style="64" customWidth="1"/>
    <col min="11" max="11" width="16.69921875" style="62" customWidth="1"/>
    <col min="12" max="16384" width="8.19921875" style="62"/>
  </cols>
  <sheetData>
    <row r="2" spans="1:15" s="54" customFormat="1" ht="51.75" customHeight="1" x14ac:dyDescent="0.3">
      <c r="B2" s="306" t="s">
        <v>116</v>
      </c>
      <c r="C2" s="306"/>
      <c r="D2" s="306"/>
      <c r="E2" s="306"/>
      <c r="F2" s="306"/>
      <c r="G2" s="306"/>
      <c r="H2" s="306"/>
      <c r="I2" s="306"/>
      <c r="J2" s="306"/>
      <c r="K2" s="306"/>
    </row>
    <row r="3" spans="1:15" s="61" customFormat="1" ht="45" customHeight="1" x14ac:dyDescent="0.3">
      <c r="A3" s="53"/>
      <c r="B3" s="69" t="s">
        <v>117</v>
      </c>
      <c r="C3" s="69" t="s">
        <v>118</v>
      </c>
      <c r="D3" s="69" t="s">
        <v>119</v>
      </c>
      <c r="E3" s="69" t="s">
        <v>386</v>
      </c>
      <c r="F3" s="69" t="s">
        <v>0</v>
      </c>
      <c r="G3" s="69" t="s">
        <v>120</v>
      </c>
      <c r="H3" s="69" t="s">
        <v>121</v>
      </c>
      <c r="I3" s="69" t="s">
        <v>122</v>
      </c>
      <c r="J3" s="69" t="s">
        <v>123</v>
      </c>
      <c r="K3" s="69" t="s">
        <v>124</v>
      </c>
      <c r="L3" s="70"/>
      <c r="M3" s="53"/>
      <c r="N3" s="53"/>
      <c r="O3" s="53"/>
    </row>
    <row r="4" spans="1:15" s="61" customFormat="1" x14ac:dyDescent="0.25">
      <c r="B4" s="56">
        <v>2</v>
      </c>
      <c r="C4" s="57">
        <v>2</v>
      </c>
      <c r="D4" s="71" t="s">
        <v>387</v>
      </c>
      <c r="E4" s="58">
        <v>39</v>
      </c>
      <c r="F4" s="72" t="s">
        <v>388</v>
      </c>
      <c r="G4" s="57" t="s">
        <v>389</v>
      </c>
      <c r="H4" s="73" t="s">
        <v>390</v>
      </c>
      <c r="I4" s="74">
        <v>2.4295262325400002</v>
      </c>
      <c r="J4" s="57" t="s">
        <v>278</v>
      </c>
      <c r="K4" s="75" t="s">
        <v>177</v>
      </c>
    </row>
    <row r="5" spans="1:15" s="61" customFormat="1" x14ac:dyDescent="0.25">
      <c r="B5" s="56">
        <v>2</v>
      </c>
      <c r="C5" s="57">
        <v>2</v>
      </c>
      <c r="D5" s="71" t="s">
        <v>387</v>
      </c>
      <c r="E5" s="58">
        <v>39</v>
      </c>
      <c r="F5" s="72" t="s">
        <v>388</v>
      </c>
      <c r="G5" s="57" t="s">
        <v>391</v>
      </c>
      <c r="H5" s="73" t="s">
        <v>392</v>
      </c>
      <c r="I5" s="74">
        <v>4.2669872308099999</v>
      </c>
      <c r="J5" s="57" t="s">
        <v>278</v>
      </c>
      <c r="K5" s="75" t="s">
        <v>177</v>
      </c>
    </row>
    <row r="6" spans="1:15" s="61" customFormat="1" x14ac:dyDescent="0.25">
      <c r="B6" s="56">
        <v>2</v>
      </c>
      <c r="C6" s="57">
        <v>2</v>
      </c>
      <c r="D6" s="71" t="s">
        <v>387</v>
      </c>
      <c r="E6" s="58">
        <v>39</v>
      </c>
      <c r="F6" s="72" t="s">
        <v>388</v>
      </c>
      <c r="G6" s="57" t="s">
        <v>393</v>
      </c>
      <c r="H6" s="73" t="s">
        <v>394</v>
      </c>
      <c r="I6" s="74">
        <v>3.7562933373199998</v>
      </c>
      <c r="J6" s="57" t="s">
        <v>278</v>
      </c>
      <c r="K6" s="75" t="s">
        <v>177</v>
      </c>
    </row>
    <row r="7" spans="1:15" s="61" customFormat="1" x14ac:dyDescent="0.25">
      <c r="B7" s="56">
        <v>2</v>
      </c>
      <c r="C7" s="57">
        <v>2</v>
      </c>
      <c r="D7" s="71" t="s">
        <v>387</v>
      </c>
      <c r="E7" s="58">
        <v>40</v>
      </c>
      <c r="F7" s="72" t="s">
        <v>395</v>
      </c>
      <c r="G7" s="57" t="s">
        <v>396</v>
      </c>
      <c r="H7" s="73" t="s">
        <v>397</v>
      </c>
      <c r="I7" s="74">
        <v>1.08353337499</v>
      </c>
      <c r="J7" s="57" t="s">
        <v>687</v>
      </c>
      <c r="K7" s="75" t="s">
        <v>688</v>
      </c>
    </row>
    <row r="8" spans="1:15" s="61" customFormat="1" x14ac:dyDescent="0.25">
      <c r="B8" s="56">
        <v>2</v>
      </c>
      <c r="C8" s="57">
        <v>2</v>
      </c>
      <c r="D8" s="71" t="s">
        <v>387</v>
      </c>
      <c r="E8" s="58">
        <v>40</v>
      </c>
      <c r="F8" s="72" t="s">
        <v>395</v>
      </c>
      <c r="G8" s="57" t="s">
        <v>398</v>
      </c>
      <c r="H8" s="73" t="s">
        <v>397</v>
      </c>
      <c r="I8" s="74">
        <v>0.71481769674499995</v>
      </c>
      <c r="J8" s="57" t="s">
        <v>687</v>
      </c>
      <c r="K8" s="75" t="s">
        <v>688</v>
      </c>
    </row>
    <row r="9" spans="1:15" s="61" customFormat="1" x14ac:dyDescent="0.25">
      <c r="B9" s="56">
        <v>2</v>
      </c>
      <c r="C9" s="57">
        <v>2</v>
      </c>
      <c r="D9" s="71" t="s">
        <v>387</v>
      </c>
      <c r="E9" s="58">
        <v>40</v>
      </c>
      <c r="F9" s="72" t="s">
        <v>395</v>
      </c>
      <c r="G9" s="57" t="s">
        <v>399</v>
      </c>
      <c r="H9" s="73" t="s">
        <v>400</v>
      </c>
      <c r="I9" s="74">
        <v>1.0743693946599999</v>
      </c>
      <c r="J9" s="57" t="s">
        <v>278</v>
      </c>
      <c r="K9" s="75" t="s">
        <v>177</v>
      </c>
    </row>
    <row r="10" spans="1:15" s="61" customFormat="1" x14ac:dyDescent="0.25">
      <c r="B10" s="56">
        <v>2</v>
      </c>
      <c r="C10" s="57">
        <v>2</v>
      </c>
      <c r="D10" s="71" t="s">
        <v>387</v>
      </c>
      <c r="E10" s="58">
        <v>40</v>
      </c>
      <c r="F10" s="72" t="s">
        <v>395</v>
      </c>
      <c r="G10" s="57" t="s">
        <v>401</v>
      </c>
      <c r="H10" s="73" t="s">
        <v>402</v>
      </c>
      <c r="I10" s="74">
        <v>2.98808809868</v>
      </c>
      <c r="J10" s="57" t="s">
        <v>278</v>
      </c>
      <c r="K10" s="75" t="s">
        <v>177</v>
      </c>
    </row>
    <row r="11" spans="1:15" s="61" customFormat="1" x14ac:dyDescent="0.25">
      <c r="B11" s="56">
        <v>2</v>
      </c>
      <c r="C11" s="57">
        <v>2</v>
      </c>
      <c r="D11" s="71" t="s">
        <v>387</v>
      </c>
      <c r="E11" s="58">
        <v>40</v>
      </c>
      <c r="F11" s="72" t="s">
        <v>395</v>
      </c>
      <c r="G11" s="57" t="s">
        <v>403</v>
      </c>
      <c r="H11" s="73" t="s">
        <v>404</v>
      </c>
      <c r="I11" s="74">
        <v>42.716102262100001</v>
      </c>
      <c r="J11" s="57" t="s">
        <v>278</v>
      </c>
      <c r="K11" s="75" t="s">
        <v>177</v>
      </c>
    </row>
    <row r="12" spans="1:15" s="61" customFormat="1" x14ac:dyDescent="0.25">
      <c r="B12" s="56">
        <v>2</v>
      </c>
      <c r="C12" s="57">
        <v>2</v>
      </c>
      <c r="D12" s="71" t="s">
        <v>387</v>
      </c>
      <c r="E12" s="58">
        <v>40</v>
      </c>
      <c r="F12" s="72" t="s">
        <v>395</v>
      </c>
      <c r="G12" s="57" t="s">
        <v>405</v>
      </c>
      <c r="H12" s="73" t="s">
        <v>406</v>
      </c>
      <c r="I12" s="74">
        <v>5.2299311799900003</v>
      </c>
      <c r="J12" s="57" t="s">
        <v>278</v>
      </c>
      <c r="K12" s="75" t="s">
        <v>177</v>
      </c>
    </row>
    <row r="13" spans="1:15" s="61" customFormat="1" x14ac:dyDescent="0.25">
      <c r="B13" s="56">
        <v>2</v>
      </c>
      <c r="C13" s="57">
        <v>2</v>
      </c>
      <c r="D13" s="71" t="s">
        <v>387</v>
      </c>
      <c r="E13" s="58">
        <v>40</v>
      </c>
      <c r="F13" s="72" t="s">
        <v>395</v>
      </c>
      <c r="G13" s="57" t="s">
        <v>407</v>
      </c>
      <c r="H13" s="73" t="s">
        <v>408</v>
      </c>
      <c r="I13" s="74">
        <v>6.9420402294799999</v>
      </c>
      <c r="J13" s="57" t="s">
        <v>278</v>
      </c>
      <c r="K13" s="75" t="s">
        <v>177</v>
      </c>
    </row>
    <row r="14" spans="1:15" s="61" customFormat="1" x14ac:dyDescent="0.25">
      <c r="B14" s="56">
        <v>2</v>
      </c>
      <c r="C14" s="57">
        <v>2</v>
      </c>
      <c r="D14" s="71" t="s">
        <v>387</v>
      </c>
      <c r="E14" s="58">
        <v>41</v>
      </c>
      <c r="F14" s="72" t="s">
        <v>409</v>
      </c>
      <c r="G14" s="57" t="s">
        <v>410</v>
      </c>
      <c r="H14" s="73" t="s">
        <v>411</v>
      </c>
      <c r="I14" s="74">
        <v>2.56461788976</v>
      </c>
      <c r="J14" s="57" t="s">
        <v>687</v>
      </c>
      <c r="K14" s="75" t="s">
        <v>688</v>
      </c>
    </row>
    <row r="15" spans="1:15" s="61" customFormat="1" x14ac:dyDescent="0.25">
      <c r="B15" s="56">
        <v>2</v>
      </c>
      <c r="C15" s="57">
        <v>2</v>
      </c>
      <c r="D15" s="71" t="s">
        <v>387</v>
      </c>
      <c r="E15" s="58">
        <v>41</v>
      </c>
      <c r="F15" s="72" t="s">
        <v>409</v>
      </c>
      <c r="G15" s="57" t="s">
        <v>412</v>
      </c>
      <c r="H15" s="73" t="s">
        <v>413</v>
      </c>
      <c r="I15" s="74">
        <v>3.92433138675</v>
      </c>
      <c r="J15" s="57" t="s">
        <v>278</v>
      </c>
      <c r="K15" s="75" t="s">
        <v>177</v>
      </c>
    </row>
    <row r="16" spans="1:15" s="61" customFormat="1" x14ac:dyDescent="0.25">
      <c r="B16" s="56">
        <v>2</v>
      </c>
      <c r="C16" s="57">
        <v>2</v>
      </c>
      <c r="D16" s="71" t="s">
        <v>387</v>
      </c>
      <c r="E16" s="58">
        <v>41</v>
      </c>
      <c r="F16" s="72" t="s">
        <v>409</v>
      </c>
      <c r="G16" s="57" t="s">
        <v>414</v>
      </c>
      <c r="H16" s="73" t="s">
        <v>415</v>
      </c>
      <c r="I16" s="74">
        <v>19.2261437063</v>
      </c>
      <c r="J16" s="57" t="s">
        <v>278</v>
      </c>
      <c r="K16" s="75" t="s">
        <v>177</v>
      </c>
    </row>
    <row r="17" spans="2:11" s="61" customFormat="1" x14ac:dyDescent="0.25">
      <c r="B17" s="56">
        <v>2</v>
      </c>
      <c r="C17" s="57">
        <v>2</v>
      </c>
      <c r="D17" s="71" t="s">
        <v>387</v>
      </c>
      <c r="E17" s="58">
        <v>42</v>
      </c>
      <c r="F17" s="72" t="s">
        <v>416</v>
      </c>
      <c r="G17" s="57" t="s">
        <v>417</v>
      </c>
      <c r="H17" s="73" t="s">
        <v>418</v>
      </c>
      <c r="I17" s="74">
        <v>3.9243329395800002</v>
      </c>
      <c r="J17" s="57" t="s">
        <v>278</v>
      </c>
      <c r="K17" s="75" t="s">
        <v>177</v>
      </c>
    </row>
    <row r="18" spans="2:11" s="61" customFormat="1" x14ac:dyDescent="0.25">
      <c r="B18" s="56">
        <v>2</v>
      </c>
      <c r="C18" s="57">
        <v>2</v>
      </c>
      <c r="D18" s="71" t="s">
        <v>387</v>
      </c>
      <c r="E18" s="58">
        <v>42</v>
      </c>
      <c r="F18" s="72" t="s">
        <v>416</v>
      </c>
      <c r="G18" s="57" t="s">
        <v>419</v>
      </c>
      <c r="H18" s="73" t="s">
        <v>420</v>
      </c>
      <c r="I18" s="74">
        <v>5.9056729650099999</v>
      </c>
      <c r="J18" s="57" t="s">
        <v>278</v>
      </c>
      <c r="K18" s="75" t="s">
        <v>177</v>
      </c>
    </row>
    <row r="19" spans="2:11" s="61" customFormat="1" x14ac:dyDescent="0.25">
      <c r="B19" s="56">
        <v>2</v>
      </c>
      <c r="C19" s="57">
        <v>2</v>
      </c>
      <c r="D19" s="71" t="s">
        <v>387</v>
      </c>
      <c r="E19" s="58">
        <v>42</v>
      </c>
      <c r="F19" s="72" t="s">
        <v>416</v>
      </c>
      <c r="G19" s="57" t="s">
        <v>421</v>
      </c>
      <c r="H19" s="73" t="s">
        <v>422</v>
      </c>
      <c r="I19" s="74">
        <v>3.6206039488599999</v>
      </c>
      <c r="J19" s="57" t="s">
        <v>278</v>
      </c>
      <c r="K19" s="75" t="s">
        <v>177</v>
      </c>
    </row>
    <row r="20" spans="2:11" s="61" customFormat="1" x14ac:dyDescent="0.25">
      <c r="B20" s="56">
        <v>2</v>
      </c>
      <c r="C20" s="57">
        <v>2</v>
      </c>
      <c r="D20" s="71" t="s">
        <v>387</v>
      </c>
      <c r="E20" s="58">
        <v>43</v>
      </c>
      <c r="F20" s="72" t="s">
        <v>423</v>
      </c>
      <c r="G20" s="57" t="s">
        <v>424</v>
      </c>
      <c r="H20" s="73" t="s">
        <v>425</v>
      </c>
      <c r="I20" s="74">
        <v>19.9988076329</v>
      </c>
      <c r="J20" s="57" t="s">
        <v>278</v>
      </c>
      <c r="K20" s="75" t="s">
        <v>177</v>
      </c>
    </row>
    <row r="21" spans="2:11" s="61" customFormat="1" x14ac:dyDescent="0.25">
      <c r="B21" s="56">
        <v>2</v>
      </c>
      <c r="C21" s="57">
        <v>2</v>
      </c>
      <c r="D21" s="71" t="s">
        <v>387</v>
      </c>
      <c r="E21" s="58">
        <v>43</v>
      </c>
      <c r="F21" s="72" t="s">
        <v>423</v>
      </c>
      <c r="G21" s="57" t="s">
        <v>426</v>
      </c>
      <c r="H21" s="73" t="s">
        <v>427</v>
      </c>
      <c r="I21" s="74">
        <v>1.14898273068</v>
      </c>
      <c r="J21" s="57" t="s">
        <v>687</v>
      </c>
      <c r="K21" s="75" t="s">
        <v>688</v>
      </c>
    </row>
    <row r="22" spans="2:11" s="61" customFormat="1" x14ac:dyDescent="0.25">
      <c r="B22" s="56">
        <v>2</v>
      </c>
      <c r="C22" s="57">
        <v>2</v>
      </c>
      <c r="D22" s="71" t="s">
        <v>387</v>
      </c>
      <c r="E22" s="58">
        <v>44</v>
      </c>
      <c r="F22" s="72" t="s">
        <v>428</v>
      </c>
      <c r="G22" s="57" t="s">
        <v>429</v>
      </c>
      <c r="H22" s="73" t="s">
        <v>430</v>
      </c>
      <c r="I22" s="74">
        <v>33.927597371700003</v>
      </c>
      <c r="J22" s="57" t="s">
        <v>278</v>
      </c>
      <c r="K22" s="75" t="s">
        <v>177</v>
      </c>
    </row>
    <row r="23" spans="2:11" s="61" customFormat="1" x14ac:dyDescent="0.25">
      <c r="B23" s="56">
        <v>2</v>
      </c>
      <c r="C23" s="57">
        <v>2</v>
      </c>
      <c r="D23" s="71" t="s">
        <v>387</v>
      </c>
      <c r="E23" s="58">
        <v>44</v>
      </c>
      <c r="F23" s="72" t="s">
        <v>428</v>
      </c>
      <c r="G23" s="57" t="s">
        <v>431</v>
      </c>
      <c r="H23" s="73" t="s">
        <v>432</v>
      </c>
      <c r="I23" s="74">
        <v>26.4746414904</v>
      </c>
      <c r="J23" s="57" t="s">
        <v>278</v>
      </c>
      <c r="K23" s="75" t="s">
        <v>177</v>
      </c>
    </row>
    <row r="24" spans="2:11" s="61" customFormat="1" x14ac:dyDescent="0.25">
      <c r="B24" s="56">
        <v>2</v>
      </c>
      <c r="C24" s="57">
        <v>2</v>
      </c>
      <c r="D24" s="71" t="s">
        <v>387</v>
      </c>
      <c r="E24" s="58">
        <v>45</v>
      </c>
      <c r="F24" s="72" t="s">
        <v>433</v>
      </c>
      <c r="G24" s="57" t="s">
        <v>434</v>
      </c>
      <c r="H24" s="73" t="s">
        <v>435</v>
      </c>
      <c r="I24" s="74">
        <v>17.705565414300001</v>
      </c>
      <c r="J24" s="57" t="s">
        <v>278</v>
      </c>
      <c r="K24" s="75" t="s">
        <v>177</v>
      </c>
    </row>
    <row r="25" spans="2:11" s="61" customFormat="1" x14ac:dyDescent="0.25">
      <c r="B25" s="56">
        <v>2</v>
      </c>
      <c r="C25" s="57">
        <v>2</v>
      </c>
      <c r="D25" s="71" t="s">
        <v>387</v>
      </c>
      <c r="E25" s="58">
        <v>45</v>
      </c>
      <c r="F25" s="72" t="s">
        <v>433</v>
      </c>
      <c r="G25" s="57" t="s">
        <v>436</v>
      </c>
      <c r="H25" s="73" t="s">
        <v>437</v>
      </c>
      <c r="I25" s="74">
        <v>11.971646978700001</v>
      </c>
      <c r="J25" s="57" t="s">
        <v>278</v>
      </c>
      <c r="K25" s="75" t="s">
        <v>177</v>
      </c>
    </row>
    <row r="26" spans="2:11" s="61" customFormat="1" x14ac:dyDescent="0.25">
      <c r="B26" s="56">
        <v>2</v>
      </c>
      <c r="C26" s="57">
        <v>2</v>
      </c>
      <c r="D26" s="71" t="s">
        <v>387</v>
      </c>
      <c r="E26" s="58">
        <v>45</v>
      </c>
      <c r="F26" s="72" t="s">
        <v>433</v>
      </c>
      <c r="G26" s="57" t="s">
        <v>438</v>
      </c>
      <c r="H26" s="73" t="s">
        <v>439</v>
      </c>
      <c r="I26" s="74">
        <v>12.934190184</v>
      </c>
      <c r="J26" s="57" t="s">
        <v>278</v>
      </c>
      <c r="K26" s="75" t="s">
        <v>177</v>
      </c>
    </row>
    <row r="27" spans="2:11" s="61" customFormat="1" x14ac:dyDescent="0.25">
      <c r="B27" s="56">
        <v>2</v>
      </c>
      <c r="C27" s="57">
        <v>2</v>
      </c>
      <c r="D27" s="71" t="s">
        <v>387</v>
      </c>
      <c r="E27" s="58">
        <v>46</v>
      </c>
      <c r="F27" s="72" t="s">
        <v>440</v>
      </c>
      <c r="G27" s="57" t="s">
        <v>441</v>
      </c>
      <c r="H27" s="73" t="s">
        <v>442</v>
      </c>
      <c r="I27" s="74">
        <v>27.9739821549</v>
      </c>
      <c r="J27" s="57" t="s">
        <v>689</v>
      </c>
      <c r="K27" s="75" t="s">
        <v>177</v>
      </c>
    </row>
    <row r="28" spans="2:11" s="61" customFormat="1" x14ac:dyDescent="0.25">
      <c r="B28" s="56">
        <v>2</v>
      </c>
      <c r="C28" s="57">
        <v>2</v>
      </c>
      <c r="D28" s="71" t="s">
        <v>387</v>
      </c>
      <c r="E28" s="58">
        <v>46</v>
      </c>
      <c r="F28" s="72" t="s">
        <v>440</v>
      </c>
      <c r="G28" s="57" t="s">
        <v>443</v>
      </c>
      <c r="H28" s="73" t="s">
        <v>444</v>
      </c>
      <c r="I28" s="74">
        <v>24.683840012699999</v>
      </c>
      <c r="J28" s="57" t="s">
        <v>278</v>
      </c>
      <c r="K28" s="75" t="s">
        <v>177</v>
      </c>
    </row>
    <row r="29" spans="2:11" s="61" customFormat="1" x14ac:dyDescent="0.25">
      <c r="B29" s="56">
        <v>2</v>
      </c>
      <c r="C29" s="57">
        <v>2</v>
      </c>
      <c r="D29" s="71" t="s">
        <v>387</v>
      </c>
      <c r="E29" s="58">
        <v>46</v>
      </c>
      <c r="F29" s="72" t="s">
        <v>440</v>
      </c>
      <c r="G29" s="57" t="s">
        <v>445</v>
      </c>
      <c r="H29" s="73" t="s">
        <v>446</v>
      </c>
      <c r="I29" s="74">
        <v>4.9826601516000002</v>
      </c>
      <c r="J29" s="57" t="s">
        <v>278</v>
      </c>
      <c r="K29" s="75" t="s">
        <v>177</v>
      </c>
    </row>
    <row r="30" spans="2:11" s="61" customFormat="1" x14ac:dyDescent="0.25">
      <c r="B30" s="56">
        <v>2</v>
      </c>
      <c r="C30" s="57">
        <v>2</v>
      </c>
      <c r="D30" s="71" t="s">
        <v>387</v>
      </c>
      <c r="E30" s="58">
        <v>46</v>
      </c>
      <c r="F30" s="72" t="s">
        <v>440</v>
      </c>
      <c r="G30" s="57" t="s">
        <v>447</v>
      </c>
      <c r="H30" s="73" t="s">
        <v>448</v>
      </c>
      <c r="I30" s="74">
        <v>8.8198806538600003</v>
      </c>
      <c r="J30" s="57" t="s">
        <v>278</v>
      </c>
      <c r="K30" s="75" t="s">
        <v>177</v>
      </c>
    </row>
    <row r="31" spans="2:11" s="61" customFormat="1" x14ac:dyDescent="0.25">
      <c r="B31" s="56">
        <v>2</v>
      </c>
      <c r="C31" s="57">
        <v>2</v>
      </c>
      <c r="D31" s="71" t="s">
        <v>387</v>
      </c>
      <c r="E31" s="58">
        <v>46</v>
      </c>
      <c r="F31" s="72" t="s">
        <v>440</v>
      </c>
      <c r="G31" s="57" t="s">
        <v>449</v>
      </c>
      <c r="H31" s="73" t="s">
        <v>450</v>
      </c>
      <c r="I31" s="74">
        <v>2.5030331029499999</v>
      </c>
      <c r="J31" s="57" t="s">
        <v>278</v>
      </c>
      <c r="K31" s="75" t="s">
        <v>177</v>
      </c>
    </row>
    <row r="32" spans="2:11" s="61" customFormat="1" x14ac:dyDescent="0.25">
      <c r="B32" s="56">
        <v>2</v>
      </c>
      <c r="C32" s="57">
        <v>2</v>
      </c>
      <c r="D32" s="71" t="s">
        <v>387</v>
      </c>
      <c r="E32" s="58">
        <v>47</v>
      </c>
      <c r="F32" s="72" t="s">
        <v>451</v>
      </c>
      <c r="G32" s="57" t="s">
        <v>452</v>
      </c>
      <c r="H32" s="73" t="s">
        <v>453</v>
      </c>
      <c r="I32" s="74">
        <v>1.89435233206</v>
      </c>
      <c r="J32" s="57" t="s">
        <v>687</v>
      </c>
      <c r="K32" s="75" t="s">
        <v>688</v>
      </c>
    </row>
    <row r="33" spans="2:11" s="61" customFormat="1" x14ac:dyDescent="0.25">
      <c r="B33" s="56">
        <v>2</v>
      </c>
      <c r="C33" s="57">
        <v>2</v>
      </c>
      <c r="D33" s="71" t="s">
        <v>387</v>
      </c>
      <c r="E33" s="58">
        <v>47</v>
      </c>
      <c r="F33" s="72" t="s">
        <v>451</v>
      </c>
      <c r="G33" s="57" t="s">
        <v>454</v>
      </c>
      <c r="H33" s="73" t="s">
        <v>455</v>
      </c>
      <c r="I33" s="74">
        <v>9.0092407100800003</v>
      </c>
      <c r="J33" s="57" t="s">
        <v>689</v>
      </c>
      <c r="K33" s="75" t="s">
        <v>177</v>
      </c>
    </row>
    <row r="34" spans="2:11" s="61" customFormat="1" x14ac:dyDescent="0.25">
      <c r="B34" s="56">
        <v>2</v>
      </c>
      <c r="C34" s="57">
        <v>2</v>
      </c>
      <c r="D34" s="71" t="s">
        <v>387</v>
      </c>
      <c r="E34" s="58">
        <v>47</v>
      </c>
      <c r="F34" s="72" t="s">
        <v>451</v>
      </c>
      <c r="G34" s="57" t="s">
        <v>456</v>
      </c>
      <c r="H34" s="73" t="s">
        <v>457</v>
      </c>
      <c r="I34" s="74">
        <v>34.312592009600003</v>
      </c>
      <c r="J34" s="57" t="s">
        <v>689</v>
      </c>
      <c r="K34" s="75" t="s">
        <v>177</v>
      </c>
    </row>
    <row r="35" spans="2:11" s="61" customFormat="1" x14ac:dyDescent="0.25">
      <c r="B35" s="56">
        <v>2</v>
      </c>
      <c r="C35" s="57">
        <v>2</v>
      </c>
      <c r="D35" s="71" t="s">
        <v>387</v>
      </c>
      <c r="E35" s="58">
        <v>48</v>
      </c>
      <c r="F35" s="72" t="s">
        <v>458</v>
      </c>
      <c r="G35" s="57" t="s">
        <v>459</v>
      </c>
      <c r="H35" s="73" t="s">
        <v>460</v>
      </c>
      <c r="I35" s="74">
        <v>51.5343878045</v>
      </c>
      <c r="J35" s="57" t="s">
        <v>691</v>
      </c>
      <c r="K35" s="75" t="s">
        <v>177</v>
      </c>
    </row>
    <row r="36" spans="2:11" s="61" customFormat="1" x14ac:dyDescent="0.25">
      <c r="B36" s="56">
        <v>2</v>
      </c>
      <c r="C36" s="57">
        <v>2</v>
      </c>
      <c r="D36" s="71" t="s">
        <v>387</v>
      </c>
      <c r="E36" s="58">
        <v>48</v>
      </c>
      <c r="F36" s="72" t="s">
        <v>458</v>
      </c>
      <c r="G36" s="57" t="s">
        <v>461</v>
      </c>
      <c r="H36" s="73" t="s">
        <v>462</v>
      </c>
      <c r="I36" s="74">
        <v>40.988888351600004</v>
      </c>
      <c r="J36" s="57" t="s">
        <v>691</v>
      </c>
      <c r="K36" s="75" t="s">
        <v>177</v>
      </c>
    </row>
    <row r="37" spans="2:11" s="61" customFormat="1" x14ac:dyDescent="0.25">
      <c r="B37" s="56">
        <v>2</v>
      </c>
      <c r="C37" s="57">
        <v>2</v>
      </c>
      <c r="D37" s="71" t="s">
        <v>387</v>
      </c>
      <c r="E37" s="58">
        <v>49</v>
      </c>
      <c r="F37" s="72" t="s">
        <v>463</v>
      </c>
      <c r="G37" s="57" t="s">
        <v>464</v>
      </c>
      <c r="H37" s="73" t="s">
        <v>465</v>
      </c>
      <c r="I37" s="74">
        <v>56.5312585629</v>
      </c>
      <c r="J37" s="57" t="s">
        <v>691</v>
      </c>
      <c r="K37" s="75" t="s">
        <v>177</v>
      </c>
    </row>
    <row r="38" spans="2:11" s="61" customFormat="1" x14ac:dyDescent="0.25">
      <c r="B38" s="56">
        <v>2</v>
      </c>
      <c r="C38" s="57">
        <v>2</v>
      </c>
      <c r="D38" s="71" t="s">
        <v>387</v>
      </c>
      <c r="E38" s="58">
        <v>49</v>
      </c>
      <c r="F38" s="72" t="s">
        <v>463</v>
      </c>
      <c r="G38" s="57" t="s">
        <v>466</v>
      </c>
      <c r="H38" s="73" t="s">
        <v>467</v>
      </c>
      <c r="I38" s="74">
        <v>35.005490809400001</v>
      </c>
      <c r="J38" s="57" t="s">
        <v>691</v>
      </c>
      <c r="K38" s="75" t="s">
        <v>177</v>
      </c>
    </row>
    <row r="39" spans="2:11" s="61" customFormat="1" x14ac:dyDescent="0.25">
      <c r="B39" s="56">
        <v>2</v>
      </c>
      <c r="C39" s="57">
        <v>2</v>
      </c>
      <c r="D39" s="71" t="s">
        <v>387</v>
      </c>
      <c r="E39" s="58">
        <v>50</v>
      </c>
      <c r="F39" s="72" t="s">
        <v>468</v>
      </c>
      <c r="G39" s="57" t="s">
        <v>469</v>
      </c>
      <c r="H39" s="73" t="s">
        <v>470</v>
      </c>
      <c r="I39" s="74">
        <v>8.0043870223199995</v>
      </c>
      <c r="J39" s="57" t="s">
        <v>278</v>
      </c>
      <c r="K39" s="75" t="s">
        <v>177</v>
      </c>
    </row>
    <row r="40" spans="2:11" s="61" customFormat="1" x14ac:dyDescent="0.25">
      <c r="B40" s="56">
        <v>2</v>
      </c>
      <c r="C40" s="57">
        <v>2</v>
      </c>
      <c r="D40" s="71" t="s">
        <v>387</v>
      </c>
      <c r="E40" s="58">
        <v>50</v>
      </c>
      <c r="F40" s="72" t="s">
        <v>468</v>
      </c>
      <c r="G40" s="57" t="s">
        <v>471</v>
      </c>
      <c r="H40" s="73" t="s">
        <v>472</v>
      </c>
      <c r="I40" s="74">
        <v>5.37721196614</v>
      </c>
      <c r="J40" s="57" t="s">
        <v>278</v>
      </c>
      <c r="K40" s="75" t="s">
        <v>177</v>
      </c>
    </row>
    <row r="41" spans="2:11" x14ac:dyDescent="0.25">
      <c r="B41" s="56">
        <v>2</v>
      </c>
      <c r="C41" s="57">
        <v>2</v>
      </c>
      <c r="D41" s="71" t="s">
        <v>387</v>
      </c>
      <c r="E41" s="58">
        <v>51</v>
      </c>
      <c r="F41" s="72" t="s">
        <v>473</v>
      </c>
      <c r="G41" s="57" t="s">
        <v>474</v>
      </c>
      <c r="H41" s="73" t="s">
        <v>475</v>
      </c>
      <c r="I41" s="74">
        <v>9.7059136417299996</v>
      </c>
      <c r="J41" s="57" t="s">
        <v>278</v>
      </c>
      <c r="K41" s="75" t="s">
        <v>177</v>
      </c>
    </row>
    <row r="42" spans="2:11" x14ac:dyDescent="0.25">
      <c r="B42" s="56">
        <v>2</v>
      </c>
      <c r="C42" s="57">
        <v>2</v>
      </c>
      <c r="D42" s="71" t="s">
        <v>387</v>
      </c>
      <c r="E42" s="58">
        <v>52</v>
      </c>
      <c r="F42" s="72" t="s">
        <v>476</v>
      </c>
      <c r="G42" s="57" t="s">
        <v>477</v>
      </c>
      <c r="H42" s="73" t="s">
        <v>478</v>
      </c>
      <c r="I42" s="74">
        <v>3.1815048998400002</v>
      </c>
      <c r="J42" s="57" t="s">
        <v>278</v>
      </c>
      <c r="K42" s="75" t="s">
        <v>177</v>
      </c>
    </row>
    <row r="43" spans="2:11" x14ac:dyDescent="0.25">
      <c r="B43" s="56">
        <v>2</v>
      </c>
      <c r="C43" s="57">
        <v>2</v>
      </c>
      <c r="D43" s="71" t="s">
        <v>387</v>
      </c>
      <c r="E43" s="58">
        <v>52</v>
      </c>
      <c r="F43" s="72" t="s">
        <v>476</v>
      </c>
      <c r="G43" s="57" t="s">
        <v>479</v>
      </c>
      <c r="H43" s="73" t="s">
        <v>480</v>
      </c>
      <c r="I43" s="74">
        <v>30.933816117999999</v>
      </c>
      <c r="J43" s="57" t="s">
        <v>278</v>
      </c>
      <c r="K43" s="75" t="s">
        <v>177</v>
      </c>
    </row>
    <row r="44" spans="2:11" x14ac:dyDescent="0.25">
      <c r="B44" s="56">
        <v>2</v>
      </c>
      <c r="C44" s="57">
        <v>2</v>
      </c>
      <c r="D44" s="71" t="s">
        <v>387</v>
      </c>
      <c r="E44" s="58">
        <v>52</v>
      </c>
      <c r="F44" s="72" t="s">
        <v>476</v>
      </c>
      <c r="G44" s="57" t="s">
        <v>481</v>
      </c>
      <c r="H44" s="73" t="s">
        <v>482</v>
      </c>
      <c r="I44" s="74">
        <v>22.9209259018</v>
      </c>
      <c r="J44" s="57" t="s">
        <v>278</v>
      </c>
      <c r="K44" s="75" t="s">
        <v>177</v>
      </c>
    </row>
    <row r="45" spans="2:11" x14ac:dyDescent="0.25">
      <c r="B45" s="56">
        <v>2</v>
      </c>
      <c r="C45" s="57">
        <v>2</v>
      </c>
      <c r="D45" s="71" t="s">
        <v>387</v>
      </c>
      <c r="E45" s="58">
        <v>53</v>
      </c>
      <c r="F45" s="72" t="s">
        <v>483</v>
      </c>
      <c r="G45" s="57" t="s">
        <v>484</v>
      </c>
      <c r="H45" s="73" t="s">
        <v>485</v>
      </c>
      <c r="I45" s="74">
        <v>36.321159388200002</v>
      </c>
      <c r="J45" s="57" t="s">
        <v>278</v>
      </c>
      <c r="K45" s="75" t="s">
        <v>177</v>
      </c>
    </row>
    <row r="46" spans="2:11" x14ac:dyDescent="0.25">
      <c r="B46" s="56">
        <v>2</v>
      </c>
      <c r="C46" s="57">
        <v>2</v>
      </c>
      <c r="D46" s="71" t="s">
        <v>387</v>
      </c>
      <c r="E46" s="58">
        <v>53</v>
      </c>
      <c r="F46" s="72" t="s">
        <v>483</v>
      </c>
      <c r="G46" s="57" t="s">
        <v>486</v>
      </c>
      <c r="H46" s="73" t="s">
        <v>487</v>
      </c>
      <c r="I46" s="74">
        <v>5.7907823916599996</v>
      </c>
      <c r="J46" s="57" t="s">
        <v>278</v>
      </c>
      <c r="K46" s="75" t="s">
        <v>177</v>
      </c>
    </row>
    <row r="47" spans="2:11" x14ac:dyDescent="0.25">
      <c r="B47" s="56">
        <v>2</v>
      </c>
      <c r="C47" s="57">
        <v>2</v>
      </c>
      <c r="D47" s="71" t="s">
        <v>387</v>
      </c>
      <c r="E47" s="58">
        <v>53</v>
      </c>
      <c r="F47" s="72" t="s">
        <v>483</v>
      </c>
      <c r="G47" s="57" t="s">
        <v>488</v>
      </c>
      <c r="H47" s="73" t="s">
        <v>489</v>
      </c>
      <c r="I47" s="74">
        <v>25.722051576999998</v>
      </c>
      <c r="J47" s="57" t="s">
        <v>278</v>
      </c>
      <c r="K47" s="75" t="s">
        <v>177</v>
      </c>
    </row>
    <row r="48" spans="2:11" x14ac:dyDescent="0.25">
      <c r="B48" s="56">
        <v>2</v>
      </c>
      <c r="C48" s="57">
        <v>2</v>
      </c>
      <c r="D48" s="71" t="s">
        <v>387</v>
      </c>
      <c r="E48" s="58">
        <v>53</v>
      </c>
      <c r="F48" s="72" t="s">
        <v>483</v>
      </c>
      <c r="G48" s="57" t="s">
        <v>490</v>
      </c>
      <c r="H48" s="73" t="s">
        <v>491</v>
      </c>
      <c r="I48" s="74">
        <v>1.0154807724099999</v>
      </c>
      <c r="J48" s="57" t="s">
        <v>278</v>
      </c>
      <c r="K48" s="75" t="s">
        <v>177</v>
      </c>
    </row>
    <row r="49" spans="2:11" x14ac:dyDescent="0.25">
      <c r="B49" s="56">
        <v>2</v>
      </c>
      <c r="C49" s="57">
        <v>2</v>
      </c>
      <c r="D49" s="71" t="s">
        <v>387</v>
      </c>
      <c r="E49" s="58">
        <v>53</v>
      </c>
      <c r="F49" s="72" t="s">
        <v>483</v>
      </c>
      <c r="G49" s="57" t="s">
        <v>492</v>
      </c>
      <c r="H49" s="73" t="s">
        <v>493</v>
      </c>
      <c r="I49" s="74">
        <v>12.404654690499999</v>
      </c>
      <c r="J49" s="57" t="s">
        <v>278</v>
      </c>
      <c r="K49" s="75" t="s">
        <v>177</v>
      </c>
    </row>
    <row r="50" spans="2:11" x14ac:dyDescent="0.25">
      <c r="B50" s="56">
        <v>2</v>
      </c>
      <c r="C50" s="57">
        <v>2</v>
      </c>
      <c r="D50" s="71" t="s">
        <v>387</v>
      </c>
      <c r="E50" s="58">
        <v>53</v>
      </c>
      <c r="F50" s="72" t="s">
        <v>483</v>
      </c>
      <c r="G50" s="57" t="s">
        <v>494</v>
      </c>
      <c r="H50" s="73" t="s">
        <v>491</v>
      </c>
      <c r="I50" s="74">
        <v>1.58759409751</v>
      </c>
      <c r="J50" s="57" t="s">
        <v>278</v>
      </c>
      <c r="K50" s="75" t="s">
        <v>177</v>
      </c>
    </row>
    <row r="51" spans="2:11" x14ac:dyDescent="0.25">
      <c r="B51" s="56">
        <v>2</v>
      </c>
      <c r="C51" s="57">
        <v>2</v>
      </c>
      <c r="D51" s="71" t="s">
        <v>387</v>
      </c>
      <c r="E51" s="58">
        <v>53</v>
      </c>
      <c r="F51" s="72" t="s">
        <v>483</v>
      </c>
      <c r="G51" s="57" t="s">
        <v>495</v>
      </c>
      <c r="H51" s="73" t="s">
        <v>496</v>
      </c>
      <c r="I51" s="74">
        <v>12.494566772700001</v>
      </c>
      <c r="J51" s="57" t="s">
        <v>278</v>
      </c>
      <c r="K51" s="75" t="s">
        <v>177</v>
      </c>
    </row>
    <row r="52" spans="2:11" x14ac:dyDescent="0.25">
      <c r="B52" s="56">
        <v>2</v>
      </c>
      <c r="C52" s="57">
        <v>2</v>
      </c>
      <c r="D52" s="71" t="s">
        <v>387</v>
      </c>
      <c r="E52" s="58">
        <v>53</v>
      </c>
      <c r="F52" s="72" t="s">
        <v>483</v>
      </c>
      <c r="G52" s="57" t="s">
        <v>497</v>
      </c>
      <c r="H52" s="73" t="s">
        <v>498</v>
      </c>
      <c r="I52" s="74">
        <v>7.3087309226399997</v>
      </c>
      <c r="J52" s="57" t="s">
        <v>278</v>
      </c>
      <c r="K52" s="75" t="s">
        <v>177</v>
      </c>
    </row>
    <row r="53" spans="2:11" x14ac:dyDescent="0.25">
      <c r="B53" s="56">
        <v>2</v>
      </c>
      <c r="C53" s="57">
        <v>2</v>
      </c>
      <c r="D53" s="71" t="s">
        <v>387</v>
      </c>
      <c r="E53" s="58">
        <v>54</v>
      </c>
      <c r="F53" s="72" t="s">
        <v>499</v>
      </c>
      <c r="G53" s="57" t="s">
        <v>500</v>
      </c>
      <c r="H53" s="73" t="s">
        <v>501</v>
      </c>
      <c r="I53" s="74">
        <v>5.3098863250099999</v>
      </c>
      <c r="J53" s="57" t="s">
        <v>278</v>
      </c>
      <c r="K53" s="75" t="s">
        <v>177</v>
      </c>
    </row>
    <row r="54" spans="2:11" x14ac:dyDescent="0.25">
      <c r="B54" s="56">
        <v>2</v>
      </c>
      <c r="C54" s="57">
        <v>2</v>
      </c>
      <c r="D54" s="71" t="s">
        <v>387</v>
      </c>
      <c r="E54" s="58">
        <v>54</v>
      </c>
      <c r="F54" s="72" t="s">
        <v>499</v>
      </c>
      <c r="G54" s="57" t="s">
        <v>502</v>
      </c>
      <c r="H54" s="73" t="s">
        <v>503</v>
      </c>
      <c r="I54" s="74">
        <v>31.224302499699998</v>
      </c>
      <c r="J54" s="57" t="s">
        <v>278</v>
      </c>
      <c r="K54" s="75" t="s">
        <v>177</v>
      </c>
    </row>
    <row r="55" spans="2:11" x14ac:dyDescent="0.25">
      <c r="B55" s="56">
        <v>2</v>
      </c>
      <c r="C55" s="57">
        <v>2</v>
      </c>
      <c r="D55" s="71" t="s">
        <v>387</v>
      </c>
      <c r="E55" s="58">
        <v>55</v>
      </c>
      <c r="F55" s="72" t="s">
        <v>504</v>
      </c>
      <c r="G55" s="57" t="s">
        <v>505</v>
      </c>
      <c r="H55" s="73" t="s">
        <v>506</v>
      </c>
      <c r="I55" s="74">
        <v>11.488567188199999</v>
      </c>
      <c r="J55" s="57" t="s">
        <v>278</v>
      </c>
      <c r="K55" s="75" t="s">
        <v>177</v>
      </c>
    </row>
    <row r="56" spans="2:11" x14ac:dyDescent="0.25">
      <c r="B56" s="56">
        <v>2</v>
      </c>
      <c r="C56" s="57">
        <v>2</v>
      </c>
      <c r="D56" s="71" t="s">
        <v>387</v>
      </c>
      <c r="E56" s="58">
        <v>55</v>
      </c>
      <c r="F56" s="72" t="s">
        <v>504</v>
      </c>
      <c r="G56" s="57" t="s">
        <v>507</v>
      </c>
      <c r="H56" s="73" t="s">
        <v>508</v>
      </c>
      <c r="I56" s="74">
        <v>0.61909278336100004</v>
      </c>
      <c r="J56" s="57" t="s">
        <v>278</v>
      </c>
      <c r="K56" s="75" t="s">
        <v>177</v>
      </c>
    </row>
    <row r="57" spans="2:11" x14ac:dyDescent="0.25">
      <c r="B57" s="56">
        <v>2</v>
      </c>
      <c r="C57" s="57">
        <v>2</v>
      </c>
      <c r="D57" s="71" t="s">
        <v>387</v>
      </c>
      <c r="E57" s="58">
        <v>55</v>
      </c>
      <c r="F57" s="72" t="s">
        <v>504</v>
      </c>
      <c r="G57" s="57" t="s">
        <v>509</v>
      </c>
      <c r="H57" s="73" t="s">
        <v>510</v>
      </c>
      <c r="I57" s="74">
        <v>18.9067427775</v>
      </c>
      <c r="J57" s="57" t="s">
        <v>278</v>
      </c>
      <c r="K57" s="75" t="s">
        <v>177</v>
      </c>
    </row>
    <row r="58" spans="2:11" x14ac:dyDescent="0.25">
      <c r="B58" s="56">
        <v>2</v>
      </c>
      <c r="C58" s="57">
        <v>2</v>
      </c>
      <c r="D58" s="71" t="s">
        <v>387</v>
      </c>
      <c r="E58" s="58">
        <v>55</v>
      </c>
      <c r="F58" s="72" t="s">
        <v>504</v>
      </c>
      <c r="G58" s="57" t="s">
        <v>511</v>
      </c>
      <c r="H58" s="73" t="s">
        <v>512</v>
      </c>
      <c r="I58" s="74">
        <v>0.92253259707099999</v>
      </c>
      <c r="J58" s="57" t="s">
        <v>687</v>
      </c>
      <c r="K58" s="75" t="s">
        <v>177</v>
      </c>
    </row>
    <row r="59" spans="2:11" x14ac:dyDescent="0.25">
      <c r="B59" s="56">
        <v>2</v>
      </c>
      <c r="C59" s="57">
        <v>2</v>
      </c>
      <c r="D59" s="71" t="s">
        <v>387</v>
      </c>
      <c r="E59" s="58">
        <v>55</v>
      </c>
      <c r="F59" s="72" t="s">
        <v>504</v>
      </c>
      <c r="G59" s="57" t="s">
        <v>513</v>
      </c>
      <c r="H59" s="73" t="s">
        <v>514</v>
      </c>
      <c r="I59" s="74">
        <v>26.375122450999999</v>
      </c>
      <c r="J59" s="57" t="s">
        <v>278</v>
      </c>
      <c r="K59" s="75" t="s">
        <v>177</v>
      </c>
    </row>
    <row r="60" spans="2:11" x14ac:dyDescent="0.25">
      <c r="B60" s="56">
        <v>2</v>
      </c>
      <c r="C60" s="57">
        <v>2</v>
      </c>
      <c r="D60" s="71" t="s">
        <v>387</v>
      </c>
      <c r="E60" s="58">
        <v>55</v>
      </c>
      <c r="F60" s="72" t="s">
        <v>504</v>
      </c>
      <c r="G60" s="57" t="s">
        <v>515</v>
      </c>
      <c r="H60" s="73" t="s">
        <v>516</v>
      </c>
      <c r="I60" s="74">
        <v>1.0743843011400001</v>
      </c>
      <c r="J60" s="57" t="s">
        <v>278</v>
      </c>
      <c r="K60" s="75" t="s">
        <v>177</v>
      </c>
    </row>
    <row r="61" spans="2:11" x14ac:dyDescent="0.25">
      <c r="B61" s="56">
        <v>2</v>
      </c>
      <c r="C61" s="57">
        <v>2</v>
      </c>
      <c r="D61" s="71" t="s">
        <v>387</v>
      </c>
      <c r="E61" s="58">
        <v>55</v>
      </c>
      <c r="F61" s="72" t="s">
        <v>504</v>
      </c>
      <c r="G61" s="57" t="s">
        <v>517</v>
      </c>
      <c r="H61" s="73" t="s">
        <v>518</v>
      </c>
      <c r="I61" s="74">
        <v>2.49792015985</v>
      </c>
      <c r="J61" s="57" t="s">
        <v>278</v>
      </c>
      <c r="K61" s="75" t="s">
        <v>177</v>
      </c>
    </row>
    <row r="62" spans="2:11" x14ac:dyDescent="0.25">
      <c r="B62" s="56">
        <v>2</v>
      </c>
      <c r="C62" s="57">
        <v>2</v>
      </c>
      <c r="D62" s="71" t="s">
        <v>387</v>
      </c>
      <c r="E62" s="58">
        <v>56</v>
      </c>
      <c r="F62" s="72" t="s">
        <v>519</v>
      </c>
      <c r="G62" s="57" t="s">
        <v>520</v>
      </c>
      <c r="H62" s="73" t="s">
        <v>521</v>
      </c>
      <c r="I62" s="74">
        <v>15.7684938844</v>
      </c>
      <c r="J62" s="57" t="s">
        <v>278</v>
      </c>
      <c r="K62" s="75" t="s">
        <v>177</v>
      </c>
    </row>
    <row r="63" spans="2:11" x14ac:dyDescent="0.25">
      <c r="B63" s="56">
        <v>2</v>
      </c>
      <c r="C63" s="57">
        <v>2</v>
      </c>
      <c r="D63" s="71" t="s">
        <v>387</v>
      </c>
      <c r="E63" s="58">
        <v>57</v>
      </c>
      <c r="F63" s="72" t="s">
        <v>522</v>
      </c>
      <c r="G63" s="57" t="s">
        <v>523</v>
      </c>
      <c r="H63" s="73" t="s">
        <v>524</v>
      </c>
      <c r="I63" s="74">
        <v>32.246741340600003</v>
      </c>
      <c r="J63" s="57" t="s">
        <v>278</v>
      </c>
      <c r="K63" s="75" t="s">
        <v>177</v>
      </c>
    </row>
    <row r="64" spans="2:11" x14ac:dyDescent="0.25">
      <c r="B64" s="56">
        <v>2</v>
      </c>
      <c r="C64" s="57">
        <v>2</v>
      </c>
      <c r="D64" s="71" t="s">
        <v>387</v>
      </c>
      <c r="E64" s="58">
        <v>58</v>
      </c>
      <c r="F64" s="72" t="s">
        <v>525</v>
      </c>
      <c r="G64" s="57" t="s">
        <v>526</v>
      </c>
      <c r="H64" s="73" t="s">
        <v>527</v>
      </c>
      <c r="I64" s="74">
        <v>3.86802932762</v>
      </c>
      <c r="J64" s="57" t="s">
        <v>278</v>
      </c>
      <c r="K64" s="75" t="s">
        <v>177</v>
      </c>
    </row>
    <row r="65" spans="2:11" x14ac:dyDescent="0.25">
      <c r="B65" s="56">
        <v>2</v>
      </c>
      <c r="C65" s="57">
        <v>2</v>
      </c>
      <c r="D65" s="71" t="s">
        <v>387</v>
      </c>
      <c r="E65" s="58">
        <v>59</v>
      </c>
      <c r="F65" s="72" t="s">
        <v>528</v>
      </c>
      <c r="G65" s="57" t="s">
        <v>529</v>
      </c>
      <c r="H65" s="73" t="s">
        <v>530</v>
      </c>
      <c r="I65" s="74">
        <v>43.086791463899999</v>
      </c>
      <c r="J65" s="57" t="s">
        <v>691</v>
      </c>
      <c r="K65" s="75" t="s">
        <v>177</v>
      </c>
    </row>
    <row r="66" spans="2:11" x14ac:dyDescent="0.25">
      <c r="B66" s="56">
        <v>2</v>
      </c>
      <c r="C66" s="57">
        <v>2</v>
      </c>
      <c r="D66" s="71" t="s">
        <v>387</v>
      </c>
      <c r="E66" s="58">
        <v>60</v>
      </c>
      <c r="F66" s="72" t="s">
        <v>531</v>
      </c>
      <c r="G66" s="57" t="s">
        <v>532</v>
      </c>
      <c r="H66" s="73" t="s">
        <v>533</v>
      </c>
      <c r="I66" s="74">
        <v>29.115564879200001</v>
      </c>
      <c r="J66" s="57" t="s">
        <v>691</v>
      </c>
      <c r="K66" s="75" t="s">
        <v>177</v>
      </c>
    </row>
    <row r="67" spans="2:11" x14ac:dyDescent="0.25">
      <c r="B67" s="56">
        <v>2</v>
      </c>
      <c r="C67" s="57">
        <v>2</v>
      </c>
      <c r="D67" s="71" t="s">
        <v>387</v>
      </c>
      <c r="E67" s="58">
        <v>61</v>
      </c>
      <c r="F67" s="72" t="s">
        <v>534</v>
      </c>
      <c r="G67" s="57" t="s">
        <v>535</v>
      </c>
      <c r="H67" s="73" t="s">
        <v>536</v>
      </c>
      <c r="I67" s="74">
        <v>6.4242395173300002</v>
      </c>
      <c r="J67" s="57" t="s">
        <v>278</v>
      </c>
      <c r="K67" s="75" t="s">
        <v>177</v>
      </c>
    </row>
    <row r="68" spans="2:11" x14ac:dyDescent="0.25">
      <c r="B68" s="56">
        <v>2</v>
      </c>
      <c r="C68" s="57">
        <v>2</v>
      </c>
      <c r="D68" s="71" t="s">
        <v>387</v>
      </c>
      <c r="E68" s="58">
        <v>61</v>
      </c>
      <c r="F68" s="72" t="s">
        <v>534</v>
      </c>
      <c r="G68" s="57" t="s">
        <v>537</v>
      </c>
      <c r="H68" s="73" t="s">
        <v>538</v>
      </c>
      <c r="I68" s="74">
        <v>31.7178023618</v>
      </c>
      <c r="J68" s="57" t="s">
        <v>278</v>
      </c>
      <c r="K68" s="75" t="s">
        <v>177</v>
      </c>
    </row>
    <row r="69" spans="2:11" x14ac:dyDescent="0.25">
      <c r="B69" s="56">
        <v>2</v>
      </c>
      <c r="C69" s="57">
        <v>2</v>
      </c>
      <c r="D69" s="71" t="s">
        <v>387</v>
      </c>
      <c r="E69" s="58">
        <v>62</v>
      </c>
      <c r="F69" s="72" t="s">
        <v>539</v>
      </c>
      <c r="G69" s="57" t="s">
        <v>540</v>
      </c>
      <c r="H69" s="73" t="s">
        <v>541</v>
      </c>
      <c r="I69" s="74">
        <v>12.296031151999999</v>
      </c>
      <c r="J69" s="57" t="s">
        <v>691</v>
      </c>
      <c r="K69" s="75" t="s">
        <v>177</v>
      </c>
    </row>
    <row r="70" spans="2:11" x14ac:dyDescent="0.25">
      <c r="B70" s="56">
        <v>2</v>
      </c>
      <c r="C70" s="57">
        <v>2</v>
      </c>
      <c r="D70" s="71" t="s">
        <v>387</v>
      </c>
      <c r="E70" s="58">
        <v>62</v>
      </c>
      <c r="F70" s="72" t="s">
        <v>539</v>
      </c>
      <c r="G70" s="57" t="s">
        <v>542</v>
      </c>
      <c r="H70" s="73" t="s">
        <v>543</v>
      </c>
      <c r="I70" s="74">
        <v>1.25838521613</v>
      </c>
      <c r="J70" s="57" t="s">
        <v>691</v>
      </c>
      <c r="K70" s="75" t="s">
        <v>177</v>
      </c>
    </row>
    <row r="71" spans="2:11" x14ac:dyDescent="0.25">
      <c r="B71" s="56">
        <v>2</v>
      </c>
      <c r="C71" s="57">
        <v>2</v>
      </c>
      <c r="D71" s="71" t="s">
        <v>387</v>
      </c>
      <c r="E71" s="58">
        <v>63</v>
      </c>
      <c r="F71" s="72" t="s">
        <v>544</v>
      </c>
      <c r="G71" s="57" t="s">
        <v>545</v>
      </c>
      <c r="H71" s="73" t="s">
        <v>546</v>
      </c>
      <c r="I71" s="74">
        <v>28.9906485132</v>
      </c>
      <c r="J71" s="57" t="s">
        <v>278</v>
      </c>
      <c r="K71" s="75" t="s">
        <v>177</v>
      </c>
    </row>
    <row r="72" spans="2:11" x14ac:dyDescent="0.25">
      <c r="B72" s="56">
        <v>2</v>
      </c>
      <c r="C72" s="57">
        <v>2</v>
      </c>
      <c r="D72" s="71" t="s">
        <v>387</v>
      </c>
      <c r="E72" s="58">
        <v>64</v>
      </c>
      <c r="F72" s="72" t="s">
        <v>547</v>
      </c>
      <c r="G72" s="57" t="s">
        <v>548</v>
      </c>
      <c r="H72" s="73" t="s">
        <v>549</v>
      </c>
      <c r="I72" s="74">
        <v>16.852537210800001</v>
      </c>
      <c r="J72" s="57" t="s">
        <v>691</v>
      </c>
      <c r="K72" s="75" t="s">
        <v>177</v>
      </c>
    </row>
    <row r="73" spans="2:11" x14ac:dyDescent="0.25">
      <c r="B73" s="56">
        <v>2</v>
      </c>
      <c r="C73" s="57">
        <v>2</v>
      </c>
      <c r="D73" s="71" t="s">
        <v>387</v>
      </c>
      <c r="E73" s="58">
        <v>65</v>
      </c>
      <c r="F73" s="72" t="s">
        <v>550</v>
      </c>
      <c r="G73" s="57" t="s">
        <v>551</v>
      </c>
      <c r="H73" s="73" t="s">
        <v>552</v>
      </c>
      <c r="I73" s="74">
        <v>16.639885323600001</v>
      </c>
      <c r="J73" s="57" t="s">
        <v>691</v>
      </c>
      <c r="K73" s="75" t="s">
        <v>177</v>
      </c>
    </row>
    <row r="74" spans="2:11" x14ac:dyDescent="0.25">
      <c r="B74" s="56">
        <v>2</v>
      </c>
      <c r="C74" s="57">
        <v>2</v>
      </c>
      <c r="D74" s="71" t="s">
        <v>387</v>
      </c>
      <c r="E74" s="58">
        <v>66</v>
      </c>
      <c r="F74" s="72" t="s">
        <v>553</v>
      </c>
      <c r="G74" s="57" t="s">
        <v>554</v>
      </c>
      <c r="H74" s="73" t="s">
        <v>555</v>
      </c>
      <c r="I74" s="74">
        <v>32.279870488500002</v>
      </c>
      <c r="J74" s="57" t="s">
        <v>691</v>
      </c>
      <c r="K74" s="75" t="s">
        <v>177</v>
      </c>
    </row>
    <row r="75" spans="2:11" ht="14.4" thickBot="1" x14ac:dyDescent="0.3">
      <c r="B75" s="53"/>
      <c r="C75" s="53"/>
      <c r="D75" s="64"/>
      <c r="E75" s="81"/>
      <c r="F75" s="76"/>
    </row>
    <row r="76" spans="2:11" ht="14.4" thickBot="1" x14ac:dyDescent="0.35">
      <c r="E76" s="82"/>
      <c r="H76" s="65" t="s">
        <v>385</v>
      </c>
      <c r="I76" s="77">
        <f>SUM(I4:I74)</f>
        <v>1084.5007822567668</v>
      </c>
    </row>
  </sheetData>
  <mergeCells count="1">
    <mergeCell ref="B2:K2"/>
  </mergeCells>
  <conditionalFormatting sqref="K1:K2 K4:K1048576">
    <cfRule type="cellIs" dxfId="8" priority="4" operator="equal">
      <formula>"Acesso"</formula>
    </cfRule>
    <cfRule type="cellIs" dxfId="7" priority="5" operator="equal">
      <formula>"Não Encontrada"</formula>
    </cfRule>
    <cfRule type="cellIs" dxfId="6" priority="6" operator="equal">
      <formula>"Municipal"</formula>
    </cfRule>
  </conditionalFormatting>
  <conditionalFormatting sqref="L3">
    <cfRule type="cellIs" dxfId="5" priority="1" operator="equal">
      <formula>"Acesso"</formula>
    </cfRule>
    <cfRule type="cellIs" dxfId="4" priority="2" operator="equal">
      <formula>"Não Encontrada"</formula>
    </cfRule>
    <cfRule type="cellIs" dxfId="3" priority="3" operator="equal">
      <formula>"Municipal"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5093D-6248-4E35-9056-6368F12BE495}">
  <sheetPr codeName="Planilha18"/>
  <dimension ref="A2:L53"/>
  <sheetViews>
    <sheetView workbookViewId="0">
      <selection activeCell="F4" sqref="F4"/>
    </sheetView>
  </sheetViews>
  <sheetFormatPr defaultColWidth="8.19921875" defaultRowHeight="13.8" x14ac:dyDescent="0.3"/>
  <cols>
    <col min="1" max="1" width="4" style="62" customWidth="1"/>
    <col min="2" max="2" width="8.19921875" style="64"/>
    <col min="3" max="3" width="18.796875" style="62" customWidth="1"/>
    <col min="4" max="4" width="23.09765625" style="62" customWidth="1"/>
    <col min="5" max="5" width="14.5" style="68" customWidth="1"/>
    <col min="6" max="6" width="108.3984375" style="62" bestFit="1" customWidth="1"/>
    <col min="7" max="7" width="12.09765625" style="64" bestFit="1" customWidth="1"/>
    <col min="8" max="8" width="73.19921875" style="62" customWidth="1"/>
    <col min="9" max="9" width="14.09765625" style="67" customWidth="1"/>
    <col min="10" max="10" width="8.19921875" style="64"/>
    <col min="11" max="11" width="15" style="62" customWidth="1"/>
    <col min="12" max="16384" width="8.19921875" style="62"/>
  </cols>
  <sheetData>
    <row r="2" spans="2:11" s="54" customFormat="1" ht="50.25" customHeight="1" x14ac:dyDescent="0.3">
      <c r="B2" s="307" t="s">
        <v>116</v>
      </c>
      <c r="C2" s="307"/>
      <c r="D2" s="307"/>
      <c r="E2" s="307"/>
      <c r="F2" s="307"/>
      <c r="G2" s="307"/>
      <c r="H2" s="307"/>
      <c r="I2" s="307"/>
      <c r="J2" s="307"/>
      <c r="K2" s="307"/>
    </row>
    <row r="3" spans="2:11" s="61" customFormat="1" ht="42" customHeight="1" x14ac:dyDescent="0.3">
      <c r="B3" s="78" t="s">
        <v>117</v>
      </c>
      <c r="C3" s="78" t="s">
        <v>118</v>
      </c>
      <c r="D3" s="78" t="s">
        <v>119</v>
      </c>
      <c r="E3" s="79" t="s">
        <v>386</v>
      </c>
      <c r="F3" s="78" t="s">
        <v>0</v>
      </c>
      <c r="G3" s="78" t="s">
        <v>120</v>
      </c>
      <c r="H3" s="78" t="s">
        <v>121</v>
      </c>
      <c r="I3" s="80" t="s">
        <v>122</v>
      </c>
      <c r="J3" s="78" t="s">
        <v>123</v>
      </c>
      <c r="K3" s="78" t="s">
        <v>124</v>
      </c>
    </row>
    <row r="4" spans="2:11" s="61" customFormat="1" x14ac:dyDescent="0.25">
      <c r="B4" s="56">
        <v>3</v>
      </c>
      <c r="C4" s="57">
        <v>3</v>
      </c>
      <c r="D4" s="71" t="s">
        <v>556</v>
      </c>
      <c r="E4" s="58">
        <v>67</v>
      </c>
      <c r="F4" s="72" t="s">
        <v>557</v>
      </c>
      <c r="G4" s="57" t="s">
        <v>558</v>
      </c>
      <c r="H4" s="73" t="s">
        <v>559</v>
      </c>
      <c r="I4" s="74">
        <v>58.164330475299998</v>
      </c>
      <c r="J4" s="57" t="s">
        <v>691</v>
      </c>
      <c r="K4" s="75" t="s">
        <v>177</v>
      </c>
    </row>
    <row r="5" spans="2:11" s="61" customFormat="1" x14ac:dyDescent="0.25">
      <c r="B5" s="56">
        <v>3</v>
      </c>
      <c r="C5" s="57">
        <v>3</v>
      </c>
      <c r="D5" s="71" t="s">
        <v>556</v>
      </c>
      <c r="E5" s="58">
        <v>67</v>
      </c>
      <c r="F5" s="72" t="s">
        <v>557</v>
      </c>
      <c r="G5" s="57" t="s">
        <v>560</v>
      </c>
      <c r="H5" s="73" t="s">
        <v>561</v>
      </c>
      <c r="I5" s="74">
        <v>19.427802331999999</v>
      </c>
      <c r="J5" s="57" t="s">
        <v>691</v>
      </c>
      <c r="K5" s="75" t="s">
        <v>177</v>
      </c>
    </row>
    <row r="6" spans="2:11" s="61" customFormat="1" x14ac:dyDescent="0.25">
      <c r="B6" s="56">
        <v>3</v>
      </c>
      <c r="C6" s="57">
        <v>3</v>
      </c>
      <c r="D6" s="71" t="s">
        <v>556</v>
      </c>
      <c r="E6" s="58">
        <v>68</v>
      </c>
      <c r="F6" s="72" t="s">
        <v>562</v>
      </c>
      <c r="G6" s="57" t="s">
        <v>563</v>
      </c>
      <c r="H6" s="73" t="s">
        <v>564</v>
      </c>
      <c r="I6" s="74">
        <v>10.9998039687</v>
      </c>
      <c r="J6" s="57" t="s">
        <v>278</v>
      </c>
      <c r="K6" s="75" t="s">
        <v>177</v>
      </c>
    </row>
    <row r="7" spans="2:11" s="61" customFormat="1" x14ac:dyDescent="0.25">
      <c r="B7" s="56">
        <v>3</v>
      </c>
      <c r="C7" s="57">
        <v>3</v>
      </c>
      <c r="D7" s="71" t="s">
        <v>556</v>
      </c>
      <c r="E7" s="58">
        <v>68</v>
      </c>
      <c r="F7" s="72" t="s">
        <v>562</v>
      </c>
      <c r="G7" s="57" t="s">
        <v>565</v>
      </c>
      <c r="H7" s="73" t="s">
        <v>566</v>
      </c>
      <c r="I7" s="74">
        <v>9.1474140051900008</v>
      </c>
      <c r="J7" s="57" t="s">
        <v>278</v>
      </c>
      <c r="K7" s="75" t="s">
        <v>177</v>
      </c>
    </row>
    <row r="8" spans="2:11" s="61" customFormat="1" x14ac:dyDescent="0.25">
      <c r="B8" s="56">
        <v>3</v>
      </c>
      <c r="C8" s="57">
        <v>3</v>
      </c>
      <c r="D8" s="71" t="s">
        <v>556</v>
      </c>
      <c r="E8" s="58">
        <v>68</v>
      </c>
      <c r="F8" s="72" t="s">
        <v>562</v>
      </c>
      <c r="G8" s="57" t="s">
        <v>567</v>
      </c>
      <c r="H8" s="73" t="s">
        <v>568</v>
      </c>
      <c r="I8" s="74">
        <v>11.5312658001</v>
      </c>
      <c r="J8" s="57" t="s">
        <v>278</v>
      </c>
      <c r="K8" s="75" t="s">
        <v>177</v>
      </c>
    </row>
    <row r="9" spans="2:11" s="61" customFormat="1" x14ac:dyDescent="0.25">
      <c r="B9" s="56">
        <v>3</v>
      </c>
      <c r="C9" s="57">
        <v>3</v>
      </c>
      <c r="D9" s="71" t="s">
        <v>556</v>
      </c>
      <c r="E9" s="58">
        <v>68</v>
      </c>
      <c r="F9" s="72" t="s">
        <v>562</v>
      </c>
      <c r="G9" s="57" t="s">
        <v>569</v>
      </c>
      <c r="H9" s="73" t="s">
        <v>570</v>
      </c>
      <c r="I9" s="74">
        <v>25.891158516899999</v>
      </c>
      <c r="J9" s="57" t="s">
        <v>278</v>
      </c>
      <c r="K9" s="75" t="s">
        <v>177</v>
      </c>
    </row>
    <row r="10" spans="2:11" s="61" customFormat="1" x14ac:dyDescent="0.25">
      <c r="B10" s="56">
        <v>3</v>
      </c>
      <c r="C10" s="57">
        <v>3</v>
      </c>
      <c r="D10" s="71" t="s">
        <v>556</v>
      </c>
      <c r="E10" s="58">
        <v>68</v>
      </c>
      <c r="F10" s="72" t="s">
        <v>562</v>
      </c>
      <c r="G10" s="57" t="s">
        <v>571</v>
      </c>
      <c r="H10" s="73" t="s">
        <v>572</v>
      </c>
      <c r="I10" s="74">
        <v>14.8621384549</v>
      </c>
      <c r="J10" s="57" t="s">
        <v>278</v>
      </c>
      <c r="K10" s="75" t="s">
        <v>177</v>
      </c>
    </row>
    <row r="11" spans="2:11" s="61" customFormat="1" x14ac:dyDescent="0.25">
      <c r="B11" s="56">
        <v>3</v>
      </c>
      <c r="C11" s="57">
        <v>3</v>
      </c>
      <c r="D11" s="71" t="s">
        <v>556</v>
      </c>
      <c r="E11" s="58">
        <v>69</v>
      </c>
      <c r="F11" s="72" t="s">
        <v>573</v>
      </c>
      <c r="G11" s="57" t="s">
        <v>574</v>
      </c>
      <c r="H11" s="73" t="s">
        <v>575</v>
      </c>
      <c r="I11" s="74">
        <v>33.5912005036</v>
      </c>
      <c r="J11" s="57" t="s">
        <v>691</v>
      </c>
      <c r="K11" s="75" t="s">
        <v>177</v>
      </c>
    </row>
    <row r="12" spans="2:11" s="61" customFormat="1" x14ac:dyDescent="0.25">
      <c r="B12" s="56">
        <v>3</v>
      </c>
      <c r="C12" s="57">
        <v>3</v>
      </c>
      <c r="D12" s="71" t="s">
        <v>556</v>
      </c>
      <c r="E12" s="58">
        <v>69</v>
      </c>
      <c r="F12" s="72" t="s">
        <v>573</v>
      </c>
      <c r="G12" s="57" t="s">
        <v>576</v>
      </c>
      <c r="H12" s="73" t="s">
        <v>577</v>
      </c>
      <c r="I12" s="74">
        <v>4.8384683478900001</v>
      </c>
      <c r="J12" s="57" t="s">
        <v>691</v>
      </c>
      <c r="K12" s="75" t="s">
        <v>177</v>
      </c>
    </row>
    <row r="13" spans="2:11" s="61" customFormat="1" x14ac:dyDescent="0.25">
      <c r="B13" s="56">
        <v>3</v>
      </c>
      <c r="C13" s="57">
        <v>3</v>
      </c>
      <c r="D13" s="71" t="s">
        <v>556</v>
      </c>
      <c r="E13" s="58">
        <v>70</v>
      </c>
      <c r="F13" s="72" t="s">
        <v>578</v>
      </c>
      <c r="G13" s="57" t="s">
        <v>579</v>
      </c>
      <c r="H13" s="73" t="s">
        <v>580</v>
      </c>
      <c r="I13" s="74">
        <v>54.5732999871</v>
      </c>
      <c r="J13" s="57" t="s">
        <v>278</v>
      </c>
      <c r="K13" s="75" t="s">
        <v>177</v>
      </c>
    </row>
    <row r="14" spans="2:11" s="61" customFormat="1" x14ac:dyDescent="0.25">
      <c r="B14" s="56">
        <v>3</v>
      </c>
      <c r="C14" s="57">
        <v>3</v>
      </c>
      <c r="D14" s="71" t="s">
        <v>556</v>
      </c>
      <c r="E14" s="58">
        <v>71</v>
      </c>
      <c r="F14" s="72" t="s">
        <v>581</v>
      </c>
      <c r="G14" s="57" t="s">
        <v>582</v>
      </c>
      <c r="H14" s="73" t="s">
        <v>583</v>
      </c>
      <c r="I14" s="74">
        <v>2.89815296582</v>
      </c>
      <c r="J14" s="57" t="s">
        <v>278</v>
      </c>
      <c r="K14" s="75" t="s">
        <v>177</v>
      </c>
    </row>
    <row r="15" spans="2:11" s="61" customFormat="1" x14ac:dyDescent="0.25">
      <c r="B15" s="56">
        <v>3</v>
      </c>
      <c r="C15" s="57">
        <v>3</v>
      </c>
      <c r="D15" s="71" t="s">
        <v>556</v>
      </c>
      <c r="E15" s="58">
        <v>71</v>
      </c>
      <c r="F15" s="72" t="s">
        <v>581</v>
      </c>
      <c r="G15" s="57" t="s">
        <v>584</v>
      </c>
      <c r="H15" s="73" t="s">
        <v>585</v>
      </c>
      <c r="I15" s="74">
        <v>148.40782601500001</v>
      </c>
      <c r="J15" s="57" t="s">
        <v>689</v>
      </c>
      <c r="K15" s="75" t="s">
        <v>177</v>
      </c>
    </row>
    <row r="16" spans="2:11" s="61" customFormat="1" x14ac:dyDescent="0.25">
      <c r="B16" s="56">
        <v>3</v>
      </c>
      <c r="C16" s="57">
        <v>3</v>
      </c>
      <c r="D16" s="71" t="s">
        <v>556</v>
      </c>
      <c r="E16" s="58">
        <v>71</v>
      </c>
      <c r="F16" s="72" t="s">
        <v>581</v>
      </c>
      <c r="G16" s="57" t="s">
        <v>586</v>
      </c>
      <c r="H16" s="73" t="s">
        <v>587</v>
      </c>
      <c r="I16" s="74">
        <v>2.70876802039</v>
      </c>
      <c r="J16" s="57" t="s">
        <v>278</v>
      </c>
      <c r="K16" s="75" t="s">
        <v>177</v>
      </c>
    </row>
    <row r="17" spans="2:11" s="61" customFormat="1" x14ac:dyDescent="0.25">
      <c r="B17" s="56">
        <v>3</v>
      </c>
      <c r="C17" s="57">
        <v>3</v>
      </c>
      <c r="D17" s="71" t="s">
        <v>556</v>
      </c>
      <c r="E17" s="58">
        <v>72</v>
      </c>
      <c r="F17" s="72" t="s">
        <v>588</v>
      </c>
      <c r="G17" s="57" t="s">
        <v>589</v>
      </c>
      <c r="H17" s="73" t="s">
        <v>590</v>
      </c>
      <c r="I17" s="74">
        <v>19.3265161498</v>
      </c>
      <c r="J17" s="57" t="s">
        <v>691</v>
      </c>
      <c r="K17" s="75" t="s">
        <v>177</v>
      </c>
    </row>
    <row r="18" spans="2:11" s="61" customFormat="1" x14ac:dyDescent="0.25">
      <c r="B18" s="56">
        <v>3</v>
      </c>
      <c r="C18" s="57">
        <v>3</v>
      </c>
      <c r="D18" s="71" t="s">
        <v>556</v>
      </c>
      <c r="E18" s="58">
        <v>73</v>
      </c>
      <c r="F18" s="72" t="s">
        <v>591</v>
      </c>
      <c r="G18" s="57" t="s">
        <v>592</v>
      </c>
      <c r="H18" s="73" t="s">
        <v>593</v>
      </c>
      <c r="I18" s="74">
        <v>25.199964041299999</v>
      </c>
      <c r="J18" s="57" t="s">
        <v>278</v>
      </c>
      <c r="K18" s="75" t="s">
        <v>177</v>
      </c>
    </row>
    <row r="19" spans="2:11" s="61" customFormat="1" x14ac:dyDescent="0.25">
      <c r="B19" s="56">
        <v>3</v>
      </c>
      <c r="C19" s="57">
        <v>3</v>
      </c>
      <c r="D19" s="71" t="s">
        <v>556</v>
      </c>
      <c r="E19" s="58">
        <v>73</v>
      </c>
      <c r="F19" s="72" t="s">
        <v>591</v>
      </c>
      <c r="G19" s="57" t="s">
        <v>594</v>
      </c>
      <c r="H19" s="73" t="s">
        <v>595</v>
      </c>
      <c r="I19" s="74">
        <v>3.7520250816499998</v>
      </c>
      <c r="J19" s="57" t="s">
        <v>278</v>
      </c>
      <c r="K19" s="75" t="s">
        <v>177</v>
      </c>
    </row>
    <row r="20" spans="2:11" s="61" customFormat="1" x14ac:dyDescent="0.25">
      <c r="B20" s="56">
        <v>3</v>
      </c>
      <c r="C20" s="57">
        <v>3</v>
      </c>
      <c r="D20" s="71" t="s">
        <v>556</v>
      </c>
      <c r="E20" s="58">
        <v>73</v>
      </c>
      <c r="F20" s="72" t="s">
        <v>591</v>
      </c>
      <c r="G20" s="57" t="s">
        <v>596</v>
      </c>
      <c r="H20" s="73" t="s">
        <v>597</v>
      </c>
      <c r="I20" s="74">
        <v>20.011594907199999</v>
      </c>
      <c r="J20" s="57" t="s">
        <v>278</v>
      </c>
      <c r="K20" s="75" t="s">
        <v>177</v>
      </c>
    </row>
    <row r="21" spans="2:11" s="61" customFormat="1" x14ac:dyDescent="0.25">
      <c r="B21" s="56">
        <v>3</v>
      </c>
      <c r="C21" s="57">
        <v>3</v>
      </c>
      <c r="D21" s="71" t="s">
        <v>556</v>
      </c>
      <c r="E21" s="58">
        <v>74</v>
      </c>
      <c r="F21" s="72" t="s">
        <v>598</v>
      </c>
      <c r="G21" s="57" t="s">
        <v>599</v>
      </c>
      <c r="H21" s="73" t="s">
        <v>600</v>
      </c>
      <c r="I21" s="74">
        <v>7.6612658058700003</v>
      </c>
      <c r="J21" s="57" t="s">
        <v>278</v>
      </c>
      <c r="K21" s="75" t="s">
        <v>177</v>
      </c>
    </row>
    <row r="22" spans="2:11" s="61" customFormat="1" x14ac:dyDescent="0.25">
      <c r="B22" s="56">
        <v>3</v>
      </c>
      <c r="C22" s="57">
        <v>3</v>
      </c>
      <c r="D22" s="71" t="s">
        <v>556</v>
      </c>
      <c r="E22" s="58">
        <v>74</v>
      </c>
      <c r="F22" s="72" t="s">
        <v>598</v>
      </c>
      <c r="G22" s="57" t="s">
        <v>601</v>
      </c>
      <c r="H22" s="73" t="s">
        <v>602</v>
      </c>
      <c r="I22" s="74">
        <v>21.6621356323</v>
      </c>
      <c r="J22" s="57" t="s">
        <v>278</v>
      </c>
      <c r="K22" s="75" t="s">
        <v>177</v>
      </c>
    </row>
    <row r="23" spans="2:11" s="61" customFormat="1" x14ac:dyDescent="0.25">
      <c r="B23" s="56">
        <v>3</v>
      </c>
      <c r="C23" s="57">
        <v>3</v>
      </c>
      <c r="D23" s="71" t="s">
        <v>556</v>
      </c>
      <c r="E23" s="58">
        <v>74</v>
      </c>
      <c r="F23" s="72" t="s">
        <v>598</v>
      </c>
      <c r="G23" s="57" t="s">
        <v>603</v>
      </c>
      <c r="H23" s="73" t="s">
        <v>604</v>
      </c>
      <c r="I23" s="74">
        <v>20.248566508100001</v>
      </c>
      <c r="J23" s="57" t="s">
        <v>278</v>
      </c>
      <c r="K23" s="75" t="s">
        <v>177</v>
      </c>
    </row>
    <row r="24" spans="2:11" s="61" customFormat="1" x14ac:dyDescent="0.25">
      <c r="B24" s="56">
        <v>3</v>
      </c>
      <c r="C24" s="57">
        <v>3</v>
      </c>
      <c r="D24" s="71" t="s">
        <v>556</v>
      </c>
      <c r="E24" s="58">
        <v>74</v>
      </c>
      <c r="F24" s="72" t="s">
        <v>598</v>
      </c>
      <c r="G24" s="57" t="s">
        <v>605</v>
      </c>
      <c r="H24" s="73" t="s">
        <v>606</v>
      </c>
      <c r="I24" s="74">
        <v>26.227298984400001</v>
      </c>
      <c r="J24" s="57" t="s">
        <v>278</v>
      </c>
      <c r="K24" s="75" t="s">
        <v>177</v>
      </c>
    </row>
    <row r="25" spans="2:11" s="61" customFormat="1" x14ac:dyDescent="0.25">
      <c r="B25" s="56">
        <v>3</v>
      </c>
      <c r="C25" s="57">
        <v>3</v>
      </c>
      <c r="D25" s="71" t="s">
        <v>556</v>
      </c>
      <c r="E25" s="58">
        <v>74</v>
      </c>
      <c r="F25" s="72" t="s">
        <v>598</v>
      </c>
      <c r="G25" s="57" t="s">
        <v>607</v>
      </c>
      <c r="H25" s="73" t="s">
        <v>608</v>
      </c>
      <c r="I25" s="74">
        <v>8.3712251020600004</v>
      </c>
      <c r="J25" s="57" t="s">
        <v>278</v>
      </c>
      <c r="K25" s="75" t="s">
        <v>177</v>
      </c>
    </row>
    <row r="26" spans="2:11" s="61" customFormat="1" x14ac:dyDescent="0.25">
      <c r="B26" s="56">
        <v>3</v>
      </c>
      <c r="C26" s="57">
        <v>3</v>
      </c>
      <c r="D26" s="71" t="s">
        <v>556</v>
      </c>
      <c r="E26" s="58">
        <v>74</v>
      </c>
      <c r="F26" s="72" t="s">
        <v>598</v>
      </c>
      <c r="G26" s="57" t="s">
        <v>609</v>
      </c>
      <c r="H26" s="73" t="s">
        <v>610</v>
      </c>
      <c r="I26" s="74">
        <v>16.874871228300002</v>
      </c>
      <c r="J26" s="57" t="s">
        <v>278</v>
      </c>
      <c r="K26" s="75" t="s">
        <v>177</v>
      </c>
    </row>
    <row r="27" spans="2:11" s="61" customFormat="1" x14ac:dyDescent="0.25">
      <c r="B27" s="56">
        <v>3</v>
      </c>
      <c r="C27" s="57">
        <v>3</v>
      </c>
      <c r="D27" s="71" t="s">
        <v>556</v>
      </c>
      <c r="E27" s="58">
        <v>75</v>
      </c>
      <c r="F27" s="72" t="s">
        <v>611</v>
      </c>
      <c r="G27" s="57" t="s">
        <v>612</v>
      </c>
      <c r="H27" s="73" t="s">
        <v>613</v>
      </c>
      <c r="I27" s="74">
        <v>36.7682307002</v>
      </c>
      <c r="J27" s="57" t="s">
        <v>691</v>
      </c>
      <c r="K27" s="75" t="s">
        <v>177</v>
      </c>
    </row>
    <row r="28" spans="2:11" s="61" customFormat="1" x14ac:dyDescent="0.25">
      <c r="B28" s="56">
        <v>3</v>
      </c>
      <c r="C28" s="57">
        <v>3</v>
      </c>
      <c r="D28" s="71" t="s">
        <v>556</v>
      </c>
      <c r="E28" s="58">
        <v>75</v>
      </c>
      <c r="F28" s="72" t="s">
        <v>611</v>
      </c>
      <c r="G28" s="57" t="s">
        <v>614</v>
      </c>
      <c r="H28" s="73" t="s">
        <v>615</v>
      </c>
      <c r="I28" s="74">
        <v>17.621405181099998</v>
      </c>
      <c r="J28" s="57" t="s">
        <v>691</v>
      </c>
      <c r="K28" s="75" t="s">
        <v>177</v>
      </c>
    </row>
    <row r="29" spans="2:11" s="61" customFormat="1" x14ac:dyDescent="0.25">
      <c r="B29" s="56">
        <v>3</v>
      </c>
      <c r="C29" s="57">
        <v>3</v>
      </c>
      <c r="D29" s="71" t="s">
        <v>556</v>
      </c>
      <c r="E29" s="58">
        <v>75</v>
      </c>
      <c r="F29" s="72" t="s">
        <v>611</v>
      </c>
      <c r="G29" s="57" t="s">
        <v>616</v>
      </c>
      <c r="H29" s="73" t="s">
        <v>617</v>
      </c>
      <c r="I29" s="74">
        <v>2.1543770210100002</v>
      </c>
      <c r="J29" s="57" t="s">
        <v>687</v>
      </c>
      <c r="K29" s="75" t="s">
        <v>688</v>
      </c>
    </row>
    <row r="30" spans="2:11" s="61" customFormat="1" x14ac:dyDescent="0.25">
      <c r="B30" s="56">
        <v>3</v>
      </c>
      <c r="C30" s="57">
        <v>3</v>
      </c>
      <c r="D30" s="71" t="s">
        <v>556</v>
      </c>
      <c r="E30" s="58">
        <v>76</v>
      </c>
      <c r="F30" s="72" t="s">
        <v>618</v>
      </c>
      <c r="G30" s="57" t="s">
        <v>619</v>
      </c>
      <c r="H30" s="73" t="s">
        <v>620</v>
      </c>
      <c r="I30" s="74">
        <v>14.646521651400001</v>
      </c>
      <c r="J30" s="57" t="s">
        <v>691</v>
      </c>
      <c r="K30" s="75" t="s">
        <v>177</v>
      </c>
    </row>
    <row r="31" spans="2:11" s="61" customFormat="1" x14ac:dyDescent="0.25">
      <c r="B31" s="56">
        <v>3</v>
      </c>
      <c r="C31" s="57">
        <v>3</v>
      </c>
      <c r="D31" s="71" t="s">
        <v>556</v>
      </c>
      <c r="E31" s="58">
        <v>76</v>
      </c>
      <c r="F31" s="72" t="s">
        <v>618</v>
      </c>
      <c r="G31" s="57" t="s">
        <v>621</v>
      </c>
      <c r="H31" s="73" t="s">
        <v>622</v>
      </c>
      <c r="I31" s="74">
        <v>13.697356407999999</v>
      </c>
      <c r="J31" s="57" t="s">
        <v>691</v>
      </c>
      <c r="K31" s="75" t="s">
        <v>177</v>
      </c>
    </row>
    <row r="32" spans="2:11" s="61" customFormat="1" x14ac:dyDescent="0.25">
      <c r="B32" s="56">
        <v>3</v>
      </c>
      <c r="C32" s="57">
        <v>3</v>
      </c>
      <c r="D32" s="71" t="s">
        <v>556</v>
      </c>
      <c r="E32" s="58">
        <v>77</v>
      </c>
      <c r="F32" s="72" t="s">
        <v>623</v>
      </c>
      <c r="G32" s="57" t="s">
        <v>624</v>
      </c>
      <c r="H32" s="73" t="s">
        <v>625</v>
      </c>
      <c r="I32" s="74">
        <v>1.69077087362</v>
      </c>
      <c r="J32" s="57" t="s">
        <v>278</v>
      </c>
      <c r="K32" s="75" t="s">
        <v>177</v>
      </c>
    </row>
    <row r="33" spans="1:12" s="61" customFormat="1" x14ac:dyDescent="0.25">
      <c r="B33" s="56">
        <v>3</v>
      </c>
      <c r="C33" s="57">
        <v>3</v>
      </c>
      <c r="D33" s="71" t="s">
        <v>556</v>
      </c>
      <c r="E33" s="58">
        <v>77</v>
      </c>
      <c r="F33" s="72" t="s">
        <v>623</v>
      </c>
      <c r="G33" s="57" t="s">
        <v>626</v>
      </c>
      <c r="H33" s="73" t="s">
        <v>627</v>
      </c>
      <c r="I33" s="74">
        <v>10.299499818099999</v>
      </c>
      <c r="J33" s="57" t="s">
        <v>278</v>
      </c>
      <c r="K33" s="75" t="s">
        <v>177</v>
      </c>
    </row>
    <row r="34" spans="1:12" s="61" customFormat="1" x14ac:dyDescent="0.25">
      <c r="B34" s="56">
        <v>3</v>
      </c>
      <c r="C34" s="57">
        <v>3</v>
      </c>
      <c r="D34" s="71" t="s">
        <v>556</v>
      </c>
      <c r="E34" s="58">
        <v>77</v>
      </c>
      <c r="F34" s="72" t="s">
        <v>623</v>
      </c>
      <c r="G34" s="57" t="s">
        <v>628</v>
      </c>
      <c r="H34" s="73" t="s">
        <v>629</v>
      </c>
      <c r="I34" s="74">
        <v>37.2948186132</v>
      </c>
      <c r="J34" s="57" t="s">
        <v>278</v>
      </c>
      <c r="K34" s="75" t="s">
        <v>177</v>
      </c>
    </row>
    <row r="35" spans="1:12" s="61" customFormat="1" x14ac:dyDescent="0.25">
      <c r="B35" s="56">
        <v>3</v>
      </c>
      <c r="C35" s="57">
        <v>3</v>
      </c>
      <c r="D35" s="71" t="s">
        <v>556</v>
      </c>
      <c r="E35" s="58">
        <v>77</v>
      </c>
      <c r="F35" s="72" t="s">
        <v>623</v>
      </c>
      <c r="G35" s="57" t="s">
        <v>630</v>
      </c>
      <c r="H35" s="73" t="s">
        <v>631</v>
      </c>
      <c r="I35" s="74">
        <v>17.6386414161</v>
      </c>
      <c r="J35" s="57" t="s">
        <v>278</v>
      </c>
      <c r="K35" s="75" t="s">
        <v>177</v>
      </c>
    </row>
    <row r="36" spans="1:12" s="61" customFormat="1" x14ac:dyDescent="0.25">
      <c r="B36" s="56">
        <v>3</v>
      </c>
      <c r="C36" s="57">
        <v>3</v>
      </c>
      <c r="D36" s="71" t="s">
        <v>556</v>
      </c>
      <c r="E36" s="58">
        <v>77</v>
      </c>
      <c r="F36" s="72" t="s">
        <v>623</v>
      </c>
      <c r="G36" s="57" t="s">
        <v>632</v>
      </c>
      <c r="H36" s="73" t="s">
        <v>633</v>
      </c>
      <c r="I36" s="74">
        <v>24.572676973499998</v>
      </c>
      <c r="J36" s="57" t="s">
        <v>278</v>
      </c>
      <c r="K36" s="75" t="s">
        <v>177</v>
      </c>
    </row>
    <row r="37" spans="1:12" x14ac:dyDescent="0.25">
      <c r="A37" s="61"/>
      <c r="B37" s="56">
        <v>3</v>
      </c>
      <c r="C37" s="57">
        <v>3</v>
      </c>
      <c r="D37" s="71" t="s">
        <v>556</v>
      </c>
      <c r="E37" s="58">
        <v>77</v>
      </c>
      <c r="F37" s="72" t="s">
        <v>623</v>
      </c>
      <c r="G37" s="57" t="s">
        <v>634</v>
      </c>
      <c r="H37" s="73" t="s">
        <v>635</v>
      </c>
      <c r="I37" s="74">
        <v>0.10420990593399999</v>
      </c>
      <c r="J37" s="57" t="s">
        <v>687</v>
      </c>
      <c r="K37" s="75" t="s">
        <v>688</v>
      </c>
      <c r="L37" s="61"/>
    </row>
    <row r="38" spans="1:12" x14ac:dyDescent="0.25">
      <c r="A38" s="61"/>
      <c r="B38" s="56">
        <v>3</v>
      </c>
      <c r="C38" s="57">
        <v>3</v>
      </c>
      <c r="D38" s="71" t="s">
        <v>556</v>
      </c>
      <c r="E38" s="58">
        <v>77</v>
      </c>
      <c r="F38" s="72" t="s">
        <v>623</v>
      </c>
      <c r="G38" s="57" t="s">
        <v>636</v>
      </c>
      <c r="H38" s="73" t="s">
        <v>635</v>
      </c>
      <c r="I38" s="74">
        <v>0.44754672546199997</v>
      </c>
      <c r="J38" s="57" t="s">
        <v>687</v>
      </c>
      <c r="K38" s="75" t="s">
        <v>688</v>
      </c>
      <c r="L38" s="61"/>
    </row>
    <row r="39" spans="1:12" x14ac:dyDescent="0.25">
      <c r="A39" s="61"/>
      <c r="B39" s="56">
        <v>3</v>
      </c>
      <c r="C39" s="57">
        <v>3</v>
      </c>
      <c r="D39" s="71" t="s">
        <v>556</v>
      </c>
      <c r="E39" s="58">
        <v>78</v>
      </c>
      <c r="F39" s="72" t="s">
        <v>637</v>
      </c>
      <c r="G39" s="57" t="s">
        <v>638</v>
      </c>
      <c r="H39" s="73" t="s">
        <v>639</v>
      </c>
      <c r="I39" s="74">
        <v>7.7776106462400003</v>
      </c>
      <c r="J39" s="57" t="s">
        <v>278</v>
      </c>
      <c r="K39" s="75" t="s">
        <v>177</v>
      </c>
      <c r="L39" s="61"/>
    </row>
    <row r="40" spans="1:12" x14ac:dyDescent="0.25">
      <c r="A40" s="61"/>
      <c r="B40" s="56">
        <v>3</v>
      </c>
      <c r="C40" s="57">
        <v>3</v>
      </c>
      <c r="D40" s="71" t="s">
        <v>556</v>
      </c>
      <c r="E40" s="58">
        <v>79</v>
      </c>
      <c r="F40" s="72" t="s">
        <v>640</v>
      </c>
      <c r="G40" s="57" t="s">
        <v>641</v>
      </c>
      <c r="H40" s="73" t="s">
        <v>642</v>
      </c>
      <c r="I40" s="74">
        <v>28.5889587747</v>
      </c>
      <c r="J40" s="57" t="s">
        <v>691</v>
      </c>
      <c r="K40" s="75" t="s">
        <v>177</v>
      </c>
      <c r="L40" s="61"/>
    </row>
    <row r="41" spans="1:12" x14ac:dyDescent="0.25">
      <c r="A41" s="61"/>
      <c r="B41" s="56">
        <v>3</v>
      </c>
      <c r="C41" s="57">
        <v>3</v>
      </c>
      <c r="D41" s="71" t="s">
        <v>556</v>
      </c>
      <c r="E41" s="58">
        <v>80</v>
      </c>
      <c r="F41" s="72" t="s">
        <v>643</v>
      </c>
      <c r="G41" s="57" t="s">
        <v>644</v>
      </c>
      <c r="H41" s="73" t="s">
        <v>645</v>
      </c>
      <c r="I41" s="74">
        <v>13.989538297299999</v>
      </c>
      <c r="J41" s="57" t="s">
        <v>278</v>
      </c>
      <c r="K41" s="75" t="s">
        <v>177</v>
      </c>
      <c r="L41" s="61"/>
    </row>
    <row r="42" spans="1:12" x14ac:dyDescent="0.25">
      <c r="A42" s="61"/>
      <c r="B42" s="56">
        <v>3</v>
      </c>
      <c r="C42" s="57">
        <v>3</v>
      </c>
      <c r="D42" s="71" t="s">
        <v>556</v>
      </c>
      <c r="E42" s="58">
        <v>80</v>
      </c>
      <c r="F42" s="72" t="s">
        <v>643</v>
      </c>
      <c r="G42" s="57" t="s">
        <v>646</v>
      </c>
      <c r="H42" s="73" t="s">
        <v>647</v>
      </c>
      <c r="I42" s="74">
        <v>3.66759310634</v>
      </c>
      <c r="J42" s="57" t="s">
        <v>278</v>
      </c>
      <c r="K42" s="75" t="s">
        <v>177</v>
      </c>
      <c r="L42" s="61"/>
    </row>
    <row r="43" spans="1:12" x14ac:dyDescent="0.25">
      <c r="A43" s="61"/>
      <c r="B43" s="56">
        <v>3</v>
      </c>
      <c r="C43" s="57">
        <v>3</v>
      </c>
      <c r="D43" s="71" t="s">
        <v>556</v>
      </c>
      <c r="E43" s="58">
        <v>80</v>
      </c>
      <c r="F43" s="72" t="s">
        <v>643</v>
      </c>
      <c r="G43" s="57" t="s">
        <v>648</v>
      </c>
      <c r="H43" s="73" t="s">
        <v>649</v>
      </c>
      <c r="I43" s="74">
        <v>8.9442885902599993</v>
      </c>
      <c r="J43" s="57" t="s">
        <v>278</v>
      </c>
      <c r="K43" s="75" t="s">
        <v>177</v>
      </c>
      <c r="L43" s="61"/>
    </row>
    <row r="44" spans="1:12" x14ac:dyDescent="0.25">
      <c r="A44" s="61"/>
      <c r="B44" s="56">
        <v>3</v>
      </c>
      <c r="C44" s="57">
        <v>3</v>
      </c>
      <c r="D44" s="71" t="s">
        <v>556</v>
      </c>
      <c r="E44" s="58">
        <v>80</v>
      </c>
      <c r="F44" s="72" t="s">
        <v>643</v>
      </c>
      <c r="G44" s="57" t="s">
        <v>650</v>
      </c>
      <c r="H44" s="73" t="s">
        <v>651</v>
      </c>
      <c r="I44" s="74">
        <v>10.895038230000001</v>
      </c>
      <c r="J44" s="57" t="s">
        <v>278</v>
      </c>
      <c r="K44" s="75" t="s">
        <v>177</v>
      </c>
      <c r="L44" s="61"/>
    </row>
    <row r="45" spans="1:12" x14ac:dyDescent="0.25">
      <c r="A45" s="61"/>
      <c r="B45" s="56">
        <v>3</v>
      </c>
      <c r="C45" s="57">
        <v>3</v>
      </c>
      <c r="D45" s="71" t="s">
        <v>556</v>
      </c>
      <c r="E45" s="58">
        <v>81</v>
      </c>
      <c r="F45" s="72" t="s">
        <v>652</v>
      </c>
      <c r="G45" s="57" t="s">
        <v>653</v>
      </c>
      <c r="H45" s="73" t="s">
        <v>654</v>
      </c>
      <c r="I45" s="74">
        <v>13.6139219472</v>
      </c>
      <c r="J45" s="57" t="s">
        <v>691</v>
      </c>
      <c r="K45" s="75" t="s">
        <v>177</v>
      </c>
      <c r="L45" s="61"/>
    </row>
    <row r="46" spans="1:12" x14ac:dyDescent="0.25">
      <c r="A46" s="61"/>
      <c r="B46" s="56">
        <v>3</v>
      </c>
      <c r="C46" s="57">
        <v>3</v>
      </c>
      <c r="D46" s="71" t="s">
        <v>556</v>
      </c>
      <c r="E46" s="58">
        <v>81</v>
      </c>
      <c r="F46" s="72" t="s">
        <v>652</v>
      </c>
      <c r="G46" s="57" t="s">
        <v>655</v>
      </c>
      <c r="H46" s="73" t="s">
        <v>656</v>
      </c>
      <c r="I46" s="74">
        <v>3.8645041201599999</v>
      </c>
      <c r="J46" s="57" t="s">
        <v>691</v>
      </c>
      <c r="K46" s="75" t="s">
        <v>177</v>
      </c>
      <c r="L46" s="61"/>
    </row>
    <row r="47" spans="1:12" x14ac:dyDescent="0.25">
      <c r="A47" s="61"/>
      <c r="B47" s="56">
        <v>3</v>
      </c>
      <c r="C47" s="57">
        <v>3</v>
      </c>
      <c r="D47" s="71" t="s">
        <v>556</v>
      </c>
      <c r="E47" s="58">
        <v>81</v>
      </c>
      <c r="F47" s="72" t="s">
        <v>652</v>
      </c>
      <c r="G47" s="57" t="s">
        <v>657</v>
      </c>
      <c r="H47" s="73" t="s">
        <v>658</v>
      </c>
      <c r="I47" s="74">
        <v>14.0212787634</v>
      </c>
      <c r="J47" s="57" t="s">
        <v>691</v>
      </c>
      <c r="K47" s="75" t="s">
        <v>177</v>
      </c>
      <c r="L47" s="61"/>
    </row>
    <row r="48" spans="1:12" x14ac:dyDescent="0.25">
      <c r="A48" s="61"/>
      <c r="B48" s="56">
        <v>3</v>
      </c>
      <c r="C48" s="57">
        <v>3</v>
      </c>
      <c r="D48" s="71" t="s">
        <v>556</v>
      </c>
      <c r="E48" s="58">
        <v>82</v>
      </c>
      <c r="F48" s="72" t="s">
        <v>659</v>
      </c>
      <c r="G48" s="57" t="s">
        <v>660</v>
      </c>
      <c r="H48" s="73" t="s">
        <v>661</v>
      </c>
      <c r="I48" s="74">
        <v>47.358811885000001</v>
      </c>
      <c r="J48" s="57" t="s">
        <v>691</v>
      </c>
      <c r="K48" s="75" t="s">
        <v>177</v>
      </c>
      <c r="L48" s="61"/>
    </row>
    <row r="49" spans="1:12" x14ac:dyDescent="0.25">
      <c r="A49" s="61"/>
      <c r="B49" s="56">
        <v>3</v>
      </c>
      <c r="C49" s="57">
        <v>3</v>
      </c>
      <c r="D49" s="71" t="s">
        <v>556</v>
      </c>
      <c r="E49" s="58">
        <v>83</v>
      </c>
      <c r="F49" s="72" t="s">
        <v>662</v>
      </c>
      <c r="G49" s="57" t="s">
        <v>663</v>
      </c>
      <c r="H49" s="73" t="s">
        <v>664</v>
      </c>
      <c r="I49" s="74">
        <v>31.730768261000001</v>
      </c>
      <c r="J49" s="57" t="s">
        <v>691</v>
      </c>
      <c r="K49" s="75" t="s">
        <v>177</v>
      </c>
      <c r="L49" s="61"/>
    </row>
    <row r="50" spans="1:12" x14ac:dyDescent="0.25">
      <c r="A50" s="61"/>
      <c r="B50" s="56">
        <v>3</v>
      </c>
      <c r="C50" s="57">
        <v>3</v>
      </c>
      <c r="D50" s="71" t="s">
        <v>556</v>
      </c>
      <c r="E50" s="58">
        <v>84</v>
      </c>
      <c r="F50" s="72" t="s">
        <v>665</v>
      </c>
      <c r="G50" s="57" t="s">
        <v>666</v>
      </c>
      <c r="H50" s="73" t="s">
        <v>667</v>
      </c>
      <c r="I50" s="74">
        <v>28.070200140400001</v>
      </c>
      <c r="J50" s="57" t="s">
        <v>691</v>
      </c>
      <c r="K50" s="75" t="s">
        <v>177</v>
      </c>
      <c r="L50" s="61"/>
    </row>
    <row r="51" spans="1:12" x14ac:dyDescent="0.25">
      <c r="A51" s="61"/>
      <c r="B51" s="56">
        <v>3</v>
      </c>
      <c r="C51" s="57">
        <v>3</v>
      </c>
      <c r="D51" s="71" t="s">
        <v>556</v>
      </c>
      <c r="E51" s="58">
        <v>84</v>
      </c>
      <c r="F51" s="72" t="s">
        <v>665</v>
      </c>
      <c r="G51" s="57" t="s">
        <v>668</v>
      </c>
      <c r="H51" s="73" t="s">
        <v>669</v>
      </c>
      <c r="I51" s="74">
        <v>13.451488918100001</v>
      </c>
      <c r="J51" s="57" t="s">
        <v>691</v>
      </c>
      <c r="K51" s="75" t="s">
        <v>177</v>
      </c>
      <c r="L51" s="61"/>
    </row>
    <row r="52" spans="1:12" ht="14.4" thickBot="1" x14ac:dyDescent="0.3">
      <c r="B52" s="53"/>
      <c r="C52" s="53"/>
      <c r="D52" s="64"/>
      <c r="E52" s="81"/>
      <c r="F52" s="76"/>
    </row>
    <row r="53" spans="1:12" ht="14.4" thickBot="1" x14ac:dyDescent="0.35">
      <c r="E53" s="82"/>
      <c r="H53" s="65" t="s">
        <v>385</v>
      </c>
      <c r="I53" s="77">
        <f>SUM(I4:I51)</f>
        <v>969.28714980159589</v>
      </c>
    </row>
  </sheetData>
  <mergeCells count="1">
    <mergeCell ref="B2:K2"/>
  </mergeCells>
  <conditionalFormatting sqref="K1:K1048576">
    <cfRule type="cellIs" dxfId="2" priority="1" operator="equal">
      <formula>"Acesso"</formula>
    </cfRule>
    <cfRule type="cellIs" dxfId="1" priority="2" operator="equal">
      <formula>"Não Encontrada"</formula>
    </cfRule>
    <cfRule type="cellIs" dxfId="0" priority="3" operator="equal">
      <formula>"Municipal"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2B0F2-5CFE-47C2-BD8F-E4AAA39F8639}">
  <sheetPr codeName="Planilha14"/>
  <dimension ref="B1:P81"/>
  <sheetViews>
    <sheetView topLeftCell="D65" workbookViewId="0">
      <selection activeCell="H13" sqref="H13"/>
    </sheetView>
  </sheetViews>
  <sheetFormatPr defaultRowHeight="15.6" x14ac:dyDescent="0.3"/>
  <cols>
    <col min="1" max="1" width="3.796875" customWidth="1"/>
    <col min="2" max="2" width="12.09765625" customWidth="1"/>
    <col min="3" max="3" width="13.5" customWidth="1"/>
    <col min="4" max="4" width="11.8984375" customWidth="1"/>
    <col min="5" max="6" width="12.59765625" customWidth="1"/>
    <col min="7" max="7" width="4.796875" customWidth="1"/>
    <col min="8" max="8" width="45.296875" customWidth="1"/>
    <col min="9" max="9" width="8.3984375" customWidth="1"/>
    <col min="10" max="10" width="4.09765625" customWidth="1"/>
    <col min="11" max="11" width="41.8984375" customWidth="1"/>
    <col min="12" max="12" width="11.296875" customWidth="1"/>
    <col min="13" max="13" width="20.8984375" customWidth="1"/>
    <col min="15" max="15" width="13.59765625" customWidth="1"/>
    <col min="16" max="16" width="22.59765625" customWidth="1"/>
  </cols>
  <sheetData>
    <row r="1" spans="2:16" ht="21" customHeight="1" x14ac:dyDescent="0.3"/>
    <row r="2" spans="2:16" ht="50.4" customHeight="1" x14ac:dyDescent="0.3">
      <c r="B2" s="308" t="s">
        <v>14</v>
      </c>
      <c r="C2" s="309"/>
      <c r="D2" s="308" t="s">
        <v>15</v>
      </c>
      <c r="E2" s="309"/>
      <c r="F2" s="52"/>
      <c r="K2" s="52"/>
      <c r="O2" s="310" t="s">
        <v>764</v>
      </c>
      <c r="P2" s="311"/>
    </row>
    <row r="3" spans="2:16" ht="34.799999999999997" customHeight="1" x14ac:dyDescent="0.3">
      <c r="B3" s="4" t="s">
        <v>16</v>
      </c>
      <c r="C3" s="5" t="s">
        <v>17</v>
      </c>
      <c r="D3" s="7" t="s">
        <v>18</v>
      </c>
      <c r="E3" s="6" t="s">
        <v>19</v>
      </c>
      <c r="F3" s="52"/>
      <c r="H3" s="3" t="s">
        <v>816</v>
      </c>
      <c r="J3" s="186"/>
      <c r="K3" s="3" t="s">
        <v>817</v>
      </c>
      <c r="M3" s="3" t="s">
        <v>10</v>
      </c>
      <c r="O3" s="185" t="s">
        <v>765</v>
      </c>
      <c r="P3" s="185" t="s">
        <v>766</v>
      </c>
    </row>
    <row r="4" spans="2:16" x14ac:dyDescent="0.3">
      <c r="B4" s="38" t="s">
        <v>20</v>
      </c>
      <c r="C4" s="39">
        <v>1</v>
      </c>
      <c r="D4" s="39" t="s">
        <v>21</v>
      </c>
      <c r="E4" s="40" t="s">
        <v>22</v>
      </c>
      <c r="F4" s="52"/>
      <c r="G4" s="203" t="s">
        <v>79</v>
      </c>
      <c r="H4" s="37" t="s">
        <v>25</v>
      </c>
      <c r="I4" s="186"/>
      <c r="J4" s="203" t="s">
        <v>826</v>
      </c>
      <c r="K4" s="37" t="s">
        <v>100</v>
      </c>
      <c r="M4" s="37" t="s">
        <v>77</v>
      </c>
      <c r="O4" s="37" t="s">
        <v>714</v>
      </c>
      <c r="P4" s="37" t="s">
        <v>767</v>
      </c>
    </row>
    <row r="5" spans="2:16" x14ac:dyDescent="0.3">
      <c r="B5" s="38" t="s">
        <v>11</v>
      </c>
      <c r="C5" s="39">
        <v>2</v>
      </c>
      <c r="D5" s="39" t="s">
        <v>23</v>
      </c>
      <c r="E5" s="41" t="s">
        <v>24</v>
      </c>
      <c r="F5" s="52"/>
      <c r="H5" s="37" t="s">
        <v>671</v>
      </c>
      <c r="I5" s="186"/>
      <c r="J5" s="203" t="s">
        <v>827</v>
      </c>
      <c r="K5" s="37" t="s">
        <v>98</v>
      </c>
      <c r="M5" s="205" t="s">
        <v>26</v>
      </c>
      <c r="O5" s="37" t="str">
        <f>"REGIÃO "&amp;TEXT($C4,"00")</f>
        <v>REGIÃO 01</v>
      </c>
      <c r="P5" s="37" t="str">
        <f>$B4</f>
        <v>R01</v>
      </c>
    </row>
    <row r="6" spans="2:16" x14ac:dyDescent="0.3">
      <c r="B6" s="38" t="s">
        <v>797</v>
      </c>
      <c r="C6" s="39">
        <v>3</v>
      </c>
      <c r="D6" s="39" t="s">
        <v>799</v>
      </c>
      <c r="E6" s="41" t="s">
        <v>27</v>
      </c>
      <c r="F6" s="52"/>
      <c r="H6" s="37" t="s">
        <v>672</v>
      </c>
      <c r="I6" s="186"/>
      <c r="J6" s="203" t="s">
        <v>828</v>
      </c>
      <c r="K6" s="37" t="s">
        <v>99</v>
      </c>
      <c r="M6" s="206" t="s">
        <v>28</v>
      </c>
      <c r="O6" s="37" t="str">
        <f t="shared" ref="O6:O10" si="0">"REGIÃO "&amp;TEXT($C5,"00")</f>
        <v>REGIÃO 02</v>
      </c>
      <c r="P6" s="37" t="str">
        <f t="shared" ref="P6:P10" si="1">$B5</f>
        <v>R02</v>
      </c>
    </row>
    <row r="7" spans="2:16" x14ac:dyDescent="0.3">
      <c r="B7" s="38" t="s">
        <v>12</v>
      </c>
      <c r="C7" s="39">
        <v>14</v>
      </c>
      <c r="D7" s="39" t="s">
        <v>29</v>
      </c>
      <c r="E7" s="41" t="s">
        <v>30</v>
      </c>
      <c r="F7" s="52"/>
      <c r="G7" s="203" t="s">
        <v>80</v>
      </c>
      <c r="H7" s="37" t="s">
        <v>81</v>
      </c>
      <c r="I7" s="186"/>
      <c r="J7" s="203" t="s">
        <v>829</v>
      </c>
      <c r="K7" s="37" t="s">
        <v>825</v>
      </c>
      <c r="M7" s="207" t="s">
        <v>31</v>
      </c>
      <c r="O7" s="37" t="str">
        <f t="shared" si="0"/>
        <v>REGIÃO 03</v>
      </c>
      <c r="P7" s="37" t="str">
        <f>LEFT($B6,3)&amp;"*"</f>
        <v>R03*</v>
      </c>
    </row>
    <row r="8" spans="2:16" x14ac:dyDescent="0.3">
      <c r="B8" s="38" t="s">
        <v>13</v>
      </c>
      <c r="C8" s="39">
        <v>15</v>
      </c>
      <c r="D8" s="39" t="s">
        <v>32</v>
      </c>
      <c r="E8" s="41" t="s">
        <v>33</v>
      </c>
      <c r="F8" s="52"/>
      <c r="H8" s="37" t="s">
        <v>82</v>
      </c>
      <c r="I8" s="186"/>
      <c r="J8" s="203" t="s">
        <v>830</v>
      </c>
      <c r="K8" s="37" t="s">
        <v>815</v>
      </c>
      <c r="M8" s="208" t="s">
        <v>34</v>
      </c>
      <c r="O8" s="37" t="str">
        <f t="shared" si="0"/>
        <v>REGIÃO 14</v>
      </c>
      <c r="P8" s="37" t="str">
        <f t="shared" si="1"/>
        <v>R14</v>
      </c>
    </row>
    <row r="9" spans="2:16" x14ac:dyDescent="0.3">
      <c r="B9" s="42" t="s">
        <v>35</v>
      </c>
      <c r="C9" s="43">
        <v>16</v>
      </c>
      <c r="D9" s="43" t="s">
        <v>36</v>
      </c>
      <c r="E9" s="44" t="s">
        <v>37</v>
      </c>
      <c r="F9" s="52"/>
      <c r="G9" s="203" t="s">
        <v>83</v>
      </c>
      <c r="H9" s="37" t="s">
        <v>70</v>
      </c>
      <c r="I9" s="186"/>
      <c r="J9" s="186"/>
      <c r="K9" s="84" t="s">
        <v>675</v>
      </c>
      <c r="M9" s="209" t="s">
        <v>780</v>
      </c>
      <c r="O9" s="37" t="str">
        <f t="shared" si="0"/>
        <v>REGIÃO 15</v>
      </c>
      <c r="P9" s="37" t="str">
        <f t="shared" si="1"/>
        <v>R15</v>
      </c>
    </row>
    <row r="10" spans="2:16" ht="31.2" x14ac:dyDescent="0.3">
      <c r="B10" s="42" t="s">
        <v>798</v>
      </c>
      <c r="C10" s="43">
        <v>3</v>
      </c>
      <c r="D10" s="43" t="s">
        <v>800</v>
      </c>
      <c r="E10" s="44" t="s">
        <v>801</v>
      </c>
      <c r="H10" s="37" t="s">
        <v>84</v>
      </c>
      <c r="I10" s="186"/>
      <c r="J10" s="186"/>
      <c r="K10" s="37" t="s">
        <v>831</v>
      </c>
      <c r="M10" s="204" t="s">
        <v>811</v>
      </c>
      <c r="O10" s="37" t="str">
        <f t="shared" si="0"/>
        <v>REGIÃO 16</v>
      </c>
      <c r="P10" s="37" t="str">
        <f t="shared" si="1"/>
        <v>R16</v>
      </c>
    </row>
    <row r="11" spans="2:16" ht="46.8" x14ac:dyDescent="0.3">
      <c r="H11" s="37" t="s">
        <v>85</v>
      </c>
      <c r="I11" s="186"/>
      <c r="J11" s="186"/>
      <c r="K11" s="37" t="s">
        <v>832</v>
      </c>
      <c r="M11" s="37" t="s">
        <v>2</v>
      </c>
    </row>
    <row r="12" spans="2:16" ht="31.2" x14ac:dyDescent="0.3">
      <c r="H12" s="37" t="s">
        <v>86</v>
      </c>
      <c r="I12" s="186"/>
      <c r="J12" s="186"/>
      <c r="K12" s="37" t="s">
        <v>833</v>
      </c>
      <c r="M12" s="37" t="s">
        <v>2</v>
      </c>
    </row>
    <row r="13" spans="2:16" ht="46.8" x14ac:dyDescent="0.3">
      <c r="H13" s="37" t="s">
        <v>87</v>
      </c>
      <c r="I13" s="186"/>
      <c r="J13" s="186"/>
      <c r="K13" s="37" t="s">
        <v>834</v>
      </c>
    </row>
    <row r="14" spans="2:16" ht="46.8" x14ac:dyDescent="0.3">
      <c r="H14" s="37" t="s">
        <v>88</v>
      </c>
      <c r="I14" s="186"/>
      <c r="J14" s="186"/>
      <c r="K14" s="37" t="s">
        <v>835</v>
      </c>
    </row>
    <row r="15" spans="2:16" ht="31.2" x14ac:dyDescent="0.3">
      <c r="H15" s="37" t="s">
        <v>89</v>
      </c>
      <c r="I15" s="186"/>
      <c r="J15" s="186"/>
      <c r="K15" s="37" t="s">
        <v>836</v>
      </c>
    </row>
    <row r="16" spans="2:16" ht="31.2" x14ac:dyDescent="0.3">
      <c r="H16" s="37" t="s">
        <v>90</v>
      </c>
      <c r="I16" s="186"/>
      <c r="J16" s="186"/>
      <c r="K16" s="37" t="s">
        <v>838</v>
      </c>
    </row>
    <row r="17" spans="7:11" x14ac:dyDescent="0.3">
      <c r="H17" s="37" t="s">
        <v>91</v>
      </c>
      <c r="I17" s="186"/>
      <c r="J17" s="186"/>
      <c r="K17" s="37"/>
    </row>
    <row r="18" spans="7:11" x14ac:dyDescent="0.3">
      <c r="H18" s="37" t="s">
        <v>92</v>
      </c>
      <c r="I18" s="186"/>
      <c r="J18" s="186"/>
      <c r="K18" s="37"/>
    </row>
    <row r="19" spans="7:11" x14ac:dyDescent="0.3">
      <c r="H19" s="37" t="s">
        <v>673</v>
      </c>
      <c r="I19" s="186"/>
      <c r="J19" s="186"/>
      <c r="K19" s="37"/>
    </row>
    <row r="20" spans="7:11" x14ac:dyDescent="0.3">
      <c r="H20" s="37" t="s">
        <v>94</v>
      </c>
      <c r="I20" s="186"/>
      <c r="J20" s="186"/>
      <c r="K20" s="37"/>
    </row>
    <row r="21" spans="7:11" x14ac:dyDescent="0.3">
      <c r="H21" s="37" t="s">
        <v>71</v>
      </c>
      <c r="I21" s="186"/>
      <c r="J21" s="186"/>
      <c r="K21" s="37"/>
    </row>
    <row r="22" spans="7:11" x14ac:dyDescent="0.3">
      <c r="H22" s="37" t="s">
        <v>93</v>
      </c>
      <c r="I22" s="186"/>
      <c r="J22" s="186"/>
      <c r="K22" s="37"/>
    </row>
    <row r="23" spans="7:11" x14ac:dyDescent="0.3">
      <c r="H23" s="37" t="s">
        <v>95</v>
      </c>
      <c r="I23" s="186"/>
      <c r="J23" s="186"/>
      <c r="K23" s="37"/>
    </row>
    <row r="24" spans="7:11" x14ac:dyDescent="0.3">
      <c r="G24" s="203" t="s">
        <v>97</v>
      </c>
      <c r="H24" s="37" t="s">
        <v>96</v>
      </c>
      <c r="I24" s="186"/>
      <c r="J24" s="186"/>
      <c r="K24" s="37"/>
    </row>
    <row r="25" spans="7:11" x14ac:dyDescent="0.3">
      <c r="H25" s="37" t="s">
        <v>100</v>
      </c>
      <c r="I25" s="186"/>
      <c r="J25" s="186"/>
      <c r="K25" s="37"/>
    </row>
    <row r="26" spans="7:11" x14ac:dyDescent="0.3">
      <c r="H26" s="37" t="s">
        <v>98</v>
      </c>
      <c r="I26" s="186"/>
      <c r="J26" s="186"/>
      <c r="K26" s="37"/>
    </row>
    <row r="27" spans="7:11" x14ac:dyDescent="0.3">
      <c r="H27" s="37" t="s">
        <v>99</v>
      </c>
      <c r="I27" s="186"/>
      <c r="J27" s="186"/>
      <c r="K27" s="37"/>
    </row>
    <row r="28" spans="7:11" x14ac:dyDescent="0.3">
      <c r="G28" s="203" t="s">
        <v>101</v>
      </c>
      <c r="H28" s="37" t="s">
        <v>102</v>
      </c>
      <c r="I28" s="186"/>
      <c r="J28" s="186"/>
      <c r="K28" s="37"/>
    </row>
    <row r="29" spans="7:11" x14ac:dyDescent="0.3">
      <c r="H29" s="37" t="s">
        <v>103</v>
      </c>
      <c r="I29" s="186"/>
      <c r="J29" s="186"/>
      <c r="K29" s="37"/>
    </row>
    <row r="30" spans="7:11" x14ac:dyDescent="0.3">
      <c r="H30" s="37" t="s">
        <v>678</v>
      </c>
      <c r="I30" s="186"/>
      <c r="J30" s="186"/>
      <c r="K30" s="37"/>
    </row>
    <row r="31" spans="7:11" x14ac:dyDescent="0.3">
      <c r="H31" s="37" t="s">
        <v>104</v>
      </c>
      <c r="I31" s="186"/>
      <c r="J31" s="186"/>
      <c r="K31" s="37"/>
    </row>
    <row r="32" spans="7:11" x14ac:dyDescent="0.3">
      <c r="H32" s="37" t="s">
        <v>105</v>
      </c>
      <c r="I32" s="186"/>
      <c r="J32" s="186"/>
      <c r="K32" s="37"/>
    </row>
    <row r="33" spans="7:11" x14ac:dyDescent="0.3">
      <c r="G33" s="203" t="s">
        <v>106</v>
      </c>
      <c r="H33" s="37" t="s">
        <v>107</v>
      </c>
      <c r="I33" s="186"/>
      <c r="J33" s="186"/>
      <c r="K33" s="37"/>
    </row>
    <row r="34" spans="7:11" x14ac:dyDescent="0.3">
      <c r="H34" s="37" t="s">
        <v>108</v>
      </c>
      <c r="I34" s="186"/>
      <c r="J34" s="186"/>
      <c r="K34" s="37"/>
    </row>
    <row r="35" spans="7:11" ht="31.2" x14ac:dyDescent="0.3">
      <c r="G35" s="203" t="s">
        <v>110</v>
      </c>
      <c r="H35" s="37" t="s">
        <v>109</v>
      </c>
      <c r="I35" s="186"/>
      <c r="J35" s="186"/>
      <c r="K35" s="37"/>
    </row>
    <row r="36" spans="7:11" x14ac:dyDescent="0.3">
      <c r="H36" s="37" t="s">
        <v>111</v>
      </c>
      <c r="I36" s="186"/>
      <c r="J36" s="186"/>
      <c r="K36" s="37"/>
    </row>
    <row r="37" spans="7:11" x14ac:dyDescent="0.3">
      <c r="H37" s="37" t="s">
        <v>112</v>
      </c>
      <c r="I37" s="186"/>
      <c r="J37" s="186"/>
      <c r="K37" s="37"/>
    </row>
    <row r="38" spans="7:11" x14ac:dyDescent="0.3">
      <c r="G38" s="203" t="s">
        <v>114</v>
      </c>
      <c r="H38" s="37" t="s">
        <v>113</v>
      </c>
      <c r="I38" s="186"/>
      <c r="J38" s="186"/>
      <c r="K38" s="37"/>
    </row>
    <row r="39" spans="7:11" x14ac:dyDescent="0.3">
      <c r="H39" s="37" t="s">
        <v>115</v>
      </c>
      <c r="I39" s="186"/>
      <c r="J39" s="186"/>
      <c r="K39" s="37"/>
    </row>
    <row r="40" spans="7:11" x14ac:dyDescent="0.3">
      <c r="H40" s="84" t="s">
        <v>675</v>
      </c>
      <c r="I40" s="186"/>
      <c r="J40" s="186"/>
      <c r="K40" s="37"/>
    </row>
    <row r="41" spans="7:11" x14ac:dyDescent="0.3">
      <c r="H41" s="37" t="s">
        <v>674</v>
      </c>
      <c r="I41" s="186"/>
      <c r="J41" s="186"/>
      <c r="K41" s="37"/>
    </row>
    <row r="42" spans="7:11" ht="62.4" x14ac:dyDescent="0.3">
      <c r="H42" s="37" t="s">
        <v>676</v>
      </c>
      <c r="I42" s="186"/>
      <c r="J42" s="186"/>
      <c r="K42" s="37"/>
    </row>
    <row r="43" spans="7:11" ht="62.4" x14ac:dyDescent="0.3">
      <c r="H43" s="37" t="s">
        <v>677</v>
      </c>
      <c r="I43" s="186"/>
      <c r="J43" s="186"/>
      <c r="K43" s="37"/>
    </row>
    <row r="44" spans="7:11" ht="46.8" x14ac:dyDescent="0.3">
      <c r="H44" s="37" t="s">
        <v>679</v>
      </c>
      <c r="I44" s="186"/>
      <c r="J44" s="186"/>
      <c r="K44" s="37"/>
    </row>
    <row r="45" spans="7:11" ht="46.8" x14ac:dyDescent="0.3">
      <c r="H45" s="37" t="s">
        <v>680</v>
      </c>
      <c r="I45" s="186"/>
      <c r="J45" s="186"/>
      <c r="K45" s="37"/>
    </row>
    <row r="46" spans="7:11" ht="46.8" x14ac:dyDescent="0.3">
      <c r="H46" s="37" t="s">
        <v>684</v>
      </c>
      <c r="I46" s="186"/>
      <c r="J46" s="186"/>
      <c r="K46" s="37"/>
    </row>
    <row r="47" spans="7:11" ht="31.2" x14ac:dyDescent="0.3">
      <c r="H47" s="37" t="s">
        <v>681</v>
      </c>
      <c r="I47" s="186"/>
      <c r="J47" s="186"/>
      <c r="K47" s="37"/>
    </row>
    <row r="48" spans="7:11" ht="31.2" x14ac:dyDescent="0.3">
      <c r="H48" s="37" t="s">
        <v>683</v>
      </c>
      <c r="I48" s="186"/>
      <c r="J48" s="186"/>
      <c r="K48" s="37"/>
    </row>
    <row r="49" spans="8:11" ht="62.4" x14ac:dyDescent="0.3">
      <c r="H49" s="37" t="s">
        <v>685</v>
      </c>
      <c r="I49" s="186"/>
      <c r="J49" s="186"/>
      <c r="K49" s="37"/>
    </row>
    <row r="50" spans="8:11" x14ac:dyDescent="0.3">
      <c r="H50" s="37" t="s">
        <v>686</v>
      </c>
      <c r="I50" s="186"/>
      <c r="J50" s="186"/>
      <c r="K50" s="37"/>
    </row>
    <row r="51" spans="8:11" x14ac:dyDescent="0.3">
      <c r="H51" s="37" t="s">
        <v>692</v>
      </c>
      <c r="I51" s="186"/>
      <c r="J51" s="186"/>
    </row>
    <row r="52" spans="8:11" x14ac:dyDescent="0.3">
      <c r="H52" s="37" t="s">
        <v>693</v>
      </c>
      <c r="I52" s="186"/>
      <c r="J52" s="186"/>
    </row>
    <row r="53" spans="8:11" x14ac:dyDescent="0.3">
      <c r="H53" s="37" t="s">
        <v>697</v>
      </c>
      <c r="I53" s="186"/>
      <c r="J53" s="186"/>
    </row>
    <row r="54" spans="8:11" x14ac:dyDescent="0.3">
      <c r="H54" s="37" t="s">
        <v>699</v>
      </c>
      <c r="I54" s="186"/>
      <c r="J54" s="186"/>
    </row>
    <row r="55" spans="8:11" x14ac:dyDescent="0.3">
      <c r="H55" s="37" t="s">
        <v>700</v>
      </c>
      <c r="I55" s="186"/>
      <c r="J55" s="186"/>
    </row>
    <row r="56" spans="8:11" x14ac:dyDescent="0.3">
      <c r="H56" s="37" t="s">
        <v>742</v>
      </c>
      <c r="I56" s="186"/>
      <c r="J56" s="186"/>
    </row>
    <row r="57" spans="8:11" ht="46.8" x14ac:dyDescent="0.3">
      <c r="H57" s="37" t="s">
        <v>768</v>
      </c>
      <c r="I57" s="186"/>
      <c r="J57" s="186"/>
    </row>
    <row r="58" spans="8:11" ht="31.2" x14ac:dyDescent="0.3">
      <c r="H58" s="37" t="s">
        <v>769</v>
      </c>
      <c r="I58" s="186"/>
      <c r="J58" s="186"/>
    </row>
    <row r="59" spans="8:11" x14ac:dyDescent="0.3">
      <c r="H59" s="210"/>
      <c r="I59" s="186"/>
      <c r="J59" s="186"/>
    </row>
    <row r="60" spans="8:11" ht="46.8" x14ac:dyDescent="0.3">
      <c r="H60" s="37" t="s">
        <v>772</v>
      </c>
      <c r="I60" s="186"/>
      <c r="J60" s="186"/>
    </row>
    <row r="61" spans="8:11" ht="46.8" x14ac:dyDescent="0.3">
      <c r="H61" s="37" t="s">
        <v>774</v>
      </c>
      <c r="I61" s="186"/>
      <c r="J61" s="186"/>
    </row>
    <row r="62" spans="8:11" ht="46.8" x14ac:dyDescent="0.3">
      <c r="H62" s="37" t="s">
        <v>783</v>
      </c>
      <c r="I62" s="186"/>
      <c r="J62" s="186"/>
    </row>
    <row r="63" spans="8:11" x14ac:dyDescent="0.3">
      <c r="H63" s="37" t="s">
        <v>802</v>
      </c>
      <c r="I63" s="186"/>
      <c r="J63" s="186"/>
    </row>
    <row r="64" spans="8:11" ht="31.2" x14ac:dyDescent="0.3">
      <c r="H64" s="37" t="s">
        <v>810</v>
      </c>
      <c r="I64" s="186"/>
      <c r="J64" s="186"/>
    </row>
    <row r="65" spans="8:10" ht="62.4" x14ac:dyDescent="0.3">
      <c r="H65" s="37" t="s">
        <v>791</v>
      </c>
      <c r="I65" s="186"/>
      <c r="J65" s="186"/>
    </row>
    <row r="66" spans="8:10" ht="62.4" x14ac:dyDescent="0.3">
      <c r="H66" s="37" t="s">
        <v>792</v>
      </c>
      <c r="I66" s="186"/>
      <c r="J66" s="186"/>
    </row>
    <row r="67" spans="8:10" x14ac:dyDescent="0.3">
      <c r="H67" s="37" t="s">
        <v>793</v>
      </c>
      <c r="I67" s="186"/>
      <c r="J67" s="186"/>
    </row>
    <row r="68" spans="8:10" ht="31.2" x14ac:dyDescent="0.3">
      <c r="H68" s="37" t="s">
        <v>803</v>
      </c>
      <c r="I68" s="186"/>
      <c r="J68" s="186"/>
    </row>
    <row r="69" spans="8:10" ht="31.2" x14ac:dyDescent="0.3">
      <c r="H69" s="37" t="s">
        <v>806</v>
      </c>
      <c r="I69" s="186"/>
      <c r="J69" s="186"/>
    </row>
    <row r="70" spans="8:10" ht="31.2" x14ac:dyDescent="0.3">
      <c r="H70" s="37" t="s">
        <v>807</v>
      </c>
      <c r="I70" s="186"/>
      <c r="J70" s="186"/>
    </row>
    <row r="71" spans="8:10" ht="31.2" x14ac:dyDescent="0.3">
      <c r="H71" s="37" t="s">
        <v>809</v>
      </c>
      <c r="I71" s="186"/>
      <c r="J71" s="186"/>
    </row>
    <row r="72" spans="8:10" x14ac:dyDescent="0.3">
      <c r="H72" s="37" t="s">
        <v>812</v>
      </c>
      <c r="I72" s="186"/>
      <c r="J72" s="186"/>
    </row>
    <row r="73" spans="8:10" ht="31.2" x14ac:dyDescent="0.3">
      <c r="H73" s="37" t="s">
        <v>813</v>
      </c>
      <c r="I73" s="186"/>
      <c r="J73" s="186"/>
    </row>
    <row r="74" spans="8:10" ht="31.2" x14ac:dyDescent="0.3">
      <c r="H74" s="37" t="s">
        <v>814</v>
      </c>
      <c r="I74" s="186"/>
      <c r="J74" s="186"/>
    </row>
    <row r="75" spans="8:10" x14ac:dyDescent="0.3">
      <c r="H75" s="37" t="s">
        <v>107</v>
      </c>
      <c r="I75" s="186"/>
      <c r="J75" s="186"/>
    </row>
    <row r="76" spans="8:10" ht="46.8" x14ac:dyDescent="0.3">
      <c r="H76" s="37" t="s">
        <v>819</v>
      </c>
      <c r="I76" s="186"/>
      <c r="J76" s="186"/>
    </row>
    <row r="77" spans="8:10" ht="46.8" x14ac:dyDescent="0.3">
      <c r="H77" s="37" t="s">
        <v>820</v>
      </c>
      <c r="I77" s="186"/>
      <c r="J77" s="186"/>
    </row>
    <row r="78" spans="8:10" x14ac:dyDescent="0.3">
      <c r="H78" s="37" t="s">
        <v>837</v>
      </c>
      <c r="I78" s="186"/>
      <c r="J78" s="186"/>
    </row>
    <row r="79" spans="8:10" x14ac:dyDescent="0.3">
      <c r="H79" s="37" t="s">
        <v>25</v>
      </c>
      <c r="I79" s="186"/>
      <c r="J79" s="186"/>
    </row>
    <row r="80" spans="8:10" x14ac:dyDescent="0.3">
      <c r="H80" s="37" t="s">
        <v>25</v>
      </c>
      <c r="I80" s="186"/>
      <c r="J80" s="186"/>
    </row>
    <row r="81" spans="8:10" x14ac:dyDescent="0.3">
      <c r="H81" s="37" t="s">
        <v>25</v>
      </c>
      <c r="I81" s="186"/>
      <c r="J81" s="186"/>
    </row>
  </sheetData>
  <mergeCells count="3">
    <mergeCell ref="B2:C2"/>
    <mergeCell ref="D2:E2"/>
    <mergeCell ref="O2:P2"/>
  </mergeCells>
  <phoneticPr fontId="3" type="noConversion"/>
  <pageMargins left="0.7" right="0.7" top="0.75" bottom="0.75" header="0.3" footer="0.3"/>
  <ignoredErrors>
    <ignoredError sqref="E4:E10" numberStoredAsText="1"/>
  </ignoredErrors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55C03-5F6E-4E31-AF2E-0A4D730694FE}">
  <sheetPr codeName="Planilha17">
    <tabColor rgb="FF808080"/>
  </sheetPr>
  <dimension ref="B1:AX166"/>
  <sheetViews>
    <sheetView workbookViewId="0">
      <selection activeCell="H20" sqref="H20"/>
    </sheetView>
  </sheetViews>
  <sheetFormatPr defaultRowHeight="15.6" x14ac:dyDescent="0.3"/>
  <sheetData>
    <row r="1" spans="2:50" x14ac:dyDescent="0.3">
      <c r="Y1" s="95" t="s">
        <v>708</v>
      </c>
      <c r="Z1" t="str">
        <f>IFERROR(INDEX('Tabelas Auxiliares'!$P$4:$P$10,MATCH(DASHBOARD!$D$10,'Tabelas Auxiliares'!$O$4:$O$10,0)),"*")</f>
        <v>*</v>
      </c>
    </row>
    <row r="2" spans="2:50" x14ac:dyDescent="0.3">
      <c r="B2" s="95" t="s">
        <v>707</v>
      </c>
      <c r="AL2" t="s">
        <v>737</v>
      </c>
    </row>
    <row r="3" spans="2:50" x14ac:dyDescent="0.3">
      <c r="B3" s="96" t="s">
        <v>4</v>
      </c>
      <c r="C3" s="96" t="s">
        <v>5</v>
      </c>
      <c r="D3" s="96" t="s">
        <v>6</v>
      </c>
      <c r="E3" s="96" t="s">
        <v>7</v>
      </c>
      <c r="F3" s="96" t="s">
        <v>8</v>
      </c>
      <c r="G3" s="96" t="s">
        <v>0</v>
      </c>
      <c r="H3" s="96" t="s">
        <v>9</v>
      </c>
      <c r="I3" s="96" t="s">
        <v>1</v>
      </c>
      <c r="J3" s="96" t="s">
        <v>42</v>
      </c>
      <c r="K3" s="96" t="s">
        <v>43</v>
      </c>
      <c r="L3" s="96" t="s">
        <v>10</v>
      </c>
      <c r="M3" s="97">
        <f>'REGIÃO 01 - HISTÓRICO'!J2</f>
        <v>46023</v>
      </c>
      <c r="N3" s="97">
        <f>'REGIÃO 01 - HISTÓRICO'!L2</f>
        <v>46054</v>
      </c>
      <c r="O3" s="97">
        <f>'REGIÃO 01 - HISTÓRICO'!N2</f>
        <v>46082</v>
      </c>
      <c r="P3" s="97">
        <f>'REGIÃO 01 - HISTÓRICO'!P2</f>
        <v>46113</v>
      </c>
      <c r="Q3" s="97">
        <f>'REGIÃO 01 - HISTÓRICO'!R2</f>
        <v>46143</v>
      </c>
      <c r="R3" s="97">
        <f>'REGIÃO 01 - HISTÓRICO'!T2</f>
        <v>46174</v>
      </c>
      <c r="S3" s="97">
        <f>'REGIÃO 01 - HISTÓRICO'!V2</f>
        <v>46204</v>
      </c>
      <c r="T3" s="97">
        <f>'REGIÃO 01 - HISTÓRICO'!X2</f>
        <v>46235</v>
      </c>
      <c r="U3" s="97">
        <f>'REGIÃO 01 - HISTÓRICO'!Z2</f>
        <v>46266</v>
      </c>
      <c r="V3" s="97">
        <f>'REGIÃO 01 - HISTÓRICO'!AB2</f>
        <v>46296</v>
      </c>
      <c r="W3" s="97">
        <f>'REGIÃO 01 - HISTÓRICO'!AD2</f>
        <v>46327</v>
      </c>
      <c r="X3" s="97">
        <f>'REGIÃO 01 - HISTÓRICO'!AF2</f>
        <v>46357</v>
      </c>
      <c r="Z3" s="96" t="s">
        <v>9</v>
      </c>
      <c r="AA3" s="96" t="s">
        <v>709</v>
      </c>
      <c r="AB3" s="96" t="s">
        <v>1</v>
      </c>
      <c r="AC3" s="96" t="s">
        <v>710</v>
      </c>
      <c r="AD3" s="96" t="s">
        <v>711</v>
      </c>
      <c r="AF3" s="96" t="s">
        <v>4</v>
      </c>
      <c r="AG3" s="96" t="s">
        <v>6</v>
      </c>
      <c r="AH3" s="96" t="s">
        <v>1</v>
      </c>
      <c r="AI3" s="96" t="s">
        <v>710</v>
      </c>
      <c r="AJ3" s="96" t="s">
        <v>711</v>
      </c>
      <c r="AL3" s="96" t="s">
        <v>4</v>
      </c>
      <c r="AM3" s="96" t="s">
        <v>738</v>
      </c>
      <c r="AN3" s="96" t="s">
        <v>739</v>
      </c>
      <c r="AO3" s="96"/>
      <c r="AP3" s="96" t="s">
        <v>10</v>
      </c>
      <c r="AQ3" s="96" t="s">
        <v>709</v>
      </c>
      <c r="AR3" s="96"/>
      <c r="AS3" s="96" t="s">
        <v>730</v>
      </c>
      <c r="AT3" s="96" t="s">
        <v>740</v>
      </c>
      <c r="AU3" s="96" t="s">
        <v>741</v>
      </c>
      <c r="AV3" s="96"/>
      <c r="AW3" s="96" t="s">
        <v>9</v>
      </c>
      <c r="AX3" s="96" t="s">
        <v>738</v>
      </c>
    </row>
    <row r="4" spans="2:50" x14ac:dyDescent="0.3">
      <c r="B4" t="str">
        <f>'REGIÃO 01 - RESUMO'!C4</f>
        <v>R01</v>
      </c>
      <c r="C4" t="str">
        <f>'REGIÃO 01 - RESUMO'!D4</f>
        <v>040.2024</v>
      </c>
      <c r="D4" s="92">
        <f>'REGIÃO 01 - RESUMO'!E4</f>
        <v>73</v>
      </c>
      <c r="E4" t="str">
        <f>'REGIÃO 01 - RESUMO'!F4</f>
        <v>Janeiro</v>
      </c>
      <c r="F4" s="93">
        <f>'REGIÃO 01 - RESUMO'!H4</f>
        <v>3</v>
      </c>
      <c r="G4" t="str">
        <f>'REGIÃO 01 - RESUMO'!I4</f>
        <v>RODOVIA TO-010 - TRECHO ARAGUATINS - ENTR. TO-201</v>
      </c>
      <c r="H4" t="str">
        <f>'REGIÃO 01 - RESUMO'!J4</f>
        <v>Roçada</v>
      </c>
      <c r="I4">
        <f>'REGIÃO 01 - RESUMO'!K4</f>
        <v>24585.62</v>
      </c>
      <c r="J4">
        <f>'REGIÃO 01 - HISTÓRICO'!F4</f>
        <v>0</v>
      </c>
      <c r="K4">
        <f>'REGIÃO 01 - HISTÓRICO'!G4</f>
        <v>24585.62</v>
      </c>
      <c r="L4" s="93" t="str">
        <f>IF(OR('REGIÃO 01 - RESUMO'!L4="",'REGIÃO 01 - RESUMO'!L4=0),"",'REGIÃO 01 - RESUMO'!L4)</f>
        <v>Cancelada</v>
      </c>
      <c r="M4">
        <f>'REGIÃO 01 - HISTÓRICO'!J4</f>
        <v>0</v>
      </c>
      <c r="N4">
        <f>'REGIÃO 01 - HISTÓRICO'!L4</f>
        <v>0</v>
      </c>
      <c r="O4">
        <f>'REGIÃO 01 - HISTÓRICO'!N4</f>
        <v>0</v>
      </c>
      <c r="P4">
        <f>'REGIÃO 01 - HISTÓRICO'!P4</f>
        <v>0</v>
      </c>
      <c r="Q4">
        <f>'REGIÃO 01 - HISTÓRICO'!R4</f>
        <v>0</v>
      </c>
      <c r="R4">
        <f>'REGIÃO 01 - HISTÓRICO'!T4</f>
        <v>0</v>
      </c>
      <c r="S4">
        <f>'REGIÃO 01 - HISTÓRICO'!V4</f>
        <v>0</v>
      </c>
      <c r="T4">
        <f>'REGIÃO 01 - HISTÓRICO'!X4</f>
        <v>0</v>
      </c>
      <c r="U4">
        <f>'REGIÃO 01 - HISTÓRICO'!Z4</f>
        <v>0</v>
      </c>
      <c r="V4">
        <f>'REGIÃO 01 - HISTÓRICO'!AB4</f>
        <v>0</v>
      </c>
      <c r="W4">
        <f>'REGIÃO 01 - HISTÓRICO'!AD4</f>
        <v>0</v>
      </c>
      <c r="X4">
        <f>'REGIÃO 01 - HISTÓRICO'!AF4</f>
        <v>0</v>
      </c>
      <c r="Z4" t="str" cm="1">
        <f t="array" ref="Z4:Z54">_xlfn._xlws.SORT(_xlfn.UNIQUE(_xlfn._xlws.FILTER($H$4:$H$166,$H$4:$H$166&lt;&gt;"")))</f>
        <v xml:space="preserve"> Roçada / Caiação de EDS e pontes</v>
      </c>
      <c r="AA4">
        <f t="shared" ref="AA4:AA35" si="0">IF($Z4="","",COUNTIFS($H$4:$H$166,$Z4,$B$4:$B$166,$Z$1))</f>
        <v>3</v>
      </c>
      <c r="AB4">
        <f t="shared" ref="AB4:AB35" si="1">IF($Z4="","",SUMIFS($I$4:$I$166,$H$4:$H$166,$Z4,$B$4:$B$166,$Z$1))</f>
        <v>108330.83</v>
      </c>
      <c r="AC4">
        <f t="shared" ref="AC4:AC35" si="2">IF($Z4="","",$AB4-ROW()/1000000)</f>
        <v>108330.829996</v>
      </c>
      <c r="AD4">
        <f t="shared" ref="AD4:AD35" si="3">IFERROR(RANK($AC4,$AC$4:$AC$59),"")</f>
        <v>41</v>
      </c>
      <c r="AF4" t="str">
        <f t="shared" ref="AF4:AF35" si="4">$B4</f>
        <v>R01</v>
      </c>
      <c r="AG4" t="str">
        <f t="shared" ref="AG4:AG35" si="5">$C4&amp;"."&amp;TEXT($D4,"0000")</f>
        <v>040.2024.0073</v>
      </c>
      <c r="AH4">
        <f t="shared" ref="AH4:AH35" si="6">IF(OR($Z$1="*",COUNTIF($B4,$Z$1)=1),$I4,-1)</f>
        <v>24585.62</v>
      </c>
      <c r="AI4">
        <f t="shared" ref="AI4:AI35" si="7">IF($AH4&lt;0,"",$AH4-ROW()/1000000)</f>
        <v>24585.619995999998</v>
      </c>
      <c r="AJ4">
        <f t="shared" ref="AJ4:AJ35" si="8">IFERROR(RANK($AI4,$AI$4:$AI$166),"")</f>
        <v>110</v>
      </c>
      <c r="AL4">
        <f>DASHBOARD!$B$47</f>
        <v>0</v>
      </c>
      <c r="AM4">
        <f>DASHBOARD!$F$47</f>
        <v>0</v>
      </c>
      <c r="AN4">
        <f>DASHBOARD!$G$47</f>
        <v>0</v>
      </c>
      <c r="AP4">
        <f>DASHBOARD!$B$57</f>
        <v>0</v>
      </c>
      <c r="AQ4">
        <f>DASHBOARD!$D$57</f>
        <v>0</v>
      </c>
      <c r="AS4" s="90">
        <f>DASHBOARD!$D$67</f>
        <v>0</v>
      </c>
      <c r="AT4">
        <f>DASHBOARD!$D$68</f>
        <v>0</v>
      </c>
      <c r="AU4">
        <f>DASHBOARD!$D$69</f>
        <v>0</v>
      </c>
      <c r="AW4" t="str">
        <f>DETALHAMENTO!$J$8</f>
        <v xml:space="preserve">Reciclagem do pavimento e execução de TSD / Fornecimento e aplicação de CBUQ / Sinalização de Obras </v>
      </c>
      <c r="AX4">
        <f>DETALHAMENTO!$O$8</f>
        <v>22223742.859999999</v>
      </c>
    </row>
    <row r="5" spans="2:50" x14ac:dyDescent="0.3">
      <c r="B5" t="str">
        <f>'REGIÃO 01 - RESUMO'!C5</f>
        <v>R01</v>
      </c>
      <c r="C5" t="str">
        <f>'REGIÃO 01 - RESUMO'!D5</f>
        <v>040.2024</v>
      </c>
      <c r="D5" s="92">
        <f>'REGIÃO 01 - RESUMO'!E5</f>
        <v>74</v>
      </c>
      <c r="E5" s="91" t="str">
        <f>'REGIÃO 01 - RESUMO'!F5</f>
        <v>Janeiro</v>
      </c>
      <c r="F5" s="93">
        <f>'REGIÃO 01 - RESUMO'!H5</f>
        <v>4</v>
      </c>
      <c r="G5" t="str">
        <f>'REGIÃO 01 - RESUMO'!I5</f>
        <v>RODOVIA TO-010 - TRECHO BURITI DO TOCANTINS (ENTR. TO-201) - SÃO SEBASTIÃO DO TOCANTINS</v>
      </c>
      <c r="H5" s="91" t="str">
        <f>'REGIÃO 01 - RESUMO'!J5</f>
        <v>Roçada</v>
      </c>
      <c r="I5">
        <f>'REGIÃO 01 - RESUMO'!K5</f>
        <v>5454.88</v>
      </c>
      <c r="J5">
        <f>'REGIÃO 01 - HISTÓRICO'!F5</f>
        <v>0</v>
      </c>
      <c r="K5">
        <f>'REGIÃO 01 - HISTÓRICO'!G5</f>
        <v>5454.88</v>
      </c>
      <c r="L5" t="str">
        <f>IF(OR('REGIÃO 01 - RESUMO'!L5="",'REGIÃO 01 - RESUMO'!L5=0),"",'REGIÃO 01 - RESUMO'!L5)</f>
        <v>Cancelada</v>
      </c>
      <c r="M5">
        <f>'REGIÃO 01 - HISTÓRICO'!J5</f>
        <v>0</v>
      </c>
      <c r="N5">
        <f>'REGIÃO 01 - HISTÓRICO'!L5</f>
        <v>0</v>
      </c>
      <c r="O5">
        <f>'REGIÃO 01 - HISTÓRICO'!N5</f>
        <v>0</v>
      </c>
      <c r="P5">
        <f>'REGIÃO 01 - HISTÓRICO'!P5</f>
        <v>0</v>
      </c>
      <c r="Q5">
        <f>'REGIÃO 01 - HISTÓRICO'!R5</f>
        <v>0</v>
      </c>
      <c r="R5">
        <f>'REGIÃO 01 - HISTÓRICO'!T5</f>
        <v>0</v>
      </c>
      <c r="S5">
        <f>'REGIÃO 01 - HISTÓRICO'!V5</f>
        <v>0</v>
      </c>
      <c r="T5">
        <f>'REGIÃO 01 - HISTÓRICO'!X5</f>
        <v>0</v>
      </c>
      <c r="U5">
        <f>'REGIÃO 01 - HISTÓRICO'!Z5</f>
        <v>0</v>
      </c>
      <c r="V5">
        <f>'REGIÃO 01 - HISTÓRICO'!AB5</f>
        <v>0</v>
      </c>
      <c r="W5">
        <f>'REGIÃO 01 - HISTÓRICO'!AD5</f>
        <v>0</v>
      </c>
      <c r="X5">
        <f>'REGIÃO 01 - HISTÓRICO'!AF5</f>
        <v>0</v>
      </c>
      <c r="Z5" t="str">
        <v xml:space="preserve"> Roçada / Tapa-Buraco CAE</v>
      </c>
      <c r="AA5">
        <f t="shared" si="0"/>
        <v>1</v>
      </c>
      <c r="AB5">
        <f t="shared" si="1"/>
        <v>169859.47</v>
      </c>
      <c r="AC5">
        <f t="shared" si="2"/>
        <v>169859.46999499999</v>
      </c>
      <c r="AD5">
        <f t="shared" si="3"/>
        <v>35</v>
      </c>
      <c r="AF5" t="str">
        <f t="shared" si="4"/>
        <v>R01</v>
      </c>
      <c r="AG5" t="str">
        <f t="shared" si="5"/>
        <v>040.2024.0074</v>
      </c>
      <c r="AH5">
        <f t="shared" si="6"/>
        <v>5454.88</v>
      </c>
      <c r="AI5">
        <f t="shared" si="7"/>
        <v>5454.8799950000002</v>
      </c>
      <c r="AJ5">
        <f t="shared" si="8"/>
        <v>142</v>
      </c>
      <c r="AL5">
        <f>DASHBOARD!$B$48</f>
        <v>0</v>
      </c>
      <c r="AM5">
        <f>DASHBOARD!$F$48</f>
        <v>0</v>
      </c>
      <c r="AN5">
        <f>DASHBOARD!$G$48</f>
        <v>0</v>
      </c>
      <c r="AP5">
        <f>DASHBOARD!$B$58</f>
        <v>0</v>
      </c>
      <c r="AQ5">
        <f>DASHBOARD!$D$58</f>
        <v>0</v>
      </c>
      <c r="AS5" s="90">
        <f>DASHBOARD!$E$67</f>
        <v>0</v>
      </c>
      <c r="AT5">
        <f>DASHBOARD!$E$68</f>
        <v>0</v>
      </c>
      <c r="AU5">
        <f>DASHBOARD!$E$69</f>
        <v>0</v>
      </c>
      <c r="AW5" t="str">
        <f>DETALHAMENTO!$J$9</f>
        <v xml:space="preserve">Reciclagem do pavimento e execução de TSD / Microrrevestimento asfáltico 8 mm / Sinalização de Obras </v>
      </c>
      <c r="AX5">
        <f>DETALHAMENTO!$O$9</f>
        <v>15760782.74</v>
      </c>
    </row>
    <row r="6" spans="2:50" x14ac:dyDescent="0.3">
      <c r="B6" t="str">
        <f>'REGIÃO 01 - RESUMO'!C6</f>
        <v>R01</v>
      </c>
      <c r="C6" t="str">
        <f>'REGIÃO 01 - RESUMO'!D6</f>
        <v>040.2024</v>
      </c>
      <c r="D6" s="92">
        <f>'REGIÃO 01 - RESUMO'!E6</f>
        <v>75</v>
      </c>
      <c r="E6" s="91" t="str">
        <f>'REGIÃO 01 - RESUMO'!F6</f>
        <v>Janeiro</v>
      </c>
      <c r="F6" s="93">
        <f>'REGIÃO 01 - RESUMO'!H6</f>
        <v>6</v>
      </c>
      <c r="G6" t="str">
        <f>'REGIÃO 01 - RESUMO'!I6</f>
        <v>RODOVIA TO-126 - TRECHO MAURILÂNDIA - TOCANTINÓPOLIS</v>
      </c>
      <c r="H6" s="91" t="str">
        <f>'REGIÃO 01 - RESUMO'!J6</f>
        <v>Tapa-Buraco CAE / Remendo Profundo</v>
      </c>
      <c r="I6">
        <f>'REGIÃO 01 - RESUMO'!K6</f>
        <v>106795.11</v>
      </c>
      <c r="J6">
        <f>'REGIÃO 01 - HISTÓRICO'!F6</f>
        <v>104965.86</v>
      </c>
      <c r="K6">
        <f>'REGIÃO 01 - HISTÓRICO'!G6</f>
        <v>1829.25</v>
      </c>
      <c r="L6" t="str">
        <f>IF(OR('REGIÃO 01 - RESUMO'!L6="",'REGIÃO 01 - RESUMO'!L6=0),"",'REGIÃO 01 - RESUMO'!L6)</f>
        <v>Concluída</v>
      </c>
      <c r="M6">
        <f>'REGIÃO 01 - HISTÓRICO'!J6</f>
        <v>0</v>
      </c>
      <c r="N6">
        <f>'REGIÃO 01 - HISTÓRICO'!L6</f>
        <v>104965.86</v>
      </c>
      <c r="O6">
        <f>'REGIÃO 01 - HISTÓRICO'!N6</f>
        <v>0</v>
      </c>
      <c r="P6">
        <f>'REGIÃO 01 - HISTÓRICO'!P6</f>
        <v>0</v>
      </c>
      <c r="Q6">
        <f>'REGIÃO 01 - HISTÓRICO'!R6</f>
        <v>0</v>
      </c>
      <c r="R6">
        <f>'REGIÃO 01 - HISTÓRICO'!T6</f>
        <v>0</v>
      </c>
      <c r="S6">
        <f>'REGIÃO 01 - HISTÓRICO'!V6</f>
        <v>0</v>
      </c>
      <c r="T6">
        <f>'REGIÃO 01 - HISTÓRICO'!X6</f>
        <v>0</v>
      </c>
      <c r="U6">
        <f>'REGIÃO 01 - HISTÓRICO'!Z6</f>
        <v>0</v>
      </c>
      <c r="V6">
        <f>'REGIÃO 01 - HISTÓRICO'!AB6</f>
        <v>0</v>
      </c>
      <c r="W6">
        <f>'REGIÃO 01 - HISTÓRICO'!AD6</f>
        <v>0</v>
      </c>
      <c r="X6">
        <f>'REGIÃO 01 - HISTÓRICO'!AF6</f>
        <v>0</v>
      </c>
      <c r="Z6" t="str">
        <v xml:space="preserve"> Roçada / Tapa-Buraco PMF</v>
      </c>
      <c r="AA6">
        <f t="shared" si="0"/>
        <v>1</v>
      </c>
      <c r="AB6">
        <f t="shared" si="1"/>
        <v>273539.46999999997</v>
      </c>
      <c r="AC6">
        <f t="shared" si="2"/>
        <v>273539.46999399998</v>
      </c>
      <c r="AD6">
        <f t="shared" si="3"/>
        <v>30</v>
      </c>
      <c r="AF6" t="str">
        <f t="shared" si="4"/>
        <v>R01</v>
      </c>
      <c r="AG6" t="str">
        <f t="shared" si="5"/>
        <v>040.2024.0075</v>
      </c>
      <c r="AH6">
        <f t="shared" si="6"/>
        <v>106795.11</v>
      </c>
      <c r="AI6">
        <f t="shared" si="7"/>
        <v>106795.109994</v>
      </c>
      <c r="AJ6">
        <f t="shared" si="8"/>
        <v>69</v>
      </c>
      <c r="AL6">
        <f>DASHBOARD!$B$49</f>
        <v>0</v>
      </c>
      <c r="AM6">
        <f>DASHBOARD!$F$49</f>
        <v>0</v>
      </c>
      <c r="AN6">
        <f>DASHBOARD!$G$49</f>
        <v>0</v>
      </c>
      <c r="AP6">
        <f>DASHBOARD!$B$59</f>
        <v>0</v>
      </c>
      <c r="AQ6">
        <f>DASHBOARD!$D$59</f>
        <v>0</v>
      </c>
      <c r="AS6" s="90">
        <f>DASHBOARD!$F$67</f>
        <v>0</v>
      </c>
      <c r="AT6">
        <f>DASHBOARD!$F$68</f>
        <v>0</v>
      </c>
      <c r="AU6">
        <f>DASHBOARD!$F$69</f>
        <v>0</v>
      </c>
      <c r="AW6" t="str">
        <f>DETALHAMENTO!$J$10</f>
        <v>Terraplenagem / Reconformação da plataforma / Recomposição do revestimento primário</v>
      </c>
      <c r="AX6">
        <f>DETALHAMENTO!$O$10</f>
        <v>8005398.5</v>
      </c>
    </row>
    <row r="7" spans="2:50" x14ac:dyDescent="0.3">
      <c r="B7" t="str">
        <f>'REGIÃO 01 - RESUMO'!C7</f>
        <v>R01</v>
      </c>
      <c r="C7" t="str">
        <f>'REGIÃO 01 - RESUMO'!D7</f>
        <v>040.2024</v>
      </c>
      <c r="D7" s="92">
        <f>'REGIÃO 01 - RESUMO'!E7</f>
        <v>76</v>
      </c>
      <c r="E7" s="91" t="str">
        <f>'REGIÃO 01 - RESUMO'!F7</f>
        <v>Janeiro</v>
      </c>
      <c r="F7" s="93">
        <f>'REGIÃO 01 - RESUMO'!H7</f>
        <v>9</v>
      </c>
      <c r="G7" t="str">
        <f>'REGIÃO 01 - RESUMO'!I7</f>
        <v>RODOVIA TO-126 - TRECHO SUMAUMA - SÍTIO NOVO DO TOCANTINS</v>
      </c>
      <c r="H7" s="91" t="str">
        <f>'REGIÃO 01 - RESUMO'!J7</f>
        <v>Tapa-Buraco CAE / Remendo Profundo</v>
      </c>
      <c r="I7">
        <f>'REGIÃO 01 - RESUMO'!K7</f>
        <v>258027.71</v>
      </c>
      <c r="J7">
        <f>'REGIÃO 01 - HISTÓRICO'!F7</f>
        <v>168894.34</v>
      </c>
      <c r="K7">
        <f>'REGIÃO 01 - HISTÓRICO'!G7</f>
        <v>89133.37</v>
      </c>
      <c r="L7" t="str">
        <f>IF(OR('REGIÃO 01 - RESUMO'!L7="",'REGIÃO 01 - RESUMO'!L7=0),"",'REGIÃO 01 - RESUMO'!L7)</f>
        <v>Concluída</v>
      </c>
      <c r="M7">
        <f>'REGIÃO 01 - HISTÓRICO'!J7</f>
        <v>168894.34</v>
      </c>
      <c r="N7">
        <f>'REGIÃO 01 - HISTÓRICO'!L7</f>
        <v>0</v>
      </c>
      <c r="O7">
        <f>'REGIÃO 01 - HISTÓRICO'!N7</f>
        <v>0</v>
      </c>
      <c r="P7">
        <f>'REGIÃO 01 - HISTÓRICO'!P7</f>
        <v>0</v>
      </c>
      <c r="Q7">
        <f>'REGIÃO 01 - HISTÓRICO'!R7</f>
        <v>0</v>
      </c>
      <c r="R7">
        <f>'REGIÃO 01 - HISTÓRICO'!T7</f>
        <v>0</v>
      </c>
      <c r="S7">
        <f>'REGIÃO 01 - HISTÓRICO'!V7</f>
        <v>0</v>
      </c>
      <c r="T7">
        <f>'REGIÃO 01 - HISTÓRICO'!X7</f>
        <v>0</v>
      </c>
      <c r="U7">
        <f>'REGIÃO 01 - HISTÓRICO'!Z7</f>
        <v>0</v>
      </c>
      <c r="V7">
        <f>'REGIÃO 01 - HISTÓRICO'!AB7</f>
        <v>0</v>
      </c>
      <c r="W7">
        <f>'REGIÃO 01 - HISTÓRICO'!AD7</f>
        <v>0</v>
      </c>
      <c r="X7">
        <f>'REGIÃO 01 - HISTÓRICO'!AF7</f>
        <v>0</v>
      </c>
      <c r="Z7" t="str">
        <v xml:space="preserve"> Roçada / Tapa-Buraco PMF / Caiação de EDS e pontes</v>
      </c>
      <c r="AA7">
        <f t="shared" si="0"/>
        <v>2</v>
      </c>
      <c r="AB7">
        <f t="shared" si="1"/>
        <v>969016.27</v>
      </c>
      <c r="AC7">
        <f t="shared" si="2"/>
        <v>969016.26999299997</v>
      </c>
      <c r="AD7">
        <f t="shared" si="3"/>
        <v>15</v>
      </c>
      <c r="AF7" t="str">
        <f t="shared" si="4"/>
        <v>R01</v>
      </c>
      <c r="AG7" t="str">
        <f t="shared" si="5"/>
        <v>040.2024.0076</v>
      </c>
      <c r="AH7">
        <f t="shared" si="6"/>
        <v>258027.71</v>
      </c>
      <c r="AI7">
        <f t="shared" si="7"/>
        <v>258027.709993</v>
      </c>
      <c r="AJ7">
        <f t="shared" si="8"/>
        <v>49</v>
      </c>
      <c r="AL7">
        <f>DASHBOARD!$B$50</f>
        <v>0</v>
      </c>
      <c r="AM7">
        <f>DASHBOARD!$F$50</f>
        <v>0</v>
      </c>
      <c r="AN7">
        <f>DASHBOARD!$G$50</f>
        <v>0</v>
      </c>
      <c r="AP7">
        <f>DASHBOARD!$B$60</f>
        <v>0</v>
      </c>
      <c r="AQ7">
        <f>DASHBOARD!$D$60</f>
        <v>0</v>
      </c>
      <c r="AS7" s="90">
        <f>DASHBOARD!$G$67</f>
        <v>0</v>
      </c>
      <c r="AT7">
        <f>DASHBOARD!$G$68</f>
        <v>0</v>
      </c>
      <c r="AU7">
        <f>DASHBOARD!$G$69</f>
        <v>0</v>
      </c>
      <c r="AW7" t="str">
        <f>DETALHAMENTO!$J$11</f>
        <v xml:space="preserve">Reciclagem do pavimento e execução de TSD / Microrrevestimento asfáltico 8 mm / Fornecimento e aplicação de CBUQ / Sinalização de Obras </v>
      </c>
      <c r="AX7">
        <f>DETALHAMENTO!$O$11</f>
        <v>5839446.1399999997</v>
      </c>
    </row>
    <row r="8" spans="2:50" x14ac:dyDescent="0.3">
      <c r="B8" t="str">
        <f>'REGIÃO 01 - RESUMO'!C8</f>
        <v>R01</v>
      </c>
      <c r="C8" t="str">
        <f>'REGIÃO 01 - RESUMO'!D8</f>
        <v>040.2024</v>
      </c>
      <c r="D8" s="92">
        <f>'REGIÃO 01 - RESUMO'!E8</f>
        <v>77</v>
      </c>
      <c r="E8" s="91" t="str">
        <f>'REGIÃO 01 - RESUMO'!F8</f>
        <v>Janeiro</v>
      </c>
      <c r="F8" s="93">
        <f>'REGIÃO 01 - RESUMO'!H8</f>
        <v>18</v>
      </c>
      <c r="G8" t="str">
        <f>'REGIÃO 01 - RESUMO'!I8</f>
        <v>RODOVIA TO-201 - TRECHO AUGUSTINÓPOLIS - BURITI DO TOCANTINS</v>
      </c>
      <c r="H8" s="91" t="str">
        <f>'REGIÃO 01 - RESUMO'!J8</f>
        <v>Roçada</v>
      </c>
      <c r="I8">
        <f>'REGIÃO 01 - RESUMO'!K8</f>
        <v>23817.42</v>
      </c>
      <c r="J8">
        <f>'REGIÃO 01 - HISTÓRICO'!F8</f>
        <v>15958.57</v>
      </c>
      <c r="K8">
        <f>'REGIÃO 01 - HISTÓRICO'!G8</f>
        <v>7858.8499999999985</v>
      </c>
      <c r="L8" t="str">
        <f>IF(OR('REGIÃO 01 - RESUMO'!L8="",'REGIÃO 01 - RESUMO'!L8=0),"",'REGIÃO 01 - RESUMO'!L8)</f>
        <v>Concluída</v>
      </c>
      <c r="M8">
        <f>'REGIÃO 01 - HISTÓRICO'!J8</f>
        <v>15958.57</v>
      </c>
      <c r="N8">
        <f>'REGIÃO 01 - HISTÓRICO'!L8</f>
        <v>0</v>
      </c>
      <c r="O8">
        <f>'REGIÃO 01 - HISTÓRICO'!N8</f>
        <v>0</v>
      </c>
      <c r="P8">
        <f>'REGIÃO 01 - HISTÓRICO'!P8</f>
        <v>0</v>
      </c>
      <c r="Q8">
        <f>'REGIÃO 01 - HISTÓRICO'!R8</f>
        <v>0</v>
      </c>
      <c r="R8">
        <f>'REGIÃO 01 - HISTÓRICO'!T8</f>
        <v>0</v>
      </c>
      <c r="S8">
        <f>'REGIÃO 01 - HISTÓRICO'!V8</f>
        <v>0</v>
      </c>
      <c r="T8">
        <f>'REGIÃO 01 - HISTÓRICO'!X8</f>
        <v>0</v>
      </c>
      <c r="U8">
        <f>'REGIÃO 01 - HISTÓRICO'!Z8</f>
        <v>0</v>
      </c>
      <c r="V8">
        <f>'REGIÃO 01 - HISTÓRICO'!AB8</f>
        <v>0</v>
      </c>
      <c r="W8">
        <f>'REGIÃO 01 - HISTÓRICO'!AD8</f>
        <v>0</v>
      </c>
      <c r="X8">
        <f>'REGIÃO 01 - HISTÓRICO'!AF8</f>
        <v>0</v>
      </c>
      <c r="Z8" t="str">
        <v>Drenagem</v>
      </c>
      <c r="AA8">
        <f t="shared" si="0"/>
        <v>1</v>
      </c>
      <c r="AB8">
        <f t="shared" si="1"/>
        <v>3317978.7</v>
      </c>
      <c r="AC8">
        <f t="shared" si="2"/>
        <v>3317978.6999920001</v>
      </c>
      <c r="AD8">
        <f t="shared" si="3"/>
        <v>8</v>
      </c>
      <c r="AF8" t="str">
        <f t="shared" si="4"/>
        <v>R01</v>
      </c>
      <c r="AG8" t="str">
        <f t="shared" si="5"/>
        <v>040.2024.0077</v>
      </c>
      <c r="AH8">
        <f t="shared" si="6"/>
        <v>23817.42</v>
      </c>
      <c r="AI8">
        <f t="shared" si="7"/>
        <v>23817.419991999999</v>
      </c>
      <c r="AJ8">
        <f t="shared" si="8"/>
        <v>113</v>
      </c>
      <c r="AL8">
        <f>DASHBOARD!$B$51</f>
        <v>0</v>
      </c>
      <c r="AM8">
        <f>DASHBOARD!$F$51</f>
        <v>0</v>
      </c>
      <c r="AN8">
        <f>DASHBOARD!$G$51</f>
        <v>0</v>
      </c>
      <c r="AP8">
        <f>DASHBOARD!$B$61</f>
        <v>0</v>
      </c>
      <c r="AQ8">
        <f>DASHBOARD!$D$61</f>
        <v>0</v>
      </c>
      <c r="AS8" s="90">
        <f>DASHBOARD!$H$67</f>
        <v>0</v>
      </c>
      <c r="AT8">
        <f>DASHBOARD!$H$68</f>
        <v>0</v>
      </c>
      <c r="AU8">
        <f>DASHBOARD!$H$69</f>
        <v>0</v>
      </c>
      <c r="AW8" t="str">
        <f>DETALHAMENTO!$J$12</f>
        <v>Reciclagem do pavimento e execução de TSD / Microrrevestimento asfáltico 8 mm</v>
      </c>
      <c r="AX8">
        <f>DETALHAMENTO!$O$12</f>
        <v>5613050.5800000001</v>
      </c>
    </row>
    <row r="9" spans="2:50" x14ac:dyDescent="0.3">
      <c r="B9" t="str">
        <f>'REGIÃO 01 - RESUMO'!C9</f>
        <v>R01</v>
      </c>
      <c r="C9" t="str">
        <f>'REGIÃO 01 - RESUMO'!D9</f>
        <v>040.2024</v>
      </c>
      <c r="D9" s="92">
        <f>'REGIÃO 01 - RESUMO'!E9</f>
        <v>78</v>
      </c>
      <c r="E9" s="91" t="str">
        <f>'REGIÃO 01 - RESUMO'!F9</f>
        <v>Janeiro</v>
      </c>
      <c r="F9" s="93">
        <f>'REGIÃO 01 - RESUMO'!H9</f>
        <v>19</v>
      </c>
      <c r="G9" t="str">
        <f>'REGIÃO 01 - RESUMO'!I9</f>
        <v>RODOVIA TO-201 - TRECHO BURITI DO TOCANTINS - ESPERANTINA</v>
      </c>
      <c r="H9" s="91" t="str">
        <f>'REGIÃO 01 - RESUMO'!J9</f>
        <v>Roçada</v>
      </c>
      <c r="I9">
        <f>'REGIÃO 01 - RESUMO'!K9</f>
        <v>25192.71</v>
      </c>
      <c r="J9">
        <f>'REGIÃO 01 - HISTÓRICO'!F9</f>
        <v>0</v>
      </c>
      <c r="K9">
        <f>'REGIÃO 01 - HISTÓRICO'!G9</f>
        <v>25192.71</v>
      </c>
      <c r="L9" t="str">
        <f>IF(OR('REGIÃO 01 - RESUMO'!L9="",'REGIÃO 01 - RESUMO'!L9=0),"",'REGIÃO 01 - RESUMO'!L9)</f>
        <v>Cancelada</v>
      </c>
      <c r="M9">
        <f>'REGIÃO 01 - HISTÓRICO'!J9</f>
        <v>0</v>
      </c>
      <c r="N9">
        <f>'REGIÃO 01 - HISTÓRICO'!L9</f>
        <v>0</v>
      </c>
      <c r="O9">
        <f>'REGIÃO 01 - HISTÓRICO'!N9</f>
        <v>0</v>
      </c>
      <c r="P9">
        <f>'REGIÃO 01 - HISTÓRICO'!P9</f>
        <v>0</v>
      </c>
      <c r="Q9">
        <f>'REGIÃO 01 - HISTÓRICO'!R9</f>
        <v>0</v>
      </c>
      <c r="R9">
        <f>'REGIÃO 01 - HISTÓRICO'!T9</f>
        <v>0</v>
      </c>
      <c r="S9">
        <f>'REGIÃO 01 - HISTÓRICO'!V9</f>
        <v>0</v>
      </c>
      <c r="T9">
        <f>'REGIÃO 01 - HISTÓRICO'!X9</f>
        <v>0</v>
      </c>
      <c r="U9">
        <f>'REGIÃO 01 - HISTÓRICO'!Z9</f>
        <v>0</v>
      </c>
      <c r="V9">
        <f>'REGIÃO 01 - HISTÓRICO'!AB9</f>
        <v>0</v>
      </c>
      <c r="W9">
        <f>'REGIÃO 01 - HISTÓRICO'!AD9</f>
        <v>0</v>
      </c>
      <c r="X9">
        <f>'REGIÃO 01 - HISTÓRICO'!AF9</f>
        <v>0</v>
      </c>
      <c r="Z9" t="str">
        <v>Enrocamento de pedra arrumada / Enrocamento de pedra jogada / Terraplenagem / Execução de BSTC 100 / Reconformação da plataforma / Recomposição do revestimento primário</v>
      </c>
      <c r="AA9">
        <f t="shared" si="0"/>
        <v>2</v>
      </c>
      <c r="AB9">
        <f t="shared" si="1"/>
        <v>2005815.07</v>
      </c>
      <c r="AC9">
        <f t="shared" si="2"/>
        <v>2005815.069991</v>
      </c>
      <c r="AD9">
        <f t="shared" si="3"/>
        <v>9</v>
      </c>
      <c r="AF9" t="str">
        <f t="shared" si="4"/>
        <v>R01</v>
      </c>
      <c r="AG9" t="str">
        <f t="shared" si="5"/>
        <v>040.2024.0078</v>
      </c>
      <c r="AH9">
        <f t="shared" si="6"/>
        <v>25192.71</v>
      </c>
      <c r="AI9">
        <f t="shared" si="7"/>
        <v>25192.709991</v>
      </c>
      <c r="AJ9">
        <f t="shared" si="8"/>
        <v>108</v>
      </c>
      <c r="AL9">
        <f>DASHBOARD!$B$52</f>
        <v>0</v>
      </c>
      <c r="AM9">
        <f>DASHBOARD!$F$52</f>
        <v>0</v>
      </c>
      <c r="AN9">
        <f>DASHBOARD!$G$52</f>
        <v>0</v>
      </c>
      <c r="AP9">
        <f>DASHBOARD!$B$62</f>
        <v>0</v>
      </c>
      <c r="AQ9">
        <f>DASHBOARD!$D$62</f>
        <v>0</v>
      </c>
      <c r="AS9" s="90">
        <f>DASHBOARD!$I$67</f>
        <v>0</v>
      </c>
      <c r="AT9">
        <f>DASHBOARD!$I$68</f>
        <v>0</v>
      </c>
      <c r="AU9">
        <f>DASHBOARD!$I$69</f>
        <v>0</v>
      </c>
      <c r="AW9" t="str">
        <f>DETALHAMENTO!$J$13</f>
        <v xml:space="preserve">Reciclagem do pavimento e execução de TSD / Sinalização de Obras </v>
      </c>
      <c r="AX9">
        <f>DETALHAMENTO!$O$13</f>
        <v>5404603.7400000002</v>
      </c>
    </row>
    <row r="10" spans="2:50" x14ac:dyDescent="0.3">
      <c r="B10" t="str">
        <f>'REGIÃO 01 - RESUMO'!C10</f>
        <v>R01</v>
      </c>
      <c r="C10" t="str">
        <f>'REGIÃO 01 - RESUMO'!D10</f>
        <v>040.2024</v>
      </c>
      <c r="D10" s="92">
        <f>'REGIÃO 01 - RESUMO'!E10</f>
        <v>79</v>
      </c>
      <c r="E10" s="91" t="str">
        <f>'REGIÃO 01 - RESUMO'!F10</f>
        <v>Janeiro</v>
      </c>
      <c r="F10" s="93">
        <f>'REGIÃO 01 - RESUMO'!H10</f>
        <v>28</v>
      </c>
      <c r="G10" t="str">
        <f>'REGIÃO 01 - RESUMO'!I10</f>
        <v>RODOVIA TO-403 - TRECHO SAMPAIO - ENTR. TO-404 (ITAÚBA)</v>
      </c>
      <c r="H10" s="91" t="str">
        <f>'REGIÃO 01 - RESUMO'!J10</f>
        <v>Roçada</v>
      </c>
      <c r="I10">
        <f>'REGIÃO 01 - RESUMO'!K10</f>
        <v>5117.6000000000004</v>
      </c>
      <c r="J10">
        <f>'REGIÃO 01 - HISTÓRICO'!F10</f>
        <v>0</v>
      </c>
      <c r="K10">
        <f>'REGIÃO 01 - HISTÓRICO'!G10</f>
        <v>5117.6000000000004</v>
      </c>
      <c r="L10" t="str">
        <f>IF(OR('REGIÃO 01 - RESUMO'!L10="",'REGIÃO 01 - RESUMO'!L10=0),"",'REGIÃO 01 - RESUMO'!L10)</f>
        <v>Cancelada</v>
      </c>
      <c r="M10">
        <f>'REGIÃO 01 - HISTÓRICO'!J10</f>
        <v>0</v>
      </c>
      <c r="N10">
        <f>'REGIÃO 01 - HISTÓRICO'!L10</f>
        <v>0</v>
      </c>
      <c r="O10">
        <f>'REGIÃO 01 - HISTÓRICO'!N10</f>
        <v>0</v>
      </c>
      <c r="P10">
        <f>'REGIÃO 01 - HISTÓRICO'!P10</f>
        <v>0</v>
      </c>
      <c r="Q10">
        <f>'REGIÃO 01 - HISTÓRICO'!R10</f>
        <v>0</v>
      </c>
      <c r="R10">
        <f>'REGIÃO 01 - HISTÓRICO'!T10</f>
        <v>0</v>
      </c>
      <c r="S10">
        <f>'REGIÃO 01 - HISTÓRICO'!V10</f>
        <v>0</v>
      </c>
      <c r="T10">
        <f>'REGIÃO 01 - HISTÓRICO'!X10</f>
        <v>0</v>
      </c>
      <c r="U10">
        <f>'REGIÃO 01 - HISTÓRICO'!Z10</f>
        <v>0</v>
      </c>
      <c r="V10">
        <f>'REGIÃO 01 - HISTÓRICO'!AB10</f>
        <v>0</v>
      </c>
      <c r="W10">
        <f>'REGIÃO 01 - HISTÓRICO'!AD10</f>
        <v>0</v>
      </c>
      <c r="X10">
        <f>'REGIÃO 01 - HISTÓRICO'!AF10</f>
        <v>0</v>
      </c>
      <c r="Z10" t="str">
        <v>Enrocamento de pedra arrumada / Enrocamento de pedra jogada / Terraplenagem / Reconformação da plataforma / Recomposição do revestimento primário</v>
      </c>
      <c r="AA10">
        <f t="shared" si="0"/>
        <v>1</v>
      </c>
      <c r="AB10">
        <f t="shared" si="1"/>
        <v>499747.93</v>
      </c>
      <c r="AC10">
        <f t="shared" si="2"/>
        <v>499747.92998999998</v>
      </c>
      <c r="AD10">
        <f t="shared" si="3"/>
        <v>23</v>
      </c>
      <c r="AF10" t="str">
        <f t="shared" si="4"/>
        <v>R01</v>
      </c>
      <c r="AG10" t="str">
        <f t="shared" si="5"/>
        <v>040.2024.0079</v>
      </c>
      <c r="AH10">
        <f t="shared" si="6"/>
        <v>5117.6000000000004</v>
      </c>
      <c r="AI10">
        <f t="shared" si="7"/>
        <v>5117.5999900000006</v>
      </c>
      <c r="AJ10">
        <f t="shared" si="8"/>
        <v>146</v>
      </c>
      <c r="AP10">
        <f>DASHBOARD!$B$63</f>
        <v>0</v>
      </c>
      <c r="AQ10">
        <f>DASHBOARD!$D$63</f>
        <v>0</v>
      </c>
      <c r="AS10" s="90">
        <f>DASHBOARD!$J$67</f>
        <v>0</v>
      </c>
      <c r="AT10">
        <f>DASHBOARD!$J$68</f>
        <v>0</v>
      </c>
      <c r="AU10">
        <f>DASHBOARD!$J$69</f>
        <v>0</v>
      </c>
      <c r="AW10" t="str">
        <f>DETALHAMENTO!$J$14</f>
        <v>Tapa-Buraco CAE / Remendo Profundo</v>
      </c>
      <c r="AX10">
        <f>DETALHAMENTO!$O$14</f>
        <v>3784620.1100000003</v>
      </c>
    </row>
    <row r="11" spans="2:50" x14ac:dyDescent="0.3">
      <c r="B11" t="str">
        <f>'REGIÃO 01 - RESUMO'!C11</f>
        <v>R01</v>
      </c>
      <c r="C11" t="str">
        <f>'REGIÃO 01 - RESUMO'!D11</f>
        <v>040.2024</v>
      </c>
      <c r="D11" s="92">
        <f>'REGIÃO 01 - RESUMO'!E11</f>
        <v>80</v>
      </c>
      <c r="E11" s="91" t="str">
        <f>'REGIÃO 01 - RESUMO'!F11</f>
        <v>Janeiro</v>
      </c>
      <c r="F11" s="93">
        <f>'REGIÃO 01 - RESUMO'!H11</f>
        <v>30</v>
      </c>
      <c r="G11" t="str">
        <f>'REGIÃO 01 - RESUMO'!I11</f>
        <v xml:space="preserve">RODOVIA TO-404 - TRECHO AUGUSTINÓPOLIS - PRAIA NORTE </v>
      </c>
      <c r="H11" s="91" t="str">
        <f>'REGIÃO 01 - RESUMO'!J11</f>
        <v>Roçada</v>
      </c>
      <c r="I11">
        <f>'REGIÃO 01 - RESUMO'!K11</f>
        <v>7101.51</v>
      </c>
      <c r="J11">
        <f>'REGIÃO 01 - HISTÓRICO'!F11</f>
        <v>0</v>
      </c>
      <c r="K11">
        <f>'REGIÃO 01 - HISTÓRICO'!G11</f>
        <v>7101.51</v>
      </c>
      <c r="L11" t="str">
        <f>IF(OR('REGIÃO 01 - RESUMO'!L11="",'REGIÃO 01 - RESUMO'!L11=0),"",'REGIÃO 01 - RESUMO'!L11)</f>
        <v>Cancelada</v>
      </c>
      <c r="M11">
        <f>'REGIÃO 01 - HISTÓRICO'!J11</f>
        <v>0</v>
      </c>
      <c r="N11">
        <f>'REGIÃO 01 - HISTÓRICO'!L11</f>
        <v>0</v>
      </c>
      <c r="O11">
        <f>'REGIÃO 01 - HISTÓRICO'!N11</f>
        <v>0</v>
      </c>
      <c r="P11">
        <f>'REGIÃO 01 - HISTÓRICO'!P11</f>
        <v>0</v>
      </c>
      <c r="Q11">
        <f>'REGIÃO 01 - HISTÓRICO'!R11</f>
        <v>0</v>
      </c>
      <c r="R11">
        <f>'REGIÃO 01 - HISTÓRICO'!T11</f>
        <v>0</v>
      </c>
      <c r="S11">
        <f>'REGIÃO 01 - HISTÓRICO'!V11</f>
        <v>0</v>
      </c>
      <c r="T11">
        <f>'REGIÃO 01 - HISTÓRICO'!X11</f>
        <v>0</v>
      </c>
      <c r="U11">
        <f>'REGIÃO 01 - HISTÓRICO'!Z11</f>
        <v>0</v>
      </c>
      <c r="V11">
        <f>'REGIÃO 01 - HISTÓRICO'!AB11</f>
        <v>0</v>
      </c>
      <c r="W11">
        <f>'REGIÃO 01 - HISTÓRICO'!AD11</f>
        <v>0</v>
      </c>
      <c r="X11">
        <f>'REGIÃO 01 - HISTÓRICO'!AF11</f>
        <v>0</v>
      </c>
      <c r="Z11" t="str">
        <v>Enrocamento de pedra jogada / Terraplenagem / Execução de BSTC 100 / Execução de BDTC 100 / Reconformação da plataforma / Recomposição do revestimento primário</v>
      </c>
      <c r="AA11">
        <f t="shared" si="0"/>
        <v>1</v>
      </c>
      <c r="AB11">
        <f t="shared" si="1"/>
        <v>642128</v>
      </c>
      <c r="AC11">
        <f t="shared" si="2"/>
        <v>642127.99998900003</v>
      </c>
      <c r="AD11">
        <f t="shared" si="3"/>
        <v>18</v>
      </c>
      <c r="AF11" t="str">
        <f t="shared" si="4"/>
        <v>R01</v>
      </c>
      <c r="AG11" t="str">
        <f t="shared" si="5"/>
        <v>040.2024.0080</v>
      </c>
      <c r="AH11">
        <f t="shared" si="6"/>
        <v>7101.51</v>
      </c>
      <c r="AI11">
        <f t="shared" si="7"/>
        <v>7101.5099890000001</v>
      </c>
      <c r="AJ11">
        <f t="shared" si="8"/>
        <v>138</v>
      </c>
      <c r="AS11" s="90">
        <f>DASHBOARD!$K$67</f>
        <v>0</v>
      </c>
      <c r="AT11">
        <f>DASHBOARD!$K$68</f>
        <v>0</v>
      </c>
      <c r="AU11">
        <f>DASHBOARD!$K$69</f>
        <v>0</v>
      </c>
      <c r="AW11" t="str">
        <f>DETALHAMENTO!$J$15</f>
        <v>Drenagem</v>
      </c>
      <c r="AX11">
        <f>DETALHAMENTO!$O$15</f>
        <v>3317978.7</v>
      </c>
    </row>
    <row r="12" spans="2:50" x14ac:dyDescent="0.3">
      <c r="B12" t="str">
        <f>'REGIÃO 01 - RESUMO'!C12</f>
        <v>R01</v>
      </c>
      <c r="C12" t="str">
        <f>'REGIÃO 01 - RESUMO'!D12</f>
        <v>040.2024</v>
      </c>
      <c r="D12" s="92">
        <f>'REGIÃO 01 - RESUMO'!E12</f>
        <v>81</v>
      </c>
      <c r="E12" s="91" t="str">
        <f>'REGIÃO 01 - RESUMO'!F12</f>
        <v>Janeiro</v>
      </c>
      <c r="F12" s="93">
        <f>'REGIÃO 01 - RESUMO'!H12</f>
        <v>32</v>
      </c>
      <c r="G12" t="str">
        <f>'REGIÃO 01 - RESUMO'!I12</f>
        <v>RODOVIA TO-407 - TRECHO CARRASCO BONITO - ENTR. TO-201 (POVOADO CENTRO DOS FIRMINOS)</v>
      </c>
      <c r="H12" s="91" t="str">
        <f>'REGIÃO 01 - RESUMO'!J12</f>
        <v>Roçada</v>
      </c>
      <c r="I12">
        <f>'REGIÃO 01 - RESUMO'!K12</f>
        <v>4515.03</v>
      </c>
      <c r="J12">
        <f>'REGIÃO 01 - HISTÓRICO'!F12</f>
        <v>0</v>
      </c>
      <c r="K12">
        <f>'REGIÃO 01 - HISTÓRICO'!G12</f>
        <v>4515.03</v>
      </c>
      <c r="L12" t="str">
        <f>IF(OR('REGIÃO 01 - RESUMO'!L12="",'REGIÃO 01 - RESUMO'!L12=0),"",'REGIÃO 01 - RESUMO'!L12)</f>
        <v>Cancelada</v>
      </c>
      <c r="M12">
        <f>'REGIÃO 01 - HISTÓRICO'!J12</f>
        <v>0</v>
      </c>
      <c r="N12">
        <f>'REGIÃO 01 - HISTÓRICO'!L12</f>
        <v>0</v>
      </c>
      <c r="O12">
        <f>'REGIÃO 01 - HISTÓRICO'!N12</f>
        <v>0</v>
      </c>
      <c r="P12">
        <f>'REGIÃO 01 - HISTÓRICO'!P12</f>
        <v>0</v>
      </c>
      <c r="Q12">
        <f>'REGIÃO 01 - HISTÓRICO'!R12</f>
        <v>0</v>
      </c>
      <c r="R12">
        <f>'REGIÃO 01 - HISTÓRICO'!T12</f>
        <v>0</v>
      </c>
      <c r="S12">
        <f>'REGIÃO 01 - HISTÓRICO'!V12</f>
        <v>0</v>
      </c>
      <c r="T12">
        <f>'REGIÃO 01 - HISTÓRICO'!X12</f>
        <v>0</v>
      </c>
      <c r="U12">
        <f>'REGIÃO 01 - HISTÓRICO'!Z12</f>
        <v>0</v>
      </c>
      <c r="V12">
        <f>'REGIÃO 01 - HISTÓRICO'!AB12</f>
        <v>0</v>
      </c>
      <c r="W12">
        <f>'REGIÃO 01 - HISTÓRICO'!AD12</f>
        <v>0</v>
      </c>
      <c r="X12">
        <f>'REGIÃO 01 - HISTÓRICO'!AF12</f>
        <v>0</v>
      </c>
      <c r="Z12" t="str">
        <v>Limpeza EDS / Caiação de EDS e pontes</v>
      </c>
      <c r="AA12">
        <f t="shared" si="0"/>
        <v>2</v>
      </c>
      <c r="AB12">
        <f t="shared" si="1"/>
        <v>195992.16</v>
      </c>
      <c r="AC12">
        <f t="shared" si="2"/>
        <v>195992.159988</v>
      </c>
      <c r="AD12">
        <f t="shared" si="3"/>
        <v>32</v>
      </c>
      <c r="AF12" t="str">
        <f t="shared" si="4"/>
        <v>R01</v>
      </c>
      <c r="AG12" t="str">
        <f t="shared" si="5"/>
        <v>040.2024.0081</v>
      </c>
      <c r="AH12">
        <f t="shared" si="6"/>
        <v>4515.03</v>
      </c>
      <c r="AI12">
        <f t="shared" si="7"/>
        <v>4515.0299879999993</v>
      </c>
      <c r="AJ12">
        <f t="shared" si="8"/>
        <v>148</v>
      </c>
      <c r="AS12" s="90">
        <f>DASHBOARD!$L$67</f>
        <v>0</v>
      </c>
      <c r="AT12">
        <f>DASHBOARD!$L$68</f>
        <v>0</v>
      </c>
      <c r="AU12">
        <f>DASHBOARD!$L$69</f>
        <v>0</v>
      </c>
      <c r="AW12" t="str">
        <f>DETALHAMENTO!$J$16</f>
        <v>Enrocamento de pedra arrumada / Enrocamento de pedra jogada / Terraplenagem / Execução de BSTC 100 / Reconformação da plataforma / Recomposição do revestimento primário</v>
      </c>
      <c r="AX12">
        <f>DETALHAMENTO!$O$16</f>
        <v>2005815.07</v>
      </c>
    </row>
    <row r="13" spans="2:50" x14ac:dyDescent="0.3">
      <c r="B13" t="str">
        <f>'REGIÃO 01 - RESUMO'!C13</f>
        <v>R01</v>
      </c>
      <c r="C13" t="str">
        <f>'REGIÃO 01 - RESUMO'!D13</f>
        <v>040.2024</v>
      </c>
      <c r="D13" s="92">
        <f>'REGIÃO 01 - RESUMO'!E13</f>
        <v>82</v>
      </c>
      <c r="E13" s="91" t="str">
        <f>'REGIÃO 01 - RESUMO'!F13</f>
        <v>Fevereiro</v>
      </c>
      <c r="F13" s="93">
        <f>'REGIÃO 01 - RESUMO'!H13</f>
        <v>3</v>
      </c>
      <c r="G13" t="str">
        <f>'REGIÃO 01 - RESUMO'!I13</f>
        <v>RODOVIA TO-010 - TRECHO ARAGUATINS - ENTR. TO-201</v>
      </c>
      <c r="H13" s="91" t="str">
        <f>'REGIÃO 01 - RESUMO'!J13</f>
        <v>Tapa-Buraco CAE / Recomposição mecanizada de aterro / Enrocamento de pedra arrumada / Enrocamento de pedra jogada / Reparo EDS / Remendo Profundo</v>
      </c>
      <c r="I13">
        <f>'REGIÃO 01 - RESUMO'!K13</f>
        <v>57882.09</v>
      </c>
      <c r="J13">
        <f>'REGIÃO 01 - HISTÓRICO'!F13</f>
        <v>49614.89</v>
      </c>
      <c r="K13">
        <f>'REGIÃO 01 - HISTÓRICO'!G13</f>
        <v>8267.1999999999971</v>
      </c>
      <c r="L13" t="str">
        <f>IF(OR('REGIÃO 01 - RESUMO'!L13="",'REGIÃO 01 - RESUMO'!L13=0),"",'REGIÃO 01 - RESUMO'!L13)</f>
        <v>Concluída</v>
      </c>
      <c r="M13">
        <f>'REGIÃO 01 - HISTÓRICO'!J13</f>
        <v>0</v>
      </c>
      <c r="N13">
        <f>'REGIÃO 01 - HISTÓRICO'!L13</f>
        <v>49614.89</v>
      </c>
      <c r="O13">
        <f>'REGIÃO 01 - HISTÓRICO'!N13</f>
        <v>0</v>
      </c>
      <c r="P13">
        <f>'REGIÃO 01 - HISTÓRICO'!P13</f>
        <v>0</v>
      </c>
      <c r="Q13">
        <f>'REGIÃO 01 - HISTÓRICO'!R13</f>
        <v>0</v>
      </c>
      <c r="R13">
        <f>'REGIÃO 01 - HISTÓRICO'!T13</f>
        <v>0</v>
      </c>
      <c r="S13">
        <f>'REGIÃO 01 - HISTÓRICO'!V13</f>
        <v>0</v>
      </c>
      <c r="T13">
        <f>'REGIÃO 01 - HISTÓRICO'!X13</f>
        <v>0</v>
      </c>
      <c r="U13">
        <f>'REGIÃO 01 - HISTÓRICO'!Z13</f>
        <v>0</v>
      </c>
      <c r="V13">
        <f>'REGIÃO 01 - HISTÓRICO'!AB13</f>
        <v>0</v>
      </c>
      <c r="W13">
        <f>'REGIÃO 01 - HISTÓRICO'!AD13</f>
        <v>0</v>
      </c>
      <c r="X13">
        <f>'REGIÃO 01 - HISTÓRICO'!AF13</f>
        <v>0</v>
      </c>
      <c r="Z13" t="str">
        <v>Limpeza Ponte</v>
      </c>
      <c r="AA13">
        <f t="shared" si="0"/>
        <v>1</v>
      </c>
      <c r="AB13">
        <f t="shared" si="1"/>
        <v>9994.4599999999991</v>
      </c>
      <c r="AC13">
        <f t="shared" si="2"/>
        <v>9994.4599869999984</v>
      </c>
      <c r="AD13">
        <f t="shared" si="3"/>
        <v>49</v>
      </c>
      <c r="AF13" t="str">
        <f t="shared" si="4"/>
        <v>R01</v>
      </c>
      <c r="AG13" t="str">
        <f t="shared" si="5"/>
        <v>040.2024.0082</v>
      </c>
      <c r="AH13">
        <f t="shared" si="6"/>
        <v>57882.09</v>
      </c>
      <c r="AI13">
        <f t="shared" si="7"/>
        <v>57882.089986999999</v>
      </c>
      <c r="AJ13">
        <f t="shared" si="8"/>
        <v>86</v>
      </c>
      <c r="AS13" s="90">
        <f>DASHBOARD!$M$67</f>
        <v>0</v>
      </c>
      <c r="AT13">
        <f>DASHBOARD!$M$68</f>
        <v>0</v>
      </c>
      <c r="AU13">
        <f>DASHBOARD!$M$69</f>
        <v>0</v>
      </c>
      <c r="AW13" t="str">
        <f>DETALHAMENTO!$J$17</f>
        <v>Roçada / Tapa-Buraco CAE / Remendo Profundo</v>
      </c>
      <c r="AX13">
        <f>DETALHAMENTO!$O$17</f>
        <v>1319881.3500000001</v>
      </c>
    </row>
    <row r="14" spans="2:50" x14ac:dyDescent="0.3">
      <c r="B14" t="str">
        <f>'REGIÃO 01 - RESUMO'!C14</f>
        <v>R01</v>
      </c>
      <c r="C14" t="str">
        <f>'REGIÃO 01 - RESUMO'!D14</f>
        <v>040.2024</v>
      </c>
      <c r="D14" s="92">
        <f>'REGIÃO 01 - RESUMO'!E14</f>
        <v>83</v>
      </c>
      <c r="E14" s="91" t="str">
        <f>'REGIÃO 01 - RESUMO'!F14</f>
        <v>Fevereiro</v>
      </c>
      <c r="F14" s="93">
        <f>'REGIÃO 01 - RESUMO'!H14</f>
        <v>8</v>
      </c>
      <c r="G14" t="str">
        <f>'REGIÃO 01 - RESUMO'!I14</f>
        <v xml:space="preserve">RODOVIA TO-126 - TRECHO SÍTIO NOVO DO TOCANTINS - ITAGUATINS </v>
      </c>
      <c r="H14" s="91" t="str">
        <f>'REGIÃO 01 - RESUMO'!J14</f>
        <v>Tapa-Buraco CAE / Recomposição mecanizada de aterro / Enrocamento de pedra arrumada / Enrocamento de pedra jogada / Reparo EDS / Remendo Profundo</v>
      </c>
      <c r="I14">
        <f>'REGIÃO 01 - RESUMO'!K14</f>
        <v>63229.36</v>
      </c>
      <c r="J14">
        <f>'REGIÃO 01 - HISTÓRICO'!F14</f>
        <v>63229.36</v>
      </c>
      <c r="K14">
        <f>'REGIÃO 01 - HISTÓRICO'!G14</f>
        <v>0</v>
      </c>
      <c r="L14" t="str">
        <f>IF(OR('REGIÃO 01 - RESUMO'!L14="",'REGIÃO 01 - RESUMO'!L14=0),"",'REGIÃO 01 - RESUMO'!L14)</f>
        <v>Concluída</v>
      </c>
      <c r="M14">
        <f>'REGIÃO 01 - HISTÓRICO'!J14</f>
        <v>0</v>
      </c>
      <c r="N14">
        <f>'REGIÃO 01 - HISTÓRICO'!L14</f>
        <v>63229.36</v>
      </c>
      <c r="O14">
        <f>'REGIÃO 01 - HISTÓRICO'!N14</f>
        <v>0</v>
      </c>
      <c r="P14">
        <f>'REGIÃO 01 - HISTÓRICO'!P14</f>
        <v>0</v>
      </c>
      <c r="Q14">
        <f>'REGIÃO 01 - HISTÓRICO'!R14</f>
        <v>0</v>
      </c>
      <c r="R14">
        <f>'REGIÃO 01 - HISTÓRICO'!T14</f>
        <v>0</v>
      </c>
      <c r="S14">
        <f>'REGIÃO 01 - HISTÓRICO'!V14</f>
        <v>0</v>
      </c>
      <c r="T14">
        <f>'REGIÃO 01 - HISTÓRICO'!X14</f>
        <v>0</v>
      </c>
      <c r="U14">
        <f>'REGIÃO 01 - HISTÓRICO'!Z14</f>
        <v>0</v>
      </c>
      <c r="V14">
        <f>'REGIÃO 01 - HISTÓRICO'!AB14</f>
        <v>0</v>
      </c>
      <c r="W14">
        <f>'REGIÃO 01 - HISTÓRICO'!AD14</f>
        <v>0</v>
      </c>
      <c r="X14">
        <f>'REGIÃO 01 - HISTÓRICO'!AF14</f>
        <v>0</v>
      </c>
      <c r="Z14" t="str">
        <v>Manutenção corretiva Aeródromo</v>
      </c>
      <c r="AA14">
        <f t="shared" si="0"/>
        <v>1</v>
      </c>
      <c r="AB14">
        <f t="shared" si="1"/>
        <v>72576.039999999994</v>
      </c>
      <c r="AC14">
        <f t="shared" si="2"/>
        <v>72576.039985999989</v>
      </c>
      <c r="AD14">
        <f t="shared" si="3"/>
        <v>44</v>
      </c>
      <c r="AF14" t="str">
        <f t="shared" si="4"/>
        <v>R01</v>
      </c>
      <c r="AG14" t="str">
        <f t="shared" si="5"/>
        <v>040.2024.0083</v>
      </c>
      <c r="AH14">
        <f t="shared" si="6"/>
        <v>63229.36</v>
      </c>
      <c r="AI14">
        <f t="shared" si="7"/>
        <v>63229.359986000003</v>
      </c>
      <c r="AJ14">
        <f t="shared" si="8"/>
        <v>84</v>
      </c>
      <c r="AS14" s="90">
        <f>DASHBOARD!$N$67</f>
        <v>0</v>
      </c>
      <c r="AT14">
        <f>DASHBOARD!$N$68</f>
        <v>0</v>
      </c>
      <c r="AU14">
        <f>DASHBOARD!$N$69</f>
        <v>0</v>
      </c>
    </row>
    <row r="15" spans="2:50" x14ac:dyDescent="0.3">
      <c r="B15" t="str">
        <f>'REGIÃO 01 - RESUMO'!C15</f>
        <v>R01</v>
      </c>
      <c r="C15" t="str">
        <f>'REGIÃO 01 - RESUMO'!D15</f>
        <v>040.2024</v>
      </c>
      <c r="D15" s="92">
        <f>'REGIÃO 01 - RESUMO'!E15</f>
        <v>84</v>
      </c>
      <c r="E15" s="91" t="str">
        <f>'REGIÃO 01 - RESUMO'!F15</f>
        <v>Março</v>
      </c>
      <c r="F15" s="93">
        <f>'REGIÃO 01 - RESUMO'!H15</f>
        <v>6</v>
      </c>
      <c r="G15" t="str">
        <f>'REGIÃO 01 - RESUMO'!I15</f>
        <v>RODOVIA TO-126 - TRECHO MAURILÂNDIA - TOCANTINÓPOLIS</v>
      </c>
      <c r="H15" s="91" t="str">
        <f>'REGIÃO 01 - RESUMO'!J15</f>
        <v>Enrocamento de pedra arrumada / Enrocamento de pedra jogada / Terraplenagem / Execução de BSTC 100 / Reconformação da plataforma / Recomposição do revestimento primário</v>
      </c>
      <c r="I15">
        <f>'REGIÃO 01 - RESUMO'!K15</f>
        <v>939704.7</v>
      </c>
      <c r="J15">
        <f>'REGIÃO 01 - HISTÓRICO'!F15</f>
        <v>903829.45</v>
      </c>
      <c r="K15">
        <f>'REGIÃO 01 - HISTÓRICO'!G15</f>
        <v>35875.25</v>
      </c>
      <c r="L15" t="str">
        <f>IF(OR('REGIÃO 01 - RESUMO'!L15="",'REGIÃO 01 - RESUMO'!L15=0),"",'REGIÃO 01 - RESUMO'!L15)</f>
        <v>Concluída</v>
      </c>
      <c r="M15">
        <f>'REGIÃO 01 - HISTÓRICO'!J15</f>
        <v>0</v>
      </c>
      <c r="N15">
        <f>'REGIÃO 01 - HISTÓRICO'!L15</f>
        <v>0</v>
      </c>
      <c r="O15">
        <f>'REGIÃO 01 - HISTÓRICO'!N15</f>
        <v>481213.81</v>
      </c>
      <c r="P15">
        <f>'REGIÃO 01 - HISTÓRICO'!P15</f>
        <v>422615.64</v>
      </c>
      <c r="Q15">
        <f>'REGIÃO 01 - HISTÓRICO'!R15</f>
        <v>0</v>
      </c>
      <c r="R15">
        <f>'REGIÃO 01 - HISTÓRICO'!T15</f>
        <v>0</v>
      </c>
      <c r="S15">
        <f>'REGIÃO 01 - HISTÓRICO'!V15</f>
        <v>0</v>
      </c>
      <c r="T15">
        <f>'REGIÃO 01 - HISTÓRICO'!X15</f>
        <v>0</v>
      </c>
      <c r="U15">
        <f>'REGIÃO 01 - HISTÓRICO'!Z15</f>
        <v>0</v>
      </c>
      <c r="V15">
        <f>'REGIÃO 01 - HISTÓRICO'!AB15</f>
        <v>0</v>
      </c>
      <c r="W15">
        <f>'REGIÃO 01 - HISTÓRICO'!AD15</f>
        <v>0</v>
      </c>
      <c r="X15">
        <f>'REGIÃO 01 - HISTÓRICO'!AF15</f>
        <v>0</v>
      </c>
      <c r="Z15" t="str">
        <v xml:space="preserve">Reciclagem do pavimento e execução de TSD / Fornecimento e aplicação de CBUQ / Sinalização de Obras </v>
      </c>
      <c r="AA15">
        <f t="shared" si="0"/>
        <v>2</v>
      </c>
      <c r="AB15">
        <f t="shared" si="1"/>
        <v>22223742.859999999</v>
      </c>
      <c r="AC15">
        <f t="shared" si="2"/>
        <v>22223742.859984998</v>
      </c>
      <c r="AD15">
        <f t="shared" si="3"/>
        <v>1</v>
      </c>
      <c r="AF15" t="str">
        <f t="shared" si="4"/>
        <v>R01</v>
      </c>
      <c r="AG15" t="str">
        <f t="shared" si="5"/>
        <v>040.2024.0084</v>
      </c>
      <c r="AH15">
        <f t="shared" si="6"/>
        <v>939704.7</v>
      </c>
      <c r="AI15">
        <f t="shared" si="7"/>
        <v>939704.69998499996</v>
      </c>
      <c r="AJ15">
        <f t="shared" si="8"/>
        <v>19</v>
      </c>
      <c r="AS15" s="90">
        <f>DASHBOARD!$O$67</f>
        <v>0</v>
      </c>
      <c r="AT15">
        <f>DASHBOARD!$O$68</f>
        <v>0</v>
      </c>
      <c r="AU15">
        <f>DASHBOARD!$O$69</f>
        <v>0</v>
      </c>
    </row>
    <row r="16" spans="2:50" x14ac:dyDescent="0.3">
      <c r="B16" t="str">
        <f>'REGIÃO 01 - RESUMO'!C16</f>
        <v>R01</v>
      </c>
      <c r="C16" t="str">
        <f>'REGIÃO 01 - RESUMO'!D16</f>
        <v>040.2024</v>
      </c>
      <c r="D16" s="92">
        <f>'REGIÃO 01 - RESUMO'!E16</f>
        <v>85</v>
      </c>
      <c r="E16" s="91" t="str">
        <f>'REGIÃO 01 - RESUMO'!F16</f>
        <v>Fevereiro</v>
      </c>
      <c r="F16" s="93">
        <f>'REGIÃO 01 - RESUMO'!H16</f>
        <v>30</v>
      </c>
      <c r="G16" t="str">
        <f>'REGIÃO 01 - RESUMO'!I16</f>
        <v xml:space="preserve">RODOVIA TO-404 - TRECHO AUGUSTINÓPOLIS - PRAIA NORTE </v>
      </c>
      <c r="H16" s="91" t="str">
        <f>'REGIÃO 01 - RESUMO'!J16</f>
        <v>Tapa-Buraco CAE / Remendo Profundo</v>
      </c>
      <c r="I16">
        <f>'REGIÃO 01 - RESUMO'!K16</f>
        <v>44604.3</v>
      </c>
      <c r="J16">
        <f>'REGIÃO 01 - HISTÓRICO'!F16</f>
        <v>43144.1</v>
      </c>
      <c r="K16">
        <f>'REGIÃO 01 - HISTÓRICO'!G16</f>
        <v>1460.2000000000044</v>
      </c>
      <c r="L16" t="str">
        <f>IF(OR('REGIÃO 01 - RESUMO'!L16="",'REGIÃO 01 - RESUMO'!L16=0),"",'REGIÃO 01 - RESUMO'!L16)</f>
        <v>Concluída</v>
      </c>
      <c r="M16">
        <f>'REGIÃO 01 - HISTÓRICO'!J16</f>
        <v>0</v>
      </c>
      <c r="N16">
        <f>'REGIÃO 01 - HISTÓRICO'!L16</f>
        <v>43144.1</v>
      </c>
      <c r="O16">
        <f>'REGIÃO 01 - HISTÓRICO'!N16</f>
        <v>0</v>
      </c>
      <c r="P16">
        <f>'REGIÃO 01 - HISTÓRICO'!P16</f>
        <v>0</v>
      </c>
      <c r="Q16">
        <f>'REGIÃO 01 - HISTÓRICO'!R16</f>
        <v>0</v>
      </c>
      <c r="R16">
        <f>'REGIÃO 01 - HISTÓRICO'!T16</f>
        <v>0</v>
      </c>
      <c r="S16">
        <f>'REGIÃO 01 - HISTÓRICO'!V16</f>
        <v>0</v>
      </c>
      <c r="T16">
        <f>'REGIÃO 01 - HISTÓRICO'!X16</f>
        <v>0</v>
      </c>
      <c r="U16">
        <f>'REGIÃO 01 - HISTÓRICO'!Z16</f>
        <v>0</v>
      </c>
      <c r="V16">
        <f>'REGIÃO 01 - HISTÓRICO'!AB16</f>
        <v>0</v>
      </c>
      <c r="W16">
        <f>'REGIÃO 01 - HISTÓRICO'!AD16</f>
        <v>0</v>
      </c>
      <c r="X16">
        <f>'REGIÃO 01 - HISTÓRICO'!AF16</f>
        <v>0</v>
      </c>
      <c r="Z16" t="str">
        <v>Reciclagem do pavimento e execução de TSD / Microrrevestimento asfáltico 8 mm</v>
      </c>
      <c r="AA16">
        <f t="shared" si="0"/>
        <v>1</v>
      </c>
      <c r="AB16">
        <f t="shared" si="1"/>
        <v>5613050.5800000001</v>
      </c>
      <c r="AC16">
        <f t="shared" si="2"/>
        <v>5613050.579984</v>
      </c>
      <c r="AD16">
        <f t="shared" si="3"/>
        <v>5</v>
      </c>
      <c r="AF16" t="str">
        <f t="shared" si="4"/>
        <v>R01</v>
      </c>
      <c r="AG16" t="str">
        <f t="shared" si="5"/>
        <v>040.2024.0085</v>
      </c>
      <c r="AH16">
        <f t="shared" si="6"/>
        <v>44604.3</v>
      </c>
      <c r="AI16">
        <f t="shared" si="7"/>
        <v>44604.299984000005</v>
      </c>
      <c r="AJ16">
        <f t="shared" si="8"/>
        <v>93</v>
      </c>
    </row>
    <row r="17" spans="2:36" x14ac:dyDescent="0.3">
      <c r="B17" t="str">
        <f>'REGIÃO 01 - RESUMO'!C17</f>
        <v>R01</v>
      </c>
      <c r="C17" t="str">
        <f>'REGIÃO 01 - RESUMO'!D17</f>
        <v>040.2024</v>
      </c>
      <c r="D17" s="92">
        <f>'REGIÃO 01 - RESUMO'!E17</f>
        <v>86</v>
      </c>
      <c r="E17" s="91" t="str">
        <f>'REGIÃO 01 - RESUMO'!F17</f>
        <v>Fevereiro</v>
      </c>
      <c r="F17" s="93">
        <f>'REGIÃO 01 - RESUMO'!H17</f>
        <v>32</v>
      </c>
      <c r="G17" t="str">
        <f>'REGIÃO 01 - RESUMO'!I17</f>
        <v>RODOVIA TO-407 - TRECHO CARRASCO BONITO - ENTR. TO-201 (POVOADO CENTRO DOS FIRMINOS)</v>
      </c>
      <c r="H17" s="91" t="str">
        <f>'REGIÃO 01 - RESUMO'!J17</f>
        <v>Tapa-Buraco CAE / Remendo Profundo</v>
      </c>
      <c r="I17">
        <f>'REGIÃO 01 - RESUMO'!K17</f>
        <v>98929.18</v>
      </c>
      <c r="J17">
        <f>'REGIÃO 01 - HISTÓRICO'!F17</f>
        <v>98359.9</v>
      </c>
      <c r="K17">
        <f>'REGIÃO 01 - HISTÓRICO'!G17</f>
        <v>569.27999999999884</v>
      </c>
      <c r="L17" t="str">
        <f>IF(OR('REGIÃO 01 - RESUMO'!L17="",'REGIÃO 01 - RESUMO'!L17=0),"",'REGIÃO 01 - RESUMO'!L17)</f>
        <v>Concluída</v>
      </c>
      <c r="M17">
        <f>'REGIÃO 01 - HISTÓRICO'!J17</f>
        <v>0</v>
      </c>
      <c r="N17">
        <f>'REGIÃO 01 - HISTÓRICO'!L17</f>
        <v>98359.9</v>
      </c>
      <c r="O17">
        <f>'REGIÃO 01 - HISTÓRICO'!N17</f>
        <v>0</v>
      </c>
      <c r="P17">
        <f>'REGIÃO 01 - HISTÓRICO'!P17</f>
        <v>0</v>
      </c>
      <c r="Q17">
        <f>'REGIÃO 01 - HISTÓRICO'!R17</f>
        <v>0</v>
      </c>
      <c r="R17">
        <f>'REGIÃO 01 - HISTÓRICO'!T17</f>
        <v>0</v>
      </c>
      <c r="S17">
        <f>'REGIÃO 01 - HISTÓRICO'!V17</f>
        <v>0</v>
      </c>
      <c r="T17">
        <f>'REGIÃO 01 - HISTÓRICO'!X17</f>
        <v>0</v>
      </c>
      <c r="U17">
        <f>'REGIÃO 01 - HISTÓRICO'!Z17</f>
        <v>0</v>
      </c>
      <c r="V17">
        <f>'REGIÃO 01 - HISTÓRICO'!AB17</f>
        <v>0</v>
      </c>
      <c r="W17">
        <f>'REGIÃO 01 - HISTÓRICO'!AD17</f>
        <v>0</v>
      </c>
      <c r="X17">
        <f>'REGIÃO 01 - HISTÓRICO'!AF17</f>
        <v>0</v>
      </c>
      <c r="Z17" t="str">
        <v xml:space="preserve">Reciclagem do pavimento e execução de TSD / Microrrevestimento asfáltico 8 mm / Fornecimento e aplicação de CBUQ / Sinalização de Obras </v>
      </c>
      <c r="AA17">
        <f t="shared" si="0"/>
        <v>1</v>
      </c>
      <c r="AB17">
        <f t="shared" si="1"/>
        <v>5839446.1399999997</v>
      </c>
      <c r="AC17">
        <f t="shared" si="2"/>
        <v>5839446.1399829993</v>
      </c>
      <c r="AD17">
        <f t="shared" si="3"/>
        <v>4</v>
      </c>
      <c r="AF17" t="str">
        <f t="shared" si="4"/>
        <v>R01</v>
      </c>
      <c r="AG17" t="str">
        <f t="shared" si="5"/>
        <v>040.2024.0086</v>
      </c>
      <c r="AH17">
        <f t="shared" si="6"/>
        <v>98929.18</v>
      </c>
      <c r="AI17">
        <f t="shared" si="7"/>
        <v>98929.179982999995</v>
      </c>
      <c r="AJ17">
        <f t="shared" si="8"/>
        <v>70</v>
      </c>
    </row>
    <row r="18" spans="2:36" x14ac:dyDescent="0.3">
      <c r="B18" t="str">
        <f>'REGIÃO 01 - RESUMO'!C18</f>
        <v>R01</v>
      </c>
      <c r="C18" t="str">
        <f>'REGIÃO 01 - RESUMO'!D18</f>
        <v>040.2024</v>
      </c>
      <c r="D18" s="92">
        <f>'REGIÃO 01 - RESUMO'!E18</f>
        <v>87</v>
      </c>
      <c r="E18" s="91" t="str">
        <f>'REGIÃO 01 - RESUMO'!F18</f>
        <v>Fevereiro</v>
      </c>
      <c r="F18" s="93">
        <f>'REGIÃO 01 - RESUMO'!H18</f>
        <v>28</v>
      </c>
      <c r="G18" t="str">
        <f>'REGIÃO 01 - RESUMO'!I18</f>
        <v>RODOVIA TO-403 - TRECHO SAMPAIO - ENTR. TO-404 (ITAÚBA)</v>
      </c>
      <c r="H18" s="91" t="str">
        <f>'REGIÃO 01 - RESUMO'!J18</f>
        <v>Tapa-Buraco CAE / Remendo Profundo</v>
      </c>
      <c r="I18">
        <f>'REGIÃO 01 - RESUMO'!K18</f>
        <v>59454.06</v>
      </c>
      <c r="J18">
        <f>'REGIÃO 01 - HISTÓRICO'!F18</f>
        <v>59454.06</v>
      </c>
      <c r="K18">
        <f>'REGIÃO 01 - HISTÓRICO'!G18</f>
        <v>0</v>
      </c>
      <c r="L18" t="str">
        <f>IF(OR('REGIÃO 01 - RESUMO'!L18="",'REGIÃO 01 - RESUMO'!L18=0),"",'REGIÃO 01 - RESUMO'!L18)</f>
        <v>Concluída</v>
      </c>
      <c r="M18">
        <f>'REGIÃO 01 - HISTÓRICO'!J18</f>
        <v>0</v>
      </c>
      <c r="N18">
        <f>'REGIÃO 01 - HISTÓRICO'!L18</f>
        <v>59454.06</v>
      </c>
      <c r="O18">
        <f>'REGIÃO 01 - HISTÓRICO'!N18</f>
        <v>0</v>
      </c>
      <c r="P18">
        <f>'REGIÃO 01 - HISTÓRICO'!P18</f>
        <v>0</v>
      </c>
      <c r="Q18">
        <f>'REGIÃO 01 - HISTÓRICO'!R18</f>
        <v>0</v>
      </c>
      <c r="R18">
        <f>'REGIÃO 01 - HISTÓRICO'!T18</f>
        <v>0</v>
      </c>
      <c r="S18">
        <f>'REGIÃO 01 - HISTÓRICO'!V18</f>
        <v>0</v>
      </c>
      <c r="T18">
        <f>'REGIÃO 01 - HISTÓRICO'!X18</f>
        <v>0</v>
      </c>
      <c r="U18">
        <f>'REGIÃO 01 - HISTÓRICO'!Z18</f>
        <v>0</v>
      </c>
      <c r="V18">
        <f>'REGIÃO 01 - HISTÓRICO'!AB18</f>
        <v>0</v>
      </c>
      <c r="W18">
        <f>'REGIÃO 01 - HISTÓRICO'!AD18</f>
        <v>0</v>
      </c>
      <c r="X18">
        <f>'REGIÃO 01 - HISTÓRICO'!AF18</f>
        <v>0</v>
      </c>
      <c r="Z18" t="str">
        <v xml:space="preserve">Reciclagem do pavimento e execução de TSD / Microrrevestimento asfáltico 8 mm / Sinalização de Obras </v>
      </c>
      <c r="AA18">
        <f t="shared" si="0"/>
        <v>2</v>
      </c>
      <c r="AB18">
        <f t="shared" si="1"/>
        <v>15760782.74</v>
      </c>
      <c r="AC18">
        <f t="shared" si="2"/>
        <v>15760782.739982</v>
      </c>
      <c r="AD18">
        <f t="shared" si="3"/>
        <v>2</v>
      </c>
      <c r="AF18" t="str">
        <f t="shared" si="4"/>
        <v>R01</v>
      </c>
      <c r="AG18" t="str">
        <f t="shared" si="5"/>
        <v>040.2024.0087</v>
      </c>
      <c r="AH18">
        <f t="shared" si="6"/>
        <v>59454.06</v>
      </c>
      <c r="AI18">
        <f t="shared" si="7"/>
        <v>59454.059981999999</v>
      </c>
      <c r="AJ18">
        <f t="shared" si="8"/>
        <v>85</v>
      </c>
    </row>
    <row r="19" spans="2:36" x14ac:dyDescent="0.3">
      <c r="B19" t="str">
        <f>'REGIÃO 01 - RESUMO'!C19</f>
        <v>R01</v>
      </c>
      <c r="C19" t="str">
        <f>'REGIÃO 01 - RESUMO'!D19</f>
        <v>040.2024</v>
      </c>
      <c r="D19" s="92">
        <f>'REGIÃO 01 - RESUMO'!E19</f>
        <v>88</v>
      </c>
      <c r="E19" s="91" t="str">
        <f>'REGIÃO 01 - RESUMO'!F19</f>
        <v>Fevereiro</v>
      </c>
      <c r="F19" s="93">
        <f>'REGIÃO 01 - RESUMO'!H19</f>
        <v>18</v>
      </c>
      <c r="G19" t="str">
        <f>'REGIÃO 01 - RESUMO'!I19</f>
        <v>RODOVIA TO-201 - TRECHO AUGUSTINÓPOLIS - BURITI DO TOCANTINS</v>
      </c>
      <c r="H19" s="91" t="str">
        <f>'REGIÃO 01 - RESUMO'!J19</f>
        <v>Tapa-Buraco CAE / Recomposição mecanizada de aterro / Enrocamento de pedra arrumada / Enrocamento de pedra jogada / Reparo EDS / Remendo Profundo</v>
      </c>
      <c r="I19">
        <f>'REGIÃO 01 - RESUMO'!K19</f>
        <v>70697.67</v>
      </c>
      <c r="J19">
        <f>'REGIÃO 01 - HISTÓRICO'!F19</f>
        <v>35271.39</v>
      </c>
      <c r="K19">
        <f>'REGIÃO 01 - HISTÓRICO'!G19</f>
        <v>35426.28</v>
      </c>
      <c r="L19" t="str">
        <f>IF(OR('REGIÃO 01 - RESUMO'!L19="",'REGIÃO 01 - RESUMO'!L19=0),"",'REGIÃO 01 - RESUMO'!L19)</f>
        <v>Concluída</v>
      </c>
      <c r="M19">
        <f>'REGIÃO 01 - HISTÓRICO'!J19</f>
        <v>0</v>
      </c>
      <c r="N19">
        <f>'REGIÃO 01 - HISTÓRICO'!L19</f>
        <v>0</v>
      </c>
      <c r="O19">
        <f>'REGIÃO 01 - HISTÓRICO'!N19</f>
        <v>35271.39</v>
      </c>
      <c r="P19">
        <f>'REGIÃO 01 - HISTÓRICO'!P19</f>
        <v>0</v>
      </c>
      <c r="Q19">
        <f>'REGIÃO 01 - HISTÓRICO'!R19</f>
        <v>0</v>
      </c>
      <c r="R19">
        <f>'REGIÃO 01 - HISTÓRICO'!T19</f>
        <v>0</v>
      </c>
      <c r="S19">
        <f>'REGIÃO 01 - HISTÓRICO'!V19</f>
        <v>0</v>
      </c>
      <c r="T19">
        <f>'REGIÃO 01 - HISTÓRICO'!X19</f>
        <v>0</v>
      </c>
      <c r="U19">
        <f>'REGIÃO 01 - HISTÓRICO'!Z19</f>
        <v>0</v>
      </c>
      <c r="V19">
        <f>'REGIÃO 01 - HISTÓRICO'!AB19</f>
        <v>0</v>
      </c>
      <c r="W19">
        <f>'REGIÃO 01 - HISTÓRICO'!AD19</f>
        <v>0</v>
      </c>
      <c r="X19">
        <f>'REGIÃO 01 - HISTÓRICO'!AF19</f>
        <v>0</v>
      </c>
      <c r="Z19" t="str">
        <v xml:space="preserve">Reciclagem do pavimento e execução de TSD / Sinalização de Obras </v>
      </c>
      <c r="AA19">
        <f t="shared" si="0"/>
        <v>2</v>
      </c>
      <c r="AB19">
        <f t="shared" si="1"/>
        <v>5404603.7400000002</v>
      </c>
      <c r="AC19">
        <f t="shared" si="2"/>
        <v>5404603.7399810003</v>
      </c>
      <c r="AD19">
        <f t="shared" si="3"/>
        <v>6</v>
      </c>
      <c r="AF19" t="str">
        <f t="shared" si="4"/>
        <v>R01</v>
      </c>
      <c r="AG19" t="str">
        <f t="shared" si="5"/>
        <v>040.2024.0088</v>
      </c>
      <c r="AH19">
        <f t="shared" si="6"/>
        <v>70697.67</v>
      </c>
      <c r="AI19">
        <f t="shared" si="7"/>
        <v>70697.669980999999</v>
      </c>
      <c r="AJ19">
        <f t="shared" si="8"/>
        <v>81</v>
      </c>
    </row>
    <row r="20" spans="2:36" x14ac:dyDescent="0.3">
      <c r="B20" t="str">
        <f>'REGIÃO 01 - RESUMO'!C20</f>
        <v>R01</v>
      </c>
      <c r="C20" t="str">
        <f>'REGIÃO 01 - RESUMO'!D20</f>
        <v>040.2024</v>
      </c>
      <c r="D20" s="92">
        <f>'REGIÃO 01 - RESUMO'!E20</f>
        <v>89</v>
      </c>
      <c r="E20" s="91" t="str">
        <f>'REGIÃO 01 - RESUMO'!F20</f>
        <v>Fevereiro</v>
      </c>
      <c r="F20" s="93">
        <f>'REGIÃO 01 - RESUMO'!H20</f>
        <v>31</v>
      </c>
      <c r="G20" t="str">
        <f>'REGIÃO 01 - RESUMO'!I20</f>
        <v>RODOVIA TO-405 - TRECHO AXIXÁ DO TOCANTINS - ENTR. BR-230</v>
      </c>
      <c r="H20" s="91" t="str">
        <f>'REGIÃO 01 - RESUMO'!J20</f>
        <v>Terraplenagem / Execução de BDTC 100 / Reconformação da plataforma / Recomposição do revestimento primário</v>
      </c>
      <c r="I20">
        <f>'REGIÃO 01 - RESUMO'!K20</f>
        <v>1001920.42</v>
      </c>
      <c r="J20">
        <f>'REGIÃO 01 - HISTÓRICO'!F20</f>
        <v>909490.52</v>
      </c>
      <c r="K20">
        <f>'REGIÃO 01 - HISTÓRICO'!G20</f>
        <v>92429.900000000023</v>
      </c>
      <c r="L20" t="str">
        <f>IF(OR('REGIÃO 01 - RESUMO'!L20="",'REGIÃO 01 - RESUMO'!L20=0),"",'REGIÃO 01 - RESUMO'!L20)</f>
        <v>Concluída</v>
      </c>
      <c r="M20">
        <f>'REGIÃO 01 - HISTÓRICO'!J20</f>
        <v>0</v>
      </c>
      <c r="N20">
        <f>'REGIÃO 01 - HISTÓRICO'!L20</f>
        <v>682032.87</v>
      </c>
      <c r="O20">
        <f>'REGIÃO 01 - HISTÓRICO'!N20</f>
        <v>227457.65</v>
      </c>
      <c r="P20">
        <f>'REGIÃO 01 - HISTÓRICO'!P20</f>
        <v>0</v>
      </c>
      <c r="Q20">
        <f>'REGIÃO 01 - HISTÓRICO'!R20</f>
        <v>0</v>
      </c>
      <c r="R20">
        <f>'REGIÃO 01 - HISTÓRICO'!T20</f>
        <v>0</v>
      </c>
      <c r="S20">
        <f>'REGIÃO 01 - HISTÓRICO'!V20</f>
        <v>0</v>
      </c>
      <c r="T20">
        <f>'REGIÃO 01 - HISTÓRICO'!X20</f>
        <v>0</v>
      </c>
      <c r="U20">
        <f>'REGIÃO 01 - HISTÓRICO'!Z20</f>
        <v>0</v>
      </c>
      <c r="V20">
        <f>'REGIÃO 01 - HISTÓRICO'!AB20</f>
        <v>0</v>
      </c>
      <c r="W20">
        <f>'REGIÃO 01 - HISTÓRICO'!AD20</f>
        <v>0</v>
      </c>
      <c r="X20">
        <f>'REGIÃO 01 - HISTÓRICO'!AF20</f>
        <v>0</v>
      </c>
      <c r="Z20" t="str">
        <v>Recomposição do revestimento primário</v>
      </c>
      <c r="AA20">
        <f t="shared" si="0"/>
        <v>1</v>
      </c>
      <c r="AB20">
        <f t="shared" si="1"/>
        <v>355951.85</v>
      </c>
      <c r="AC20">
        <f t="shared" si="2"/>
        <v>355951.84998</v>
      </c>
      <c r="AD20">
        <f t="shared" si="3"/>
        <v>28</v>
      </c>
      <c r="AF20" t="str">
        <f t="shared" si="4"/>
        <v>R01</v>
      </c>
      <c r="AG20" t="str">
        <f t="shared" si="5"/>
        <v>040.2024.0089</v>
      </c>
      <c r="AH20">
        <f t="shared" si="6"/>
        <v>1001920.42</v>
      </c>
      <c r="AI20">
        <f t="shared" si="7"/>
        <v>1001920.41998</v>
      </c>
      <c r="AJ20">
        <f t="shared" si="8"/>
        <v>17</v>
      </c>
    </row>
    <row r="21" spans="2:36" x14ac:dyDescent="0.3">
      <c r="B21" t="str">
        <f>'REGIÃO 01 - RESUMO'!C21</f>
        <v>R01</v>
      </c>
      <c r="C21" t="str">
        <f>'REGIÃO 01 - RESUMO'!D21</f>
        <v>040.2024</v>
      </c>
      <c r="D21" s="92">
        <f>'REGIÃO 01 - RESUMO'!E21</f>
        <v>90</v>
      </c>
      <c r="E21" s="91" t="str">
        <f>'REGIÃO 01 - RESUMO'!F21</f>
        <v>Fevereiro</v>
      </c>
      <c r="F21" s="93">
        <f>'REGIÃO 01 - RESUMO'!H21</f>
        <v>14</v>
      </c>
      <c r="G21" t="str">
        <f>'REGIÃO 01 - RESUMO'!I21</f>
        <v>RODOVIA TO-201 - TRECHO DIV. TO-MA - SÃO MIGUEL DO TOCANTINS</v>
      </c>
      <c r="H21" s="91" t="str">
        <f>'REGIÃO 01 - RESUMO'!J21</f>
        <v>Roçada</v>
      </c>
      <c r="I21">
        <f>'REGIÃO 01 - RESUMO'!K21</f>
        <v>9398.09</v>
      </c>
      <c r="J21">
        <f>'REGIÃO 01 - HISTÓRICO'!F21</f>
        <v>9398.09</v>
      </c>
      <c r="K21">
        <f>'REGIÃO 01 - HISTÓRICO'!G21</f>
        <v>0</v>
      </c>
      <c r="L21" t="str">
        <f>IF(OR('REGIÃO 01 - RESUMO'!L21="",'REGIÃO 01 - RESUMO'!L21=0),"",'REGIÃO 01 - RESUMO'!L21)</f>
        <v>Concluída</v>
      </c>
      <c r="M21">
        <f>'REGIÃO 01 - HISTÓRICO'!J21</f>
        <v>0</v>
      </c>
      <c r="N21">
        <f>'REGIÃO 01 - HISTÓRICO'!L21</f>
        <v>9398.09</v>
      </c>
      <c r="O21">
        <f>'REGIÃO 01 - HISTÓRICO'!N21</f>
        <v>0</v>
      </c>
      <c r="P21">
        <f>'REGIÃO 01 - HISTÓRICO'!P21</f>
        <v>0</v>
      </c>
      <c r="Q21">
        <f>'REGIÃO 01 - HISTÓRICO'!R21</f>
        <v>0</v>
      </c>
      <c r="R21">
        <f>'REGIÃO 01 - HISTÓRICO'!T21</f>
        <v>0</v>
      </c>
      <c r="S21">
        <f>'REGIÃO 01 - HISTÓRICO'!V21</f>
        <v>0</v>
      </c>
      <c r="T21">
        <f>'REGIÃO 01 - HISTÓRICO'!X21</f>
        <v>0</v>
      </c>
      <c r="U21">
        <f>'REGIÃO 01 - HISTÓRICO'!Z21</f>
        <v>0</v>
      </c>
      <c r="V21">
        <f>'REGIÃO 01 - HISTÓRICO'!AB21</f>
        <v>0</v>
      </c>
      <c r="W21">
        <f>'REGIÃO 01 - HISTÓRICO'!AD21</f>
        <v>0</v>
      </c>
      <c r="X21">
        <f>'REGIÃO 01 - HISTÓRICO'!AF21</f>
        <v>0</v>
      </c>
      <c r="Z21" t="str">
        <v>Recomposição manual de aterro / Enrocamento de pedra arrumada / Enrocamento de pedra jogada / Reparo EDS</v>
      </c>
      <c r="AA21">
        <f t="shared" si="0"/>
        <v>1</v>
      </c>
      <c r="AB21">
        <f t="shared" si="1"/>
        <v>70828.509999999995</v>
      </c>
      <c r="AC21">
        <f t="shared" si="2"/>
        <v>70828.509978999995</v>
      </c>
      <c r="AD21">
        <f t="shared" si="3"/>
        <v>45</v>
      </c>
      <c r="AF21" t="str">
        <f t="shared" si="4"/>
        <v>R01</v>
      </c>
      <c r="AG21" t="str">
        <f t="shared" si="5"/>
        <v>040.2024.0090</v>
      </c>
      <c r="AH21">
        <f t="shared" si="6"/>
        <v>9398.09</v>
      </c>
      <c r="AI21">
        <f t="shared" si="7"/>
        <v>9398.0899790000003</v>
      </c>
      <c r="AJ21">
        <f t="shared" si="8"/>
        <v>133</v>
      </c>
    </row>
    <row r="22" spans="2:36" x14ac:dyDescent="0.3">
      <c r="B22" t="str">
        <f>'REGIÃO 01 - RESUMO'!C22</f>
        <v>R01</v>
      </c>
      <c r="C22" t="str">
        <f>'REGIÃO 01 - RESUMO'!D22</f>
        <v>040.2024</v>
      </c>
      <c r="D22" s="92">
        <f>'REGIÃO 01 - RESUMO'!E22</f>
        <v>91</v>
      </c>
      <c r="E22" s="91" t="str">
        <f>'REGIÃO 01 - RESUMO'!F22</f>
        <v>Fevereiro</v>
      </c>
      <c r="F22" s="93">
        <f>'REGIÃO 01 - RESUMO'!H22</f>
        <v>15</v>
      </c>
      <c r="G22" t="str">
        <f>'REGIÃO 01 - RESUMO'!I22</f>
        <v>RODOVIA TO-201 - TRECHO SÃO MIGUEL DO TOCANTINS - SÍTIO NOVO DO TOCANTINS</v>
      </c>
      <c r="H22" s="91" t="str">
        <f>'REGIÃO 01 - RESUMO'!J22</f>
        <v>Roçada</v>
      </c>
      <c r="I22">
        <f>'REGIÃO 01 - RESUMO'!K22</f>
        <v>4299.09</v>
      </c>
      <c r="J22">
        <f>'REGIÃO 01 - HISTÓRICO'!F22</f>
        <v>4299.09</v>
      </c>
      <c r="K22">
        <f>'REGIÃO 01 - HISTÓRICO'!G22</f>
        <v>0</v>
      </c>
      <c r="L22" t="str">
        <f>IF(OR('REGIÃO 01 - RESUMO'!L22="",'REGIÃO 01 - RESUMO'!L22=0),"",'REGIÃO 01 - RESUMO'!L22)</f>
        <v>Concluída</v>
      </c>
      <c r="M22">
        <f>'REGIÃO 01 - HISTÓRICO'!J22</f>
        <v>0</v>
      </c>
      <c r="N22">
        <f>'REGIÃO 01 - HISTÓRICO'!L22</f>
        <v>4299.09</v>
      </c>
      <c r="O22">
        <f>'REGIÃO 01 - HISTÓRICO'!N22</f>
        <v>0</v>
      </c>
      <c r="P22">
        <f>'REGIÃO 01 - HISTÓRICO'!P22</f>
        <v>0</v>
      </c>
      <c r="Q22">
        <f>'REGIÃO 01 - HISTÓRICO'!R22</f>
        <v>0</v>
      </c>
      <c r="R22">
        <f>'REGIÃO 01 - HISTÓRICO'!T22</f>
        <v>0</v>
      </c>
      <c r="S22">
        <f>'REGIÃO 01 - HISTÓRICO'!V22</f>
        <v>0</v>
      </c>
      <c r="T22">
        <f>'REGIÃO 01 - HISTÓRICO'!X22</f>
        <v>0</v>
      </c>
      <c r="U22">
        <f>'REGIÃO 01 - HISTÓRICO'!Z22</f>
        <v>0</v>
      </c>
      <c r="V22">
        <f>'REGIÃO 01 - HISTÓRICO'!AB22</f>
        <v>0</v>
      </c>
      <c r="W22">
        <f>'REGIÃO 01 - HISTÓRICO'!AD22</f>
        <v>0</v>
      </c>
      <c r="X22">
        <f>'REGIÃO 01 - HISTÓRICO'!AF22</f>
        <v>0</v>
      </c>
      <c r="Z22" t="str">
        <v>Recomposição mecanizada de aterro / Enrocamento de pedra arrumada / Enrocamento de pedra jogada / Reparo EDS</v>
      </c>
      <c r="AA22">
        <f t="shared" si="0"/>
        <v>1</v>
      </c>
      <c r="AB22">
        <f t="shared" si="1"/>
        <v>108698.75</v>
      </c>
      <c r="AC22">
        <f t="shared" si="2"/>
        <v>108698.74997800001</v>
      </c>
      <c r="AD22">
        <f t="shared" si="3"/>
        <v>40</v>
      </c>
      <c r="AF22" t="str">
        <f t="shared" si="4"/>
        <v>R01</v>
      </c>
      <c r="AG22" t="str">
        <f t="shared" si="5"/>
        <v>040.2024.0091</v>
      </c>
      <c r="AH22">
        <f t="shared" si="6"/>
        <v>4299.09</v>
      </c>
      <c r="AI22">
        <f t="shared" si="7"/>
        <v>4299.089978</v>
      </c>
      <c r="AJ22">
        <f t="shared" si="8"/>
        <v>149</v>
      </c>
    </row>
    <row r="23" spans="2:36" x14ac:dyDescent="0.3">
      <c r="B23" t="str">
        <f>'REGIÃO 01 - RESUMO'!C23</f>
        <v>R01</v>
      </c>
      <c r="C23" t="str">
        <f>'REGIÃO 01 - RESUMO'!D23</f>
        <v>040.2024</v>
      </c>
      <c r="D23" s="92">
        <f>'REGIÃO 01 - RESUMO'!E23</f>
        <v>92</v>
      </c>
      <c r="E23" s="91" t="str">
        <f>'REGIÃO 01 - RESUMO'!F23</f>
        <v>Fevereiro</v>
      </c>
      <c r="F23" s="93">
        <f>'REGIÃO 01 - RESUMO'!H23</f>
        <v>19</v>
      </c>
      <c r="G23" t="str">
        <f>'REGIÃO 01 - RESUMO'!I23</f>
        <v>RODOVIA TO-201 - TRECHO BURITI DO TOCANTINS - ESPERANTINA</v>
      </c>
      <c r="H23" s="91" t="str">
        <f>'REGIÃO 01 - RESUMO'!J23</f>
        <v>Recomposição mecanizada de aterro / Enrocamento de pedra arrumada / Enrocamento de pedra jogada / Reparo EDS</v>
      </c>
      <c r="I23">
        <f>'REGIÃO 01 - RESUMO'!K23</f>
        <v>108698.75</v>
      </c>
      <c r="J23">
        <f>'REGIÃO 01 - HISTÓRICO'!F23</f>
        <v>106844.37</v>
      </c>
      <c r="K23">
        <f>'REGIÃO 01 - HISTÓRICO'!G23</f>
        <v>1854.3800000000047</v>
      </c>
      <c r="L23" t="str">
        <f>IF(OR('REGIÃO 01 - RESUMO'!L23="",'REGIÃO 01 - RESUMO'!L23=0),"",'REGIÃO 01 - RESUMO'!L23)</f>
        <v>Concluída</v>
      </c>
      <c r="M23">
        <f>'REGIÃO 01 - HISTÓRICO'!J23</f>
        <v>0</v>
      </c>
      <c r="N23">
        <f>'REGIÃO 01 - HISTÓRICO'!L23</f>
        <v>93191.2</v>
      </c>
      <c r="O23">
        <f>'REGIÃO 01 - HISTÓRICO'!N23</f>
        <v>13653.17</v>
      </c>
      <c r="P23">
        <f>'REGIÃO 01 - HISTÓRICO'!P23</f>
        <v>0</v>
      </c>
      <c r="Q23">
        <f>'REGIÃO 01 - HISTÓRICO'!R23</f>
        <v>0</v>
      </c>
      <c r="R23">
        <f>'REGIÃO 01 - HISTÓRICO'!T23</f>
        <v>0</v>
      </c>
      <c r="S23">
        <f>'REGIÃO 01 - HISTÓRICO'!V23</f>
        <v>0</v>
      </c>
      <c r="T23">
        <f>'REGIÃO 01 - HISTÓRICO'!X23</f>
        <v>0</v>
      </c>
      <c r="U23">
        <f>'REGIÃO 01 - HISTÓRICO'!Z23</f>
        <v>0</v>
      </c>
      <c r="V23">
        <f>'REGIÃO 01 - HISTÓRICO'!AB23</f>
        <v>0</v>
      </c>
      <c r="W23">
        <f>'REGIÃO 01 - HISTÓRICO'!AD23</f>
        <v>0</v>
      </c>
      <c r="X23">
        <f>'REGIÃO 01 - HISTÓRICO'!AF23</f>
        <v>0</v>
      </c>
      <c r="Z23" t="str">
        <v>Recomposição mecanizada de aterro / Enrocamento de pedra arrumada / Enrocamento de pedra jogada / Terraplenagem</v>
      </c>
      <c r="AA23">
        <f t="shared" si="0"/>
        <v>1</v>
      </c>
      <c r="AB23">
        <f t="shared" si="1"/>
        <v>76664.820000000007</v>
      </c>
      <c r="AC23">
        <f t="shared" si="2"/>
        <v>76664.819977000006</v>
      </c>
      <c r="AD23">
        <f t="shared" si="3"/>
        <v>43</v>
      </c>
      <c r="AF23" t="str">
        <f t="shared" si="4"/>
        <v>R01</v>
      </c>
      <c r="AG23" t="str">
        <f t="shared" si="5"/>
        <v>040.2024.0092</v>
      </c>
      <c r="AH23">
        <f t="shared" si="6"/>
        <v>108698.75</v>
      </c>
      <c r="AI23">
        <f t="shared" si="7"/>
        <v>108698.749977</v>
      </c>
      <c r="AJ23">
        <f t="shared" si="8"/>
        <v>68</v>
      </c>
    </row>
    <row r="24" spans="2:36" x14ac:dyDescent="0.3">
      <c r="B24" t="str">
        <f>'REGIÃO 01 - RESUMO'!C24</f>
        <v>R01</v>
      </c>
      <c r="C24" t="str">
        <f>'REGIÃO 01 - RESUMO'!D24</f>
        <v>040.2024</v>
      </c>
      <c r="D24" s="92">
        <f>'REGIÃO 01 - RESUMO'!E24</f>
        <v>93</v>
      </c>
      <c r="E24" s="91" t="str">
        <f>'REGIÃO 01 - RESUMO'!F24</f>
        <v>Março</v>
      </c>
      <c r="F24" s="93">
        <f>'REGIÃO 01 - RESUMO'!H24</f>
        <v>9</v>
      </c>
      <c r="G24" t="str">
        <f>'REGIÃO 01 - RESUMO'!I24</f>
        <v>RODOVIA TO-126 - TRECHO SUMAUMA - SÍTIO NOVO DO TOCANTINS</v>
      </c>
      <c r="H24" s="91" t="str">
        <f>'REGIÃO 01 - RESUMO'!J24</f>
        <v>Roçada</v>
      </c>
      <c r="I24">
        <f>'REGIÃO 01 - RESUMO'!K24</f>
        <v>8499.9599999999991</v>
      </c>
      <c r="J24">
        <f>'REGIÃO 01 - HISTÓRICO'!F24</f>
        <v>8439.5300000000007</v>
      </c>
      <c r="K24">
        <f>'REGIÃO 01 - HISTÓRICO'!G24</f>
        <v>60.429999999998472</v>
      </c>
      <c r="L24" t="str">
        <f>IF(OR('REGIÃO 01 - RESUMO'!L24="",'REGIÃO 01 - RESUMO'!L24=0),"",'REGIÃO 01 - RESUMO'!L24)</f>
        <v>Concluída</v>
      </c>
      <c r="M24">
        <f>'REGIÃO 01 - HISTÓRICO'!J24</f>
        <v>0</v>
      </c>
      <c r="N24">
        <f>'REGIÃO 01 - HISTÓRICO'!L24</f>
        <v>0</v>
      </c>
      <c r="O24">
        <f>'REGIÃO 01 - HISTÓRICO'!N24</f>
        <v>8439.5300000000007</v>
      </c>
      <c r="P24">
        <f>'REGIÃO 01 - HISTÓRICO'!P24</f>
        <v>0</v>
      </c>
      <c r="Q24">
        <f>'REGIÃO 01 - HISTÓRICO'!R24</f>
        <v>0</v>
      </c>
      <c r="R24">
        <f>'REGIÃO 01 - HISTÓRICO'!T24</f>
        <v>0</v>
      </c>
      <c r="S24">
        <f>'REGIÃO 01 - HISTÓRICO'!V24</f>
        <v>0</v>
      </c>
      <c r="T24">
        <f>'REGIÃO 01 - HISTÓRICO'!X24</f>
        <v>0</v>
      </c>
      <c r="U24">
        <f>'REGIÃO 01 - HISTÓRICO'!Z24</f>
        <v>0</v>
      </c>
      <c r="V24">
        <f>'REGIÃO 01 - HISTÓRICO'!AB24</f>
        <v>0</v>
      </c>
      <c r="W24">
        <f>'REGIÃO 01 - HISTÓRICO'!AD24</f>
        <v>0</v>
      </c>
      <c r="X24">
        <f>'REGIÃO 01 - HISTÓRICO'!AF24</f>
        <v>0</v>
      </c>
      <c r="Z24" t="str">
        <v>Recomposição mecanizada de aterro / Enrocamento de pedra arrumada / Enrocamento de pedra jogada / Terraplenagem / Reconformação da plataforma</v>
      </c>
      <c r="AA24">
        <f t="shared" si="0"/>
        <v>1</v>
      </c>
      <c r="AB24">
        <f t="shared" si="1"/>
        <v>511761.32</v>
      </c>
      <c r="AC24">
        <f t="shared" si="2"/>
        <v>511761.319976</v>
      </c>
      <c r="AD24">
        <f t="shared" si="3"/>
        <v>22</v>
      </c>
      <c r="AF24" t="str">
        <f t="shared" si="4"/>
        <v>R01</v>
      </c>
      <c r="AG24" t="str">
        <f t="shared" si="5"/>
        <v>040.2024.0093</v>
      </c>
      <c r="AH24">
        <f t="shared" si="6"/>
        <v>8499.9599999999991</v>
      </c>
      <c r="AI24">
        <f t="shared" si="7"/>
        <v>8499.9599759999983</v>
      </c>
      <c r="AJ24">
        <f t="shared" si="8"/>
        <v>136</v>
      </c>
    </row>
    <row r="25" spans="2:36" x14ac:dyDescent="0.3">
      <c r="B25" t="str">
        <f>'REGIÃO 01 - RESUMO'!C25</f>
        <v>R01</v>
      </c>
      <c r="C25" t="str">
        <f>'REGIÃO 01 - RESUMO'!D25</f>
        <v>040.2024</v>
      </c>
      <c r="D25" s="92">
        <f>'REGIÃO 01 - RESUMO'!E25</f>
        <v>94</v>
      </c>
      <c r="E25" s="91" t="str">
        <f>'REGIÃO 01 - RESUMO'!F25</f>
        <v>Abril</v>
      </c>
      <c r="F25" s="93">
        <f>'REGIÃO 01 - RESUMO'!H25</f>
        <v>1</v>
      </c>
      <c r="G25" t="str">
        <f>'REGIÃO 01 - RESUMO'!I25</f>
        <v>RODOVIA TO-010 - TRECHO ANANÁS - ENTR. BR-230</v>
      </c>
      <c r="H25" s="91" t="str">
        <f>'REGIÃO 01 - RESUMO'!J25</f>
        <v>Terraplenagem / Reconformação da plataforma / Recomposição do revestimento primário</v>
      </c>
      <c r="I25">
        <f>'REGIÃO 01 - RESUMO'!K25</f>
        <v>492080.23</v>
      </c>
      <c r="J25">
        <f>'REGIÃO 01 - HISTÓRICO'!F25</f>
        <v>467469.99</v>
      </c>
      <c r="K25">
        <f>'REGIÃO 01 - HISTÓRICO'!G25</f>
        <v>24610.239999999991</v>
      </c>
      <c r="L25" t="str">
        <f>IF(OR('REGIÃO 01 - RESUMO'!L25="",'REGIÃO 01 - RESUMO'!L25=0),"",'REGIÃO 01 - RESUMO'!L25)</f>
        <v>Concluída</v>
      </c>
      <c r="M25">
        <f>'REGIÃO 01 - HISTÓRICO'!J25</f>
        <v>0</v>
      </c>
      <c r="N25">
        <f>'REGIÃO 01 - HISTÓRICO'!L25</f>
        <v>0</v>
      </c>
      <c r="O25">
        <f>'REGIÃO 01 - HISTÓRICO'!N25</f>
        <v>0</v>
      </c>
      <c r="P25">
        <f>'REGIÃO 01 - HISTÓRICO'!P25</f>
        <v>467469.99</v>
      </c>
      <c r="Q25">
        <f>'REGIÃO 01 - HISTÓRICO'!R25</f>
        <v>0</v>
      </c>
      <c r="R25">
        <f>'REGIÃO 01 - HISTÓRICO'!T25</f>
        <v>0</v>
      </c>
      <c r="S25">
        <f>'REGIÃO 01 - HISTÓRICO'!V25</f>
        <v>0</v>
      </c>
      <c r="T25">
        <f>'REGIÃO 01 - HISTÓRICO'!X25</f>
        <v>0</v>
      </c>
      <c r="U25">
        <f>'REGIÃO 01 - HISTÓRICO'!Z25</f>
        <v>0</v>
      </c>
      <c r="V25">
        <f>'REGIÃO 01 - HISTÓRICO'!AB25</f>
        <v>0</v>
      </c>
      <c r="W25">
        <f>'REGIÃO 01 - HISTÓRICO'!AD25</f>
        <v>0</v>
      </c>
      <c r="X25">
        <f>'REGIÃO 01 - HISTÓRICO'!AF25</f>
        <v>0</v>
      </c>
      <c r="Z25" t="str">
        <v>Reconformação da plataforma</v>
      </c>
      <c r="AA25">
        <f t="shared" si="0"/>
        <v>9</v>
      </c>
      <c r="AB25">
        <f t="shared" si="1"/>
        <v>422247.91</v>
      </c>
      <c r="AC25">
        <f t="shared" si="2"/>
        <v>422247.90997499996</v>
      </c>
      <c r="AD25">
        <f t="shared" si="3"/>
        <v>26</v>
      </c>
      <c r="AF25" t="str">
        <f t="shared" si="4"/>
        <v>R01</v>
      </c>
      <c r="AG25" t="str">
        <f t="shared" si="5"/>
        <v>040.2024.0094</v>
      </c>
      <c r="AH25">
        <f t="shared" si="6"/>
        <v>492080.23</v>
      </c>
      <c r="AI25">
        <f t="shared" si="7"/>
        <v>492080.22997499997</v>
      </c>
      <c r="AJ25">
        <f t="shared" si="8"/>
        <v>28</v>
      </c>
    </row>
    <row r="26" spans="2:36" x14ac:dyDescent="0.3">
      <c r="B26" t="str">
        <f>'REGIÃO 01 - RESUMO'!C26</f>
        <v>R01</v>
      </c>
      <c r="C26" t="str">
        <f>'REGIÃO 01 - RESUMO'!D26</f>
        <v>040.2024</v>
      </c>
      <c r="D26" s="92">
        <f>'REGIÃO 01 - RESUMO'!E26</f>
        <v>95</v>
      </c>
      <c r="E26" s="91" t="str">
        <f>'REGIÃO 01 - RESUMO'!F26</f>
        <v>Março</v>
      </c>
      <c r="F26" s="93">
        <f>'REGIÃO 01 - RESUMO'!H26</f>
        <v>3</v>
      </c>
      <c r="G26" t="str">
        <f>'REGIÃO 01 - RESUMO'!I26</f>
        <v>RODOVIA TO-010 - TRECHO ARAGUATINS - ENTR. TO-201</v>
      </c>
      <c r="H26" s="91" t="str">
        <f>'REGIÃO 01 - RESUMO'!J26</f>
        <v>Roçada</v>
      </c>
      <c r="I26">
        <f>'REGIÃO 01 - RESUMO'!K26</f>
        <v>25088.79</v>
      </c>
      <c r="J26">
        <f>'REGIÃO 01 - HISTÓRICO'!F26</f>
        <v>14796.72</v>
      </c>
      <c r="K26">
        <f>'REGIÃO 01 - HISTÓRICO'!G26</f>
        <v>10292.070000000002</v>
      </c>
      <c r="L26" t="str">
        <f>IF(OR('REGIÃO 01 - RESUMO'!L26="",'REGIÃO 01 - RESUMO'!L26=0),"",'REGIÃO 01 - RESUMO'!L26)</f>
        <v>Concluída</v>
      </c>
      <c r="M26">
        <f>'REGIÃO 01 - HISTÓRICO'!J26</f>
        <v>0</v>
      </c>
      <c r="N26">
        <f>'REGIÃO 01 - HISTÓRICO'!L26</f>
        <v>0</v>
      </c>
      <c r="O26">
        <f>'REGIÃO 01 - HISTÓRICO'!N26</f>
        <v>0</v>
      </c>
      <c r="P26">
        <f>'REGIÃO 01 - HISTÓRICO'!P26</f>
        <v>0</v>
      </c>
      <c r="Q26">
        <f>'REGIÃO 01 - HISTÓRICO'!R26</f>
        <v>14796.72</v>
      </c>
      <c r="R26">
        <f>'REGIÃO 01 - HISTÓRICO'!T26</f>
        <v>0</v>
      </c>
      <c r="S26">
        <f>'REGIÃO 01 - HISTÓRICO'!V26</f>
        <v>0</v>
      </c>
      <c r="T26">
        <f>'REGIÃO 01 - HISTÓRICO'!X26</f>
        <v>0</v>
      </c>
      <c r="U26">
        <f>'REGIÃO 01 - HISTÓRICO'!Z26</f>
        <v>0</v>
      </c>
      <c r="V26">
        <f>'REGIÃO 01 - HISTÓRICO'!AB26</f>
        <v>0</v>
      </c>
      <c r="W26">
        <f>'REGIÃO 01 - HISTÓRICO'!AD26</f>
        <v>0</v>
      </c>
      <c r="X26">
        <f>'REGIÃO 01 - HISTÓRICO'!AF26</f>
        <v>0</v>
      </c>
      <c r="Z26" t="str">
        <v>Reconformação da plataforma / Recomposição do revestimento primário</v>
      </c>
      <c r="AA26">
        <f t="shared" si="0"/>
        <v>1</v>
      </c>
      <c r="AB26">
        <f t="shared" si="1"/>
        <v>94493.36</v>
      </c>
      <c r="AC26">
        <f t="shared" si="2"/>
        <v>94493.359974000006</v>
      </c>
      <c r="AD26">
        <f t="shared" si="3"/>
        <v>42</v>
      </c>
      <c r="AF26" t="str">
        <f t="shared" si="4"/>
        <v>R01</v>
      </c>
      <c r="AG26" t="str">
        <f t="shared" si="5"/>
        <v>040.2024.0095</v>
      </c>
      <c r="AH26">
        <f t="shared" si="6"/>
        <v>25088.79</v>
      </c>
      <c r="AI26">
        <f t="shared" si="7"/>
        <v>25088.789973999999</v>
      </c>
      <c r="AJ26">
        <f t="shared" si="8"/>
        <v>109</v>
      </c>
    </row>
    <row r="27" spans="2:36" x14ac:dyDescent="0.3">
      <c r="B27" t="str">
        <f>'REGIÃO 01 - RESUMO'!C27</f>
        <v>R01</v>
      </c>
      <c r="C27" t="str">
        <f>'REGIÃO 01 - RESUMO'!D27</f>
        <v>040.2024</v>
      </c>
      <c r="D27" s="92">
        <f>'REGIÃO 01 - RESUMO'!E27</f>
        <v>96</v>
      </c>
      <c r="E27" s="91" t="str">
        <f>'REGIÃO 01 - RESUMO'!F27</f>
        <v>Março</v>
      </c>
      <c r="F27" s="93">
        <f>'REGIÃO 01 - RESUMO'!H27</f>
        <v>4</v>
      </c>
      <c r="G27" t="str">
        <f>'REGIÃO 01 - RESUMO'!I27</f>
        <v>RODOVIA TO-010 - TRECHO BURITI DO TOCANTINS (ENTR. TO-201) - SÃO SEBASTIÃO DO TOCANTINS</v>
      </c>
      <c r="H27" s="91" t="str">
        <f>'REGIÃO 01 - RESUMO'!J27</f>
        <v>Roçada</v>
      </c>
      <c r="I27">
        <f>'REGIÃO 01 - RESUMO'!K27</f>
        <v>6244.46</v>
      </c>
      <c r="J27">
        <f>'REGIÃO 01 - HISTÓRICO'!F27</f>
        <v>5464.15</v>
      </c>
      <c r="K27">
        <f>'REGIÃO 01 - HISTÓRICO'!G27</f>
        <v>780.3100000000004</v>
      </c>
      <c r="L27" t="str">
        <f>IF(OR('REGIÃO 01 - RESUMO'!L27="",'REGIÃO 01 - RESUMO'!L27=0),"",'REGIÃO 01 - RESUMO'!L27)</f>
        <v>Concluída</v>
      </c>
      <c r="M27">
        <f>'REGIÃO 01 - HISTÓRICO'!J27</f>
        <v>0</v>
      </c>
      <c r="N27">
        <f>'REGIÃO 01 - HISTÓRICO'!L27</f>
        <v>0</v>
      </c>
      <c r="O27">
        <f>'REGIÃO 01 - HISTÓRICO'!N27</f>
        <v>0</v>
      </c>
      <c r="P27">
        <f>'REGIÃO 01 - HISTÓRICO'!P27</f>
        <v>5464.15</v>
      </c>
      <c r="Q27">
        <f>'REGIÃO 01 - HISTÓRICO'!R27</f>
        <v>0</v>
      </c>
      <c r="R27">
        <f>'REGIÃO 01 - HISTÓRICO'!T27</f>
        <v>0</v>
      </c>
      <c r="S27">
        <f>'REGIÃO 01 - HISTÓRICO'!V27</f>
        <v>0</v>
      </c>
      <c r="T27">
        <f>'REGIÃO 01 - HISTÓRICO'!X27</f>
        <v>0</v>
      </c>
      <c r="U27">
        <f>'REGIÃO 01 - HISTÓRICO'!Z27</f>
        <v>0</v>
      </c>
      <c r="V27">
        <f>'REGIÃO 01 - HISTÓRICO'!AB27</f>
        <v>0</v>
      </c>
      <c r="W27">
        <f>'REGIÃO 01 - HISTÓRICO'!AD27</f>
        <v>0</v>
      </c>
      <c r="X27">
        <f>'REGIÃO 01 - HISTÓRICO'!AF27</f>
        <v>0</v>
      </c>
      <c r="Z27" t="str">
        <v>Roçada</v>
      </c>
      <c r="AA27">
        <f t="shared" si="0"/>
        <v>40</v>
      </c>
      <c r="AB27">
        <f t="shared" si="1"/>
        <v>658143.27</v>
      </c>
      <c r="AC27">
        <f t="shared" si="2"/>
        <v>658143.26997300005</v>
      </c>
      <c r="AD27">
        <f t="shared" si="3"/>
        <v>17</v>
      </c>
      <c r="AF27" t="str">
        <f t="shared" si="4"/>
        <v>R01</v>
      </c>
      <c r="AG27" t="str">
        <f t="shared" si="5"/>
        <v>040.2024.0096</v>
      </c>
      <c r="AH27">
        <f t="shared" si="6"/>
        <v>6244.46</v>
      </c>
      <c r="AI27">
        <f t="shared" si="7"/>
        <v>6244.459973</v>
      </c>
      <c r="AJ27">
        <f t="shared" si="8"/>
        <v>140</v>
      </c>
    </row>
    <row r="28" spans="2:36" x14ac:dyDescent="0.3">
      <c r="B28" t="str">
        <f>'REGIÃO 01 - RESUMO'!C28</f>
        <v>R01</v>
      </c>
      <c r="C28" t="str">
        <f>'REGIÃO 01 - RESUMO'!D28</f>
        <v>040.2024</v>
      </c>
      <c r="D28" s="92">
        <f>'REGIÃO 01 - RESUMO'!E28</f>
        <v>97</v>
      </c>
      <c r="E28" s="91" t="str">
        <f>'REGIÃO 01 - RESUMO'!F28</f>
        <v>Março</v>
      </c>
      <c r="F28" s="93">
        <f>'REGIÃO 01 - RESUMO'!H28</f>
        <v>17</v>
      </c>
      <c r="G28" t="str">
        <f>'REGIÃO 01 - RESUMO'!I28</f>
        <v>RODOVIA TO-201 - TRECHO AXIXÁ DO TOCANTINS - AUGUSTINÓPOLIS</v>
      </c>
      <c r="H28" s="91" t="str">
        <f>'REGIÃO 01 - RESUMO'!J28</f>
        <v>Roçada</v>
      </c>
      <c r="I28">
        <f>'REGIÃO 01 - RESUMO'!K28</f>
        <v>12096.07</v>
      </c>
      <c r="J28">
        <f>'REGIÃO 01 - HISTÓRICO'!F28</f>
        <v>10718.44</v>
      </c>
      <c r="K28">
        <f>'REGIÃO 01 - HISTÓRICO'!G28</f>
        <v>1377.6299999999992</v>
      </c>
      <c r="L28" t="str">
        <f>IF(OR('REGIÃO 01 - RESUMO'!L28="",'REGIÃO 01 - RESUMO'!L28=0),"",'REGIÃO 01 - RESUMO'!L28)</f>
        <v>Concluída</v>
      </c>
      <c r="M28">
        <f>'REGIÃO 01 - HISTÓRICO'!J28</f>
        <v>0</v>
      </c>
      <c r="N28">
        <f>'REGIÃO 01 - HISTÓRICO'!L28</f>
        <v>0</v>
      </c>
      <c r="O28">
        <f>'REGIÃO 01 - HISTÓRICO'!N28</f>
        <v>10718.44</v>
      </c>
      <c r="P28">
        <f>'REGIÃO 01 - HISTÓRICO'!P28</f>
        <v>0</v>
      </c>
      <c r="Q28">
        <f>'REGIÃO 01 - HISTÓRICO'!R28</f>
        <v>0</v>
      </c>
      <c r="R28">
        <f>'REGIÃO 01 - HISTÓRICO'!T28</f>
        <v>0</v>
      </c>
      <c r="S28">
        <f>'REGIÃO 01 - HISTÓRICO'!V28</f>
        <v>0</v>
      </c>
      <c r="T28">
        <f>'REGIÃO 01 - HISTÓRICO'!X28</f>
        <v>0</v>
      </c>
      <c r="U28">
        <f>'REGIÃO 01 - HISTÓRICO'!Z28</f>
        <v>0</v>
      </c>
      <c r="V28">
        <f>'REGIÃO 01 - HISTÓRICO'!AB28</f>
        <v>0</v>
      </c>
      <c r="W28">
        <f>'REGIÃO 01 - HISTÓRICO'!AD28</f>
        <v>0</v>
      </c>
      <c r="X28">
        <f>'REGIÃO 01 - HISTÓRICO'!AF28</f>
        <v>0</v>
      </c>
      <c r="Z28" t="str">
        <v>Roçada / Limpeza EDS</v>
      </c>
      <c r="AA28">
        <f t="shared" si="0"/>
        <v>1</v>
      </c>
      <c r="AB28">
        <f t="shared" si="1"/>
        <v>5370.39</v>
      </c>
      <c r="AC28">
        <f t="shared" si="2"/>
        <v>5370.3899719999999</v>
      </c>
      <c r="AD28">
        <f t="shared" si="3"/>
        <v>50</v>
      </c>
      <c r="AF28" t="str">
        <f t="shared" si="4"/>
        <v>R01</v>
      </c>
      <c r="AG28" t="str">
        <f t="shared" si="5"/>
        <v>040.2024.0097</v>
      </c>
      <c r="AH28">
        <f t="shared" si="6"/>
        <v>12096.07</v>
      </c>
      <c r="AI28">
        <f t="shared" si="7"/>
        <v>12096.069971999999</v>
      </c>
      <c r="AJ28">
        <f t="shared" si="8"/>
        <v>130</v>
      </c>
    </row>
    <row r="29" spans="2:36" x14ac:dyDescent="0.3">
      <c r="B29" t="str">
        <f>'REGIÃO 01 - RESUMO'!C29</f>
        <v>R01</v>
      </c>
      <c r="C29" t="str">
        <f>'REGIÃO 01 - RESUMO'!D29</f>
        <v>040.2024</v>
      </c>
      <c r="D29" s="92">
        <f>'REGIÃO 01 - RESUMO'!E29</f>
        <v>98</v>
      </c>
      <c r="E29" s="91" t="str">
        <f>'REGIÃO 01 - RESUMO'!F29</f>
        <v>Março</v>
      </c>
      <c r="F29" s="93">
        <f>'REGIÃO 01 - RESUMO'!H29</f>
        <v>28</v>
      </c>
      <c r="G29" t="str">
        <f>'REGIÃO 01 - RESUMO'!I29</f>
        <v>RODOVIA TO-403 - TRECHO SAMPAIO - ENTR. TO-404 (ITAÚBA)</v>
      </c>
      <c r="H29" s="91" t="str">
        <f>'REGIÃO 01 - RESUMO'!J29</f>
        <v>Roçada</v>
      </c>
      <c r="I29">
        <f>'REGIÃO 01 - RESUMO'!K29</f>
        <v>5467.21</v>
      </c>
      <c r="J29">
        <f>'REGIÃO 01 - HISTÓRICO'!F29</f>
        <v>5193.3900000000003</v>
      </c>
      <c r="K29">
        <f>'REGIÃO 01 - HISTÓRICO'!G29</f>
        <v>273.81999999999971</v>
      </c>
      <c r="L29" t="str">
        <f>IF(OR('REGIÃO 01 - RESUMO'!L29="",'REGIÃO 01 - RESUMO'!L29=0),"",'REGIÃO 01 - RESUMO'!L29)</f>
        <v>Concluída</v>
      </c>
      <c r="M29">
        <f>'REGIÃO 01 - HISTÓRICO'!J29</f>
        <v>0</v>
      </c>
      <c r="N29">
        <f>'REGIÃO 01 - HISTÓRICO'!L29</f>
        <v>0</v>
      </c>
      <c r="O29">
        <f>'REGIÃO 01 - HISTÓRICO'!N29</f>
        <v>5193.3900000000003</v>
      </c>
      <c r="P29">
        <f>'REGIÃO 01 - HISTÓRICO'!P29</f>
        <v>0</v>
      </c>
      <c r="Q29">
        <f>'REGIÃO 01 - HISTÓRICO'!R29</f>
        <v>0</v>
      </c>
      <c r="R29">
        <f>'REGIÃO 01 - HISTÓRICO'!T29</f>
        <v>0</v>
      </c>
      <c r="S29">
        <f>'REGIÃO 01 - HISTÓRICO'!V29</f>
        <v>0</v>
      </c>
      <c r="T29">
        <f>'REGIÃO 01 - HISTÓRICO'!X29</f>
        <v>0</v>
      </c>
      <c r="U29">
        <f>'REGIÃO 01 - HISTÓRICO'!Z29</f>
        <v>0</v>
      </c>
      <c r="V29">
        <f>'REGIÃO 01 - HISTÓRICO'!AB29</f>
        <v>0</v>
      </c>
      <c r="W29">
        <f>'REGIÃO 01 - HISTÓRICO'!AD29</f>
        <v>0</v>
      </c>
      <c r="X29">
        <f>'REGIÃO 01 - HISTÓRICO'!AF29</f>
        <v>0</v>
      </c>
      <c r="Z29" t="str">
        <v>Roçada / Limpeza EDS / Caiação de EDS e pontes</v>
      </c>
      <c r="AA29">
        <f t="shared" si="0"/>
        <v>1</v>
      </c>
      <c r="AB29">
        <f t="shared" si="1"/>
        <v>132042.38</v>
      </c>
      <c r="AC29">
        <f t="shared" si="2"/>
        <v>132042.37997100002</v>
      </c>
      <c r="AD29">
        <f t="shared" si="3"/>
        <v>37</v>
      </c>
      <c r="AF29" t="str">
        <f t="shared" si="4"/>
        <v>R01</v>
      </c>
      <c r="AG29" t="str">
        <f t="shared" si="5"/>
        <v>040.2024.0098</v>
      </c>
      <c r="AH29">
        <f t="shared" si="6"/>
        <v>5467.21</v>
      </c>
      <c r="AI29">
        <f t="shared" si="7"/>
        <v>5467.2099710000002</v>
      </c>
      <c r="AJ29">
        <f t="shared" si="8"/>
        <v>141</v>
      </c>
    </row>
    <row r="30" spans="2:36" x14ac:dyDescent="0.3">
      <c r="B30" t="str">
        <f>'REGIÃO 01 - RESUMO'!C30</f>
        <v>R01</v>
      </c>
      <c r="C30" t="str">
        <f>'REGIÃO 01 - RESUMO'!D30</f>
        <v>040.2024</v>
      </c>
      <c r="D30" s="92">
        <f>'REGIÃO 01 - RESUMO'!E30</f>
        <v>99</v>
      </c>
      <c r="E30" s="91" t="str">
        <f>'REGIÃO 01 - RESUMO'!F30</f>
        <v>Março</v>
      </c>
      <c r="F30" s="93">
        <f>'REGIÃO 01 - RESUMO'!H30</f>
        <v>33</v>
      </c>
      <c r="G30" t="str">
        <f>'REGIÃO 01 - RESUMO'!I30</f>
        <v>RODOVIA TO-409 - TRECHO MAURILÂNDIA - ENTR. TO-134</v>
      </c>
      <c r="H30" s="91" t="str">
        <f>'REGIÃO 01 - RESUMO'!J30</f>
        <v>Terraplenagem / Execução de BSTC 100 / Reconformação da plataforma</v>
      </c>
      <c r="I30">
        <f>'REGIÃO 01 - RESUMO'!K30</f>
        <v>145484.01999999999</v>
      </c>
      <c r="J30">
        <f>'REGIÃO 01 - HISTÓRICO'!F30</f>
        <v>117461.84</v>
      </c>
      <c r="K30">
        <f>'REGIÃO 01 - HISTÓRICO'!G30</f>
        <v>28022.179999999993</v>
      </c>
      <c r="L30" t="str">
        <f>IF(OR('REGIÃO 01 - RESUMO'!L30="",'REGIÃO 01 - RESUMO'!L30=0),"",'REGIÃO 01 - RESUMO'!L30)</f>
        <v>Concluída</v>
      </c>
      <c r="M30">
        <f>'REGIÃO 01 - HISTÓRICO'!J30</f>
        <v>0</v>
      </c>
      <c r="N30">
        <f>'REGIÃO 01 - HISTÓRICO'!L30</f>
        <v>0</v>
      </c>
      <c r="O30">
        <f>'REGIÃO 01 - HISTÓRICO'!N30</f>
        <v>117461.84</v>
      </c>
      <c r="P30">
        <f>'REGIÃO 01 - HISTÓRICO'!P30</f>
        <v>0</v>
      </c>
      <c r="Q30">
        <f>'REGIÃO 01 - HISTÓRICO'!R30</f>
        <v>0</v>
      </c>
      <c r="R30">
        <f>'REGIÃO 01 - HISTÓRICO'!T30</f>
        <v>0</v>
      </c>
      <c r="S30">
        <f>'REGIÃO 01 - HISTÓRICO'!V30</f>
        <v>0</v>
      </c>
      <c r="T30">
        <f>'REGIÃO 01 - HISTÓRICO'!X30</f>
        <v>0</v>
      </c>
      <c r="U30">
        <f>'REGIÃO 01 - HISTÓRICO'!Z30</f>
        <v>0</v>
      </c>
      <c r="V30">
        <f>'REGIÃO 01 - HISTÓRICO'!AB30</f>
        <v>0</v>
      </c>
      <c r="W30">
        <f>'REGIÃO 01 - HISTÓRICO'!AD30</f>
        <v>0</v>
      </c>
      <c r="X30">
        <f>'REGIÃO 01 - HISTÓRICO'!AF30</f>
        <v>0</v>
      </c>
      <c r="Z30" t="str">
        <v>Roçada / Limpeza Ponte / Caiação de EDS e pontes</v>
      </c>
      <c r="AA30">
        <f t="shared" si="0"/>
        <v>1</v>
      </c>
      <c r="AB30">
        <f t="shared" si="1"/>
        <v>19855.62</v>
      </c>
      <c r="AC30">
        <f t="shared" si="2"/>
        <v>19855.61997</v>
      </c>
      <c r="AD30">
        <f t="shared" si="3"/>
        <v>48</v>
      </c>
      <c r="AF30" t="str">
        <f t="shared" si="4"/>
        <v>R01</v>
      </c>
      <c r="AG30" t="str">
        <f t="shared" si="5"/>
        <v>040.2024.0099</v>
      </c>
      <c r="AH30">
        <f t="shared" si="6"/>
        <v>145484.01999999999</v>
      </c>
      <c r="AI30">
        <f t="shared" si="7"/>
        <v>145484.01996999999</v>
      </c>
      <c r="AJ30">
        <f t="shared" si="8"/>
        <v>62</v>
      </c>
    </row>
    <row r="31" spans="2:36" x14ac:dyDescent="0.3">
      <c r="B31" t="str">
        <f>'REGIÃO 01 - RESUMO'!C31</f>
        <v>R01</v>
      </c>
      <c r="C31" t="str">
        <f>'REGIÃO 01 - RESUMO'!D31</f>
        <v>040.2024</v>
      </c>
      <c r="D31" s="92">
        <f>'REGIÃO 01 - RESUMO'!E31</f>
        <v>100</v>
      </c>
      <c r="E31" s="91" t="str">
        <f>'REGIÃO 01 - RESUMO'!F31</f>
        <v>Março</v>
      </c>
      <c r="F31" s="93">
        <f>'REGIÃO 01 - RESUMO'!H31</f>
        <v>7</v>
      </c>
      <c r="G31" t="str">
        <f>'REGIÃO 01 - RESUMO'!I31</f>
        <v>RODOVIA TO-126 - TRECHO ITAGUATINS - MAURILÂNDIA DO TOCANTINS</v>
      </c>
      <c r="H31" s="91" t="str">
        <f>'REGIÃO 01 - RESUMO'!J31</f>
        <v>Recomposição manual de aterro / Enrocamento de pedra arrumada / Enrocamento de pedra jogada / Reparo EDS</v>
      </c>
      <c r="I31">
        <f>'REGIÃO 01 - RESUMO'!K31</f>
        <v>70828.509999999995</v>
      </c>
      <c r="J31">
        <f>'REGIÃO 01 - HISTÓRICO'!F31</f>
        <v>70777.89</v>
      </c>
      <c r="K31">
        <f>'REGIÃO 01 - HISTÓRICO'!G31</f>
        <v>50.619999999995343</v>
      </c>
      <c r="L31" t="str">
        <f>IF(OR('REGIÃO 01 - RESUMO'!L31="",'REGIÃO 01 - RESUMO'!L31=0),"",'REGIÃO 01 - RESUMO'!L31)</f>
        <v>Concluída</v>
      </c>
      <c r="M31">
        <f>'REGIÃO 01 - HISTÓRICO'!J31</f>
        <v>0</v>
      </c>
      <c r="N31">
        <f>'REGIÃO 01 - HISTÓRICO'!L31</f>
        <v>0</v>
      </c>
      <c r="O31">
        <f>'REGIÃO 01 - HISTÓRICO'!N31</f>
        <v>0</v>
      </c>
      <c r="P31">
        <f>'REGIÃO 01 - HISTÓRICO'!P31</f>
        <v>70777.89</v>
      </c>
      <c r="Q31">
        <f>'REGIÃO 01 - HISTÓRICO'!R31</f>
        <v>0</v>
      </c>
      <c r="R31">
        <f>'REGIÃO 01 - HISTÓRICO'!T31</f>
        <v>0</v>
      </c>
      <c r="S31">
        <f>'REGIÃO 01 - HISTÓRICO'!V31</f>
        <v>0</v>
      </c>
      <c r="T31">
        <f>'REGIÃO 01 - HISTÓRICO'!X31</f>
        <v>0</v>
      </c>
      <c r="U31">
        <f>'REGIÃO 01 - HISTÓRICO'!Z31</f>
        <v>0</v>
      </c>
      <c r="V31">
        <f>'REGIÃO 01 - HISTÓRICO'!AB31</f>
        <v>0</v>
      </c>
      <c r="W31">
        <f>'REGIÃO 01 - HISTÓRICO'!AD31</f>
        <v>0</v>
      </c>
      <c r="X31">
        <f>'REGIÃO 01 - HISTÓRICO'!AF31</f>
        <v>0</v>
      </c>
      <c r="Z31" t="str">
        <v>Roçada / Tapa-Buraco CAE</v>
      </c>
      <c r="AA31">
        <f t="shared" si="0"/>
        <v>2</v>
      </c>
      <c r="AB31">
        <f t="shared" si="1"/>
        <v>548378.60000000009</v>
      </c>
      <c r="AC31">
        <f t="shared" si="2"/>
        <v>548378.59996900009</v>
      </c>
      <c r="AD31">
        <f t="shared" si="3"/>
        <v>21</v>
      </c>
      <c r="AF31" t="str">
        <f t="shared" si="4"/>
        <v>R01</v>
      </c>
      <c r="AG31" t="str">
        <f t="shared" si="5"/>
        <v>040.2024.0100</v>
      </c>
      <c r="AH31">
        <f t="shared" si="6"/>
        <v>70828.509999999995</v>
      </c>
      <c r="AI31">
        <f t="shared" si="7"/>
        <v>70828.509968999992</v>
      </c>
      <c r="AJ31">
        <f t="shared" si="8"/>
        <v>80</v>
      </c>
    </row>
    <row r="32" spans="2:36" x14ac:dyDescent="0.3">
      <c r="B32" t="str">
        <f>'REGIÃO 01 - RESUMO'!C32</f>
        <v>R01</v>
      </c>
      <c r="C32" t="str">
        <f>'REGIÃO 01 - RESUMO'!D32</f>
        <v>040.2024</v>
      </c>
      <c r="D32" s="92">
        <f>'REGIÃO 01 - RESUMO'!E32</f>
        <v>101</v>
      </c>
      <c r="E32" s="91" t="str">
        <f>'REGIÃO 01 - RESUMO'!F32</f>
        <v>Março</v>
      </c>
      <c r="F32" s="93">
        <f>'REGIÃO 01 - RESUMO'!H32</f>
        <v>18</v>
      </c>
      <c r="G32" t="str">
        <f>'REGIÃO 01 - RESUMO'!I32</f>
        <v>RODOVIA TO-201 - TRECHO AUGUSTINÓPOLIS - BURITI DO TOCANTINS</v>
      </c>
      <c r="H32" s="91" t="str">
        <f>'REGIÃO 01 - RESUMO'!J32</f>
        <v>Roçada / Tapa-Buraco CAE / Recomposição manual de aterro / Enrocamento de pedra arrumada / Enrocamento de pedra jogada / Reparo EDS / Remendo Profundo</v>
      </c>
      <c r="I32">
        <f>'REGIÃO 01 - RESUMO'!K32</f>
        <v>55228.23</v>
      </c>
      <c r="J32">
        <f>'REGIÃO 01 - HISTÓRICO'!F32</f>
        <v>48528.78</v>
      </c>
      <c r="K32">
        <f>'REGIÃO 01 - HISTÓRICO'!G32</f>
        <v>6699.4500000000044</v>
      </c>
      <c r="L32" t="str">
        <f>IF(OR('REGIÃO 01 - RESUMO'!L32="",'REGIÃO 01 - RESUMO'!L32=0),"",'REGIÃO 01 - RESUMO'!L32)</f>
        <v>Concluída</v>
      </c>
      <c r="M32">
        <f>'REGIÃO 01 - HISTÓRICO'!J32</f>
        <v>0</v>
      </c>
      <c r="N32">
        <f>'REGIÃO 01 - HISTÓRICO'!L32</f>
        <v>0</v>
      </c>
      <c r="O32">
        <f>'REGIÃO 01 - HISTÓRICO'!N32</f>
        <v>0</v>
      </c>
      <c r="P32">
        <f>'REGIÃO 01 - HISTÓRICO'!P32</f>
        <v>48528.78</v>
      </c>
      <c r="Q32">
        <f>'REGIÃO 01 - HISTÓRICO'!R32</f>
        <v>0</v>
      </c>
      <c r="R32">
        <f>'REGIÃO 01 - HISTÓRICO'!T32</f>
        <v>0</v>
      </c>
      <c r="S32">
        <f>'REGIÃO 01 - HISTÓRICO'!V32</f>
        <v>0</v>
      </c>
      <c r="T32">
        <f>'REGIÃO 01 - HISTÓRICO'!X32</f>
        <v>0</v>
      </c>
      <c r="U32">
        <f>'REGIÃO 01 - HISTÓRICO'!Z32</f>
        <v>0</v>
      </c>
      <c r="V32">
        <f>'REGIÃO 01 - HISTÓRICO'!AB32</f>
        <v>0</v>
      </c>
      <c r="W32">
        <f>'REGIÃO 01 - HISTÓRICO'!AD32</f>
        <v>0</v>
      </c>
      <c r="X32">
        <f>'REGIÃO 01 - HISTÓRICO'!AF32</f>
        <v>0</v>
      </c>
      <c r="Z32" t="str">
        <v>Roçada / Tapa-Buraco CAE / Recomposição manual de aterro / Enrocamento de pedra arrumada / Enrocamento de pedra jogada / Reparo EDS / Remendo Profundo</v>
      </c>
      <c r="AA32">
        <f t="shared" si="0"/>
        <v>2</v>
      </c>
      <c r="AB32">
        <f t="shared" si="1"/>
        <v>110777.25</v>
      </c>
      <c r="AC32">
        <f t="shared" si="2"/>
        <v>110777.249968</v>
      </c>
      <c r="AD32">
        <f t="shared" si="3"/>
        <v>39</v>
      </c>
      <c r="AF32" t="str">
        <f t="shared" si="4"/>
        <v>R01</v>
      </c>
      <c r="AG32" t="str">
        <f t="shared" si="5"/>
        <v>040.2024.0101</v>
      </c>
      <c r="AH32">
        <f t="shared" si="6"/>
        <v>55228.23</v>
      </c>
      <c r="AI32">
        <f t="shared" si="7"/>
        <v>55228.229968</v>
      </c>
      <c r="AJ32">
        <f t="shared" si="8"/>
        <v>88</v>
      </c>
    </row>
    <row r="33" spans="2:36" x14ac:dyDescent="0.3">
      <c r="B33" t="str">
        <f>'REGIÃO 01 - RESUMO'!C33</f>
        <v>R01</v>
      </c>
      <c r="C33" t="str">
        <f>'REGIÃO 01 - RESUMO'!D33</f>
        <v>040.2024</v>
      </c>
      <c r="D33" s="92">
        <f>'REGIÃO 01 - RESUMO'!E33</f>
        <v>102</v>
      </c>
      <c r="E33" s="91" t="str">
        <f>'REGIÃO 01 - RESUMO'!F33</f>
        <v>Março</v>
      </c>
      <c r="F33" s="93">
        <f>'REGIÃO 01 - RESUMO'!H33</f>
        <v>19</v>
      </c>
      <c r="G33" t="str">
        <f>'REGIÃO 01 - RESUMO'!I33</f>
        <v>RODOVIA TO-201 - TRECHO BURITI DO TOCANTINS - ESPERANTINA</v>
      </c>
      <c r="H33" s="91" t="str">
        <f>'REGIÃO 01 - RESUMO'!J33</f>
        <v>Roçada / Tapa-Buraco CAE / Recomposição manual de aterro / Enrocamento de pedra arrumada / Enrocamento de pedra jogada / Reparo EDS / Remendo Profundo</v>
      </c>
      <c r="I33">
        <f>'REGIÃO 01 - RESUMO'!K33</f>
        <v>55549.02</v>
      </c>
      <c r="J33">
        <f>'REGIÃO 01 - HISTÓRICO'!F33</f>
        <v>53019.13</v>
      </c>
      <c r="K33">
        <f>'REGIÃO 01 - HISTÓRICO'!G33</f>
        <v>2529.8899999999994</v>
      </c>
      <c r="L33" t="str">
        <f>IF(OR('REGIÃO 01 - RESUMO'!L33="",'REGIÃO 01 - RESUMO'!L33=0),"",'REGIÃO 01 - RESUMO'!L33)</f>
        <v>Concluída</v>
      </c>
      <c r="M33">
        <f>'REGIÃO 01 - HISTÓRICO'!J33</f>
        <v>0</v>
      </c>
      <c r="N33">
        <f>'REGIÃO 01 - HISTÓRICO'!L33</f>
        <v>0</v>
      </c>
      <c r="O33">
        <f>'REGIÃO 01 - HISTÓRICO'!N33</f>
        <v>29548.6</v>
      </c>
      <c r="P33">
        <f>'REGIÃO 01 - HISTÓRICO'!P33</f>
        <v>23470.53</v>
      </c>
      <c r="Q33">
        <f>'REGIÃO 01 - HISTÓRICO'!R33</f>
        <v>0</v>
      </c>
      <c r="R33">
        <f>'REGIÃO 01 - HISTÓRICO'!T33</f>
        <v>0</v>
      </c>
      <c r="S33">
        <f>'REGIÃO 01 - HISTÓRICO'!V33</f>
        <v>0</v>
      </c>
      <c r="T33">
        <f>'REGIÃO 01 - HISTÓRICO'!X33</f>
        <v>0</v>
      </c>
      <c r="U33">
        <f>'REGIÃO 01 - HISTÓRICO'!Z33</f>
        <v>0</v>
      </c>
      <c r="V33">
        <f>'REGIÃO 01 - HISTÓRICO'!AB33</f>
        <v>0</v>
      </c>
      <c r="W33">
        <f>'REGIÃO 01 - HISTÓRICO'!AD33</f>
        <v>0</v>
      </c>
      <c r="X33">
        <f>'REGIÃO 01 - HISTÓRICO'!AF33</f>
        <v>0</v>
      </c>
      <c r="Z33" t="str">
        <v>Roçada / Tapa-Buraco CAE / Remendo Profundo</v>
      </c>
      <c r="AA33">
        <f t="shared" si="0"/>
        <v>5</v>
      </c>
      <c r="AB33">
        <f t="shared" si="1"/>
        <v>1319881.3500000001</v>
      </c>
      <c r="AC33">
        <f t="shared" si="2"/>
        <v>1319881.3499670001</v>
      </c>
      <c r="AD33">
        <f t="shared" si="3"/>
        <v>10</v>
      </c>
      <c r="AF33" t="str">
        <f t="shared" si="4"/>
        <v>R01</v>
      </c>
      <c r="AG33" t="str">
        <f t="shared" si="5"/>
        <v>040.2024.0102</v>
      </c>
      <c r="AH33">
        <f t="shared" si="6"/>
        <v>55549.02</v>
      </c>
      <c r="AI33">
        <f t="shared" si="7"/>
        <v>55549.019967</v>
      </c>
      <c r="AJ33">
        <f t="shared" si="8"/>
        <v>87</v>
      </c>
    </row>
    <row r="34" spans="2:36" x14ac:dyDescent="0.3">
      <c r="B34" t="str">
        <f>'REGIÃO 01 - RESUMO'!C34</f>
        <v>R01</v>
      </c>
      <c r="C34" t="str">
        <f>'REGIÃO 01 - RESUMO'!D34</f>
        <v>040.2024</v>
      </c>
      <c r="D34" s="92">
        <f>'REGIÃO 01 - RESUMO'!E34</f>
        <v>103</v>
      </c>
      <c r="E34" s="91" t="str">
        <f>'REGIÃO 01 - RESUMO'!F34</f>
        <v>Maio</v>
      </c>
      <c r="F34" s="93">
        <f>'REGIÃO 01 - RESUMO'!H34</f>
        <v>30</v>
      </c>
      <c r="G34" t="str">
        <f>'REGIÃO 01 - RESUMO'!I34</f>
        <v xml:space="preserve">RODOVIA TO-404 - TRECHO AUGUSTINÓPOLIS - PRAIA NORTE </v>
      </c>
      <c r="H34" s="91" t="str">
        <f>'REGIÃO 01 - RESUMO'!J34</f>
        <v>Roçada</v>
      </c>
      <c r="I34">
        <f>'REGIÃO 01 - RESUMO'!K34</f>
        <v>7297.5</v>
      </c>
      <c r="J34">
        <f>'REGIÃO 01 - HISTÓRICO'!F34</f>
        <v>6467.5</v>
      </c>
      <c r="K34">
        <f>'REGIÃO 01 - HISTÓRICO'!G34</f>
        <v>830</v>
      </c>
      <c r="L34" t="str">
        <f>IF(OR('REGIÃO 01 - RESUMO'!L34="",'REGIÃO 01 - RESUMO'!L34=0),"",'REGIÃO 01 - RESUMO'!L34)</f>
        <v>Concluída</v>
      </c>
      <c r="M34">
        <f>'REGIÃO 01 - HISTÓRICO'!J34</f>
        <v>0</v>
      </c>
      <c r="N34">
        <f>'REGIÃO 01 - HISTÓRICO'!L34</f>
        <v>0</v>
      </c>
      <c r="O34">
        <f>'REGIÃO 01 - HISTÓRICO'!N34</f>
        <v>0</v>
      </c>
      <c r="P34">
        <f>'REGIÃO 01 - HISTÓRICO'!P34</f>
        <v>0</v>
      </c>
      <c r="Q34">
        <f>'REGIÃO 01 - HISTÓRICO'!R34</f>
        <v>6467.5</v>
      </c>
      <c r="R34">
        <f>'REGIÃO 01 - HISTÓRICO'!T34</f>
        <v>0</v>
      </c>
      <c r="S34">
        <f>'REGIÃO 01 - HISTÓRICO'!V34</f>
        <v>0</v>
      </c>
      <c r="T34">
        <f>'REGIÃO 01 - HISTÓRICO'!X34</f>
        <v>0</v>
      </c>
      <c r="U34">
        <f>'REGIÃO 01 - HISTÓRICO'!Z34</f>
        <v>0</v>
      </c>
      <c r="V34">
        <f>'REGIÃO 01 - HISTÓRICO'!AB34</f>
        <v>0</v>
      </c>
      <c r="W34">
        <f>'REGIÃO 01 - HISTÓRICO'!AD34</f>
        <v>0</v>
      </c>
      <c r="X34">
        <f>'REGIÃO 01 - HISTÓRICO'!AF34</f>
        <v>0</v>
      </c>
      <c r="Z34" t="str">
        <v>Roçada / Tapa-Buraco CAE / Remendo Profundo / Reconformação da plataforma</v>
      </c>
      <c r="AA34">
        <f t="shared" si="0"/>
        <v>1</v>
      </c>
      <c r="AB34">
        <f t="shared" si="1"/>
        <v>68219.39</v>
      </c>
      <c r="AC34">
        <f t="shared" si="2"/>
        <v>68219.389966000002</v>
      </c>
      <c r="AD34">
        <f t="shared" si="3"/>
        <v>46</v>
      </c>
      <c r="AF34" t="str">
        <f t="shared" si="4"/>
        <v>R01</v>
      </c>
      <c r="AG34" t="str">
        <f t="shared" si="5"/>
        <v>040.2024.0103</v>
      </c>
      <c r="AH34">
        <f t="shared" si="6"/>
        <v>7297.5</v>
      </c>
      <c r="AI34">
        <f t="shared" si="7"/>
        <v>7297.4999660000003</v>
      </c>
      <c r="AJ34">
        <f t="shared" si="8"/>
        <v>137</v>
      </c>
    </row>
    <row r="35" spans="2:36" x14ac:dyDescent="0.3">
      <c r="B35" t="str">
        <f>'REGIÃO 01 - RESUMO'!C35</f>
        <v>R01</v>
      </c>
      <c r="C35" t="str">
        <f>'REGIÃO 01 - RESUMO'!D35</f>
        <v>040.2024</v>
      </c>
      <c r="D35" s="92">
        <f>'REGIÃO 01 - RESUMO'!E35</f>
        <v>104</v>
      </c>
      <c r="E35" s="91" t="str">
        <f>'REGIÃO 01 - RESUMO'!F35</f>
        <v>Março</v>
      </c>
      <c r="F35" s="93">
        <f>'REGIÃO 01 - RESUMO'!H35</f>
        <v>32</v>
      </c>
      <c r="G35" t="str">
        <f>'REGIÃO 01 - RESUMO'!I35</f>
        <v>RODOVIA TO-407 - TRECHO CARRASCO BONITO - ENTR. TO-201 (POVOADO CENTRO DOS FIRMINOS)</v>
      </c>
      <c r="H35" s="91" t="str">
        <f>'REGIÃO 01 - RESUMO'!J35</f>
        <v>Roçada / Tapa-Buraco CAE / Remendo Profundo</v>
      </c>
      <c r="I35">
        <f>'REGIÃO 01 - RESUMO'!K35</f>
        <v>193563.96</v>
      </c>
      <c r="J35">
        <f>'REGIÃO 01 - HISTÓRICO'!F35</f>
        <v>182660.59000000003</v>
      </c>
      <c r="K35">
        <f>'REGIÃO 01 - HISTÓRICO'!G35</f>
        <v>10903.369999999966</v>
      </c>
      <c r="L35" t="str">
        <f>IF(OR('REGIÃO 01 - RESUMO'!L35="",'REGIÃO 01 - RESUMO'!L35=0),"",'REGIÃO 01 - RESUMO'!L35)</f>
        <v>Concluída</v>
      </c>
      <c r="M35">
        <f>'REGIÃO 01 - HISTÓRICO'!J35</f>
        <v>0</v>
      </c>
      <c r="N35">
        <f>'REGIÃO 01 - HISTÓRICO'!L35</f>
        <v>0</v>
      </c>
      <c r="O35">
        <f>'REGIÃO 01 - HISTÓRICO'!N35</f>
        <v>178748.64</v>
      </c>
      <c r="P35">
        <f>'REGIÃO 01 - HISTÓRICO'!P35</f>
        <v>3911.95</v>
      </c>
      <c r="Q35">
        <f>'REGIÃO 01 - HISTÓRICO'!R35</f>
        <v>0</v>
      </c>
      <c r="R35">
        <f>'REGIÃO 01 - HISTÓRICO'!T35</f>
        <v>0</v>
      </c>
      <c r="S35">
        <f>'REGIÃO 01 - HISTÓRICO'!V35</f>
        <v>0</v>
      </c>
      <c r="T35">
        <f>'REGIÃO 01 - HISTÓRICO'!X35</f>
        <v>0</v>
      </c>
      <c r="U35">
        <f>'REGIÃO 01 - HISTÓRICO'!Z35</f>
        <v>0</v>
      </c>
      <c r="V35">
        <f>'REGIÃO 01 - HISTÓRICO'!AB35</f>
        <v>0</v>
      </c>
      <c r="W35">
        <f>'REGIÃO 01 - HISTÓRICO'!AD35</f>
        <v>0</v>
      </c>
      <c r="X35">
        <f>'REGIÃO 01 - HISTÓRICO'!AF35</f>
        <v>0</v>
      </c>
      <c r="Z35" t="str">
        <v>Roçada / Tapa-Buraco CAE / Reparo EDS / Remendo Profundo / Caiação de EDS e pontes</v>
      </c>
      <c r="AA35">
        <f t="shared" si="0"/>
        <v>1</v>
      </c>
      <c r="AB35">
        <f t="shared" si="1"/>
        <v>770799.13</v>
      </c>
      <c r="AC35">
        <f t="shared" si="2"/>
        <v>770799.12996499997</v>
      </c>
      <c r="AD35">
        <f t="shared" si="3"/>
        <v>16</v>
      </c>
      <c r="AF35" t="str">
        <f t="shared" si="4"/>
        <v>R01</v>
      </c>
      <c r="AG35" t="str">
        <f t="shared" si="5"/>
        <v>040.2024.0104</v>
      </c>
      <c r="AH35">
        <f t="shared" si="6"/>
        <v>193563.96</v>
      </c>
      <c r="AI35">
        <f t="shared" si="7"/>
        <v>193563.95996499999</v>
      </c>
      <c r="AJ35">
        <f t="shared" si="8"/>
        <v>54</v>
      </c>
    </row>
    <row r="36" spans="2:36" x14ac:dyDescent="0.3">
      <c r="B36" t="str">
        <f>'REGIÃO 01 - RESUMO'!C36</f>
        <v>R01</v>
      </c>
      <c r="C36" t="str">
        <f>'REGIÃO 01 - RESUMO'!D36</f>
        <v>040.2024</v>
      </c>
      <c r="D36" s="92">
        <f>'REGIÃO 01 - RESUMO'!E36</f>
        <v>105</v>
      </c>
      <c r="E36" s="91" t="str">
        <f>'REGIÃO 01 - RESUMO'!F36</f>
        <v>Abril</v>
      </c>
      <c r="F36" s="93">
        <f>'REGIÃO 01 - RESUMO'!H36</f>
        <v>18</v>
      </c>
      <c r="G36" t="str">
        <f>'REGIÃO 01 - RESUMO'!I36</f>
        <v>RODOVIA TO-201 - TRECHO AUGUSTINÓPOLIS - BURITI DO TOCANTINS</v>
      </c>
      <c r="H36" s="91" t="str">
        <f>'REGIÃO 01 - RESUMO'!J36</f>
        <v>Limpeza EDS / Caiação de EDS e pontes</v>
      </c>
      <c r="I36">
        <f>'REGIÃO 01 - RESUMO'!K36</f>
        <v>117633.13</v>
      </c>
      <c r="J36">
        <f>'REGIÃO 01 - HISTÓRICO'!F36</f>
        <v>94147.98000000001</v>
      </c>
      <c r="K36">
        <f>'REGIÃO 01 - HISTÓRICO'!G36</f>
        <v>23485.149999999994</v>
      </c>
      <c r="L36" t="str">
        <f>IF(OR('REGIÃO 01 - RESUMO'!L36="",'REGIÃO 01 - RESUMO'!L36=0),"",'REGIÃO 01 - RESUMO'!L36)</f>
        <v>Concluída</v>
      </c>
      <c r="M36">
        <f>'REGIÃO 01 - HISTÓRICO'!J36</f>
        <v>0</v>
      </c>
      <c r="N36">
        <f>'REGIÃO 01 - HISTÓRICO'!L36</f>
        <v>0</v>
      </c>
      <c r="O36">
        <f>'REGIÃO 01 - HISTÓRICO'!N36</f>
        <v>0</v>
      </c>
      <c r="P36">
        <f>'REGIÃO 01 - HISTÓRICO'!P36</f>
        <v>35759.410000000003</v>
      </c>
      <c r="Q36">
        <f>'REGIÃO 01 - HISTÓRICO'!R36</f>
        <v>58388.57</v>
      </c>
      <c r="R36">
        <f>'REGIÃO 01 - HISTÓRICO'!T36</f>
        <v>0</v>
      </c>
      <c r="S36">
        <f>'REGIÃO 01 - HISTÓRICO'!V36</f>
        <v>0</v>
      </c>
      <c r="T36">
        <f>'REGIÃO 01 - HISTÓRICO'!X36</f>
        <v>0</v>
      </c>
      <c r="U36">
        <f>'REGIÃO 01 - HISTÓRICO'!Z36</f>
        <v>0</v>
      </c>
      <c r="V36">
        <f>'REGIÃO 01 - HISTÓRICO'!AB36</f>
        <v>0</v>
      </c>
      <c r="W36">
        <f>'REGIÃO 01 - HISTÓRICO'!AD36</f>
        <v>0</v>
      </c>
      <c r="X36">
        <f>'REGIÃO 01 - HISTÓRICO'!AF36</f>
        <v>0</v>
      </c>
      <c r="Z36" t="str">
        <v>Roçada / Tapa-Buraco PMF / Tapa-Buraco CAE / Remendo Profundo</v>
      </c>
      <c r="AA36">
        <f t="shared" ref="AA36:AA59" si="9">IF($Z36="","",COUNTIFS($H$4:$H$166,$Z36,$B$4:$B$166,$Z$1))</f>
        <v>1</v>
      </c>
      <c r="AB36">
        <f t="shared" ref="AB36:AB59" si="10">IF($Z36="","",SUMIFS($I$4:$I$166,$H$4:$H$166,$Z36,$B$4:$B$166,$Z$1))</f>
        <v>277454.59999999998</v>
      </c>
      <c r="AC36">
        <f t="shared" ref="AC36:AC59" si="11">IF($Z36="","",$AB36-ROW()/1000000)</f>
        <v>277454.59996399999</v>
      </c>
      <c r="AD36">
        <f t="shared" ref="AD36:AD59" si="12">IFERROR(RANK($AC36,$AC$4:$AC$59),"")</f>
        <v>29</v>
      </c>
      <c r="AF36" t="str">
        <f t="shared" ref="AF36:AF67" si="13">$B36</f>
        <v>R01</v>
      </c>
      <c r="AG36" t="str">
        <f t="shared" ref="AG36:AG67" si="14">$C36&amp;"."&amp;TEXT($D36,"0000")</f>
        <v>040.2024.0105</v>
      </c>
      <c r="AH36">
        <f t="shared" ref="AH36:AH67" si="15">IF(OR($Z$1="*",COUNTIF($B36,$Z$1)=1),$I36,-1)</f>
        <v>117633.13</v>
      </c>
      <c r="AI36">
        <f t="shared" ref="AI36:AI67" si="16">IF($AH36&lt;0,"",$AH36-ROW()/1000000)</f>
        <v>117633.12996400001</v>
      </c>
      <c r="AJ36">
        <f t="shared" ref="AJ36:AJ67" si="17">IFERROR(RANK($AI36,$AI$4:$AI$166),"")</f>
        <v>65</v>
      </c>
    </row>
    <row r="37" spans="2:36" x14ac:dyDescent="0.3">
      <c r="B37" t="str">
        <f>'REGIÃO 01 - RESUMO'!C37</f>
        <v>R01</v>
      </c>
      <c r="C37" t="str">
        <f>'REGIÃO 01 - RESUMO'!D37</f>
        <v>040.2024</v>
      </c>
      <c r="D37" s="92">
        <f>'REGIÃO 01 - RESUMO'!E37</f>
        <v>106</v>
      </c>
      <c r="E37" s="91" t="str">
        <f>'REGIÃO 01 - RESUMO'!F37</f>
        <v>Abril</v>
      </c>
      <c r="F37" s="93">
        <f>'REGIÃO 01 - RESUMO'!H37</f>
        <v>19</v>
      </c>
      <c r="G37" t="str">
        <f>'REGIÃO 01 - RESUMO'!I37</f>
        <v>RODOVIA TO-201 - TRECHO BURITI DO TOCANTINS - ESPERANTINA</v>
      </c>
      <c r="H37" s="91" t="str">
        <f>'REGIÃO 01 - RESUMO'!J37</f>
        <v>Limpeza EDS / Caiação de EDS e pontes</v>
      </c>
      <c r="I37">
        <f>'REGIÃO 01 - RESUMO'!K37</f>
        <v>78359.03</v>
      </c>
      <c r="J37">
        <f>'REGIÃO 01 - HISTÓRICO'!F37</f>
        <v>40247.65</v>
      </c>
      <c r="K37">
        <f>'REGIÃO 01 - HISTÓRICO'!G37</f>
        <v>38111.379999999997</v>
      </c>
      <c r="L37" t="str">
        <f>IF(OR('REGIÃO 01 - RESUMO'!L37="",'REGIÃO 01 - RESUMO'!L37=0),"",'REGIÃO 01 - RESUMO'!L37)</f>
        <v>Concluída</v>
      </c>
      <c r="M37">
        <f>'REGIÃO 01 - HISTÓRICO'!J37</f>
        <v>0</v>
      </c>
      <c r="N37">
        <f>'REGIÃO 01 - HISTÓRICO'!L37</f>
        <v>0</v>
      </c>
      <c r="O37">
        <f>'REGIÃO 01 - HISTÓRICO'!N37</f>
        <v>0</v>
      </c>
      <c r="P37">
        <f>'REGIÃO 01 - HISTÓRICO'!P37</f>
        <v>18399.650000000001</v>
      </c>
      <c r="Q37">
        <f>'REGIÃO 01 - HISTÓRICO'!R37</f>
        <v>21848</v>
      </c>
      <c r="R37">
        <f>'REGIÃO 01 - HISTÓRICO'!T37</f>
        <v>0</v>
      </c>
      <c r="S37">
        <f>'REGIÃO 01 - HISTÓRICO'!V37</f>
        <v>0</v>
      </c>
      <c r="T37">
        <f>'REGIÃO 01 - HISTÓRICO'!X37</f>
        <v>0</v>
      </c>
      <c r="U37">
        <f>'REGIÃO 01 - HISTÓRICO'!Z37</f>
        <v>0</v>
      </c>
      <c r="V37">
        <f>'REGIÃO 01 - HISTÓRICO'!AB37</f>
        <v>0</v>
      </c>
      <c r="W37">
        <f>'REGIÃO 01 - HISTÓRICO'!AD37</f>
        <v>0</v>
      </c>
      <c r="X37">
        <f>'REGIÃO 01 - HISTÓRICO'!AF37</f>
        <v>0</v>
      </c>
      <c r="Z37" t="str">
        <v>SERVIÇOS MANUTENÇÃO</v>
      </c>
      <c r="AA37">
        <f t="shared" si="9"/>
        <v>18</v>
      </c>
      <c r="AB37">
        <f t="shared" si="10"/>
        <v>1182107.67</v>
      </c>
      <c r="AC37">
        <f t="shared" si="11"/>
        <v>1182107.6699629999</v>
      </c>
      <c r="AD37">
        <f t="shared" si="12"/>
        <v>13</v>
      </c>
      <c r="AF37" t="str">
        <f t="shared" si="13"/>
        <v>R01</v>
      </c>
      <c r="AG37" t="str">
        <f t="shared" si="14"/>
        <v>040.2024.0106</v>
      </c>
      <c r="AH37">
        <f t="shared" si="15"/>
        <v>78359.03</v>
      </c>
      <c r="AI37">
        <f t="shared" si="16"/>
        <v>78359.029962999994</v>
      </c>
      <c r="AJ37">
        <f t="shared" si="17"/>
        <v>75</v>
      </c>
    </row>
    <row r="38" spans="2:36" x14ac:dyDescent="0.3">
      <c r="B38" t="str">
        <f>'REGIÃO 01 - RESUMO'!C38</f>
        <v>R01</v>
      </c>
      <c r="C38" t="str">
        <f>'REGIÃO 01 - RESUMO'!D38</f>
        <v>040.2024</v>
      </c>
      <c r="D38" s="92">
        <f>'REGIÃO 01 - RESUMO'!E38</f>
        <v>107</v>
      </c>
      <c r="E38" s="91" t="str">
        <f>'REGIÃO 01 - RESUMO'!F38</f>
        <v>Maio</v>
      </c>
      <c r="F38" s="93">
        <f>'REGIÃO 01 - RESUMO'!H38</f>
        <v>22</v>
      </c>
      <c r="G38" t="str">
        <f>'REGIÃO 01 - RESUMO'!I38</f>
        <v>RODOVIA TO-210 - TRECHO ENTR. TO-010 - DIVISA TO-PA (VILA ANTONINA)</v>
      </c>
      <c r="H38" s="91" t="str">
        <f>'REGIÃO 01 - RESUMO'!J38</f>
        <v>Terraplenagem / Reconformação da plataforma / Recomposição do revestimento primário</v>
      </c>
      <c r="I38">
        <f>'REGIÃO 01 - RESUMO'!K38</f>
        <v>75733.13</v>
      </c>
      <c r="J38">
        <f>'REGIÃO 01 - HISTÓRICO'!F38</f>
        <v>0</v>
      </c>
      <c r="K38">
        <f>'REGIÃO 01 - HISTÓRICO'!G38</f>
        <v>75733.13</v>
      </c>
      <c r="L38" t="str">
        <f>IF(OR('REGIÃO 01 - RESUMO'!L38="",'REGIÃO 01 - RESUMO'!L38=0),"",'REGIÃO 01 - RESUMO'!L38)</f>
        <v>Cancelada</v>
      </c>
      <c r="M38">
        <f>'REGIÃO 01 - HISTÓRICO'!J38</f>
        <v>0</v>
      </c>
      <c r="N38">
        <f>'REGIÃO 01 - HISTÓRICO'!L38</f>
        <v>0</v>
      </c>
      <c r="O38">
        <f>'REGIÃO 01 - HISTÓRICO'!N38</f>
        <v>0</v>
      </c>
      <c r="P38">
        <f>'REGIÃO 01 - HISTÓRICO'!P38</f>
        <v>0</v>
      </c>
      <c r="Q38">
        <f>'REGIÃO 01 - HISTÓRICO'!R38</f>
        <v>0</v>
      </c>
      <c r="R38">
        <f>'REGIÃO 01 - HISTÓRICO'!T38</f>
        <v>0</v>
      </c>
      <c r="S38">
        <f>'REGIÃO 01 - HISTÓRICO'!V38</f>
        <v>0</v>
      </c>
      <c r="T38">
        <f>'REGIÃO 01 - HISTÓRICO'!X38</f>
        <v>0</v>
      </c>
      <c r="U38">
        <f>'REGIÃO 01 - HISTÓRICO'!Z38</f>
        <v>0</v>
      </c>
      <c r="V38">
        <f>'REGIÃO 01 - HISTÓRICO'!AB38</f>
        <v>0</v>
      </c>
      <c r="W38">
        <f>'REGIÃO 01 - HISTÓRICO'!AD38</f>
        <v>0</v>
      </c>
      <c r="X38">
        <f>'REGIÃO 01 - HISTÓRICO'!AF38</f>
        <v>0</v>
      </c>
      <c r="Z38" t="str">
        <v>Tapa-Buraco CAE</v>
      </c>
      <c r="AA38">
        <f t="shared" si="9"/>
        <v>2</v>
      </c>
      <c r="AB38">
        <f t="shared" si="10"/>
        <v>624946.38</v>
      </c>
      <c r="AC38">
        <f t="shared" si="11"/>
        <v>624946.37996199995</v>
      </c>
      <c r="AD38">
        <f t="shared" si="12"/>
        <v>19</v>
      </c>
      <c r="AF38" t="str">
        <f t="shared" si="13"/>
        <v>R01</v>
      </c>
      <c r="AG38" t="str">
        <f t="shared" si="14"/>
        <v>040.2024.0107</v>
      </c>
      <c r="AH38">
        <f t="shared" si="15"/>
        <v>75733.13</v>
      </c>
      <c r="AI38">
        <f t="shared" si="16"/>
        <v>75733.129962000006</v>
      </c>
      <c r="AJ38">
        <f t="shared" si="17"/>
        <v>77</v>
      </c>
    </row>
    <row r="39" spans="2:36" x14ac:dyDescent="0.3">
      <c r="B39" t="str">
        <f>'REGIÃO 01 - RESUMO'!C39</f>
        <v>R01</v>
      </c>
      <c r="C39" t="str">
        <f>'REGIÃO 01 - RESUMO'!D39</f>
        <v>040.2024</v>
      </c>
      <c r="D39" s="92">
        <f>'REGIÃO 01 - RESUMO'!E39</f>
        <v>108</v>
      </c>
      <c r="E39" s="91" t="str">
        <f>'REGIÃO 01 - RESUMO'!F39</f>
        <v>Abril</v>
      </c>
      <c r="F39" s="93">
        <f>'REGIÃO 01 - RESUMO'!H39</f>
        <v>25</v>
      </c>
      <c r="G39" t="str">
        <f>'REGIÃO 01 - RESUMO'!I39</f>
        <v>RODOVIA TO-210 - TRECHO TOCANTINÓPOLIS - NAZARÉ</v>
      </c>
      <c r="H39" s="91" t="str">
        <f>'REGIÃO 01 - RESUMO'!J39</f>
        <v>Terraplenagem / Reconformação da plataforma / Recomposição do revestimento primário</v>
      </c>
      <c r="I39">
        <f>'REGIÃO 01 - RESUMO'!K39</f>
        <v>484231.65</v>
      </c>
      <c r="J39">
        <f>'REGIÃO 01 - HISTÓRICO'!F39</f>
        <v>483649.18</v>
      </c>
      <c r="K39">
        <f>'REGIÃO 01 - HISTÓRICO'!G39</f>
        <v>582.47000000003027</v>
      </c>
      <c r="L39" t="str">
        <f>IF(OR('REGIÃO 01 - RESUMO'!L39="",'REGIÃO 01 - RESUMO'!L39=0),"",'REGIÃO 01 - RESUMO'!L39)</f>
        <v>Concluída</v>
      </c>
      <c r="M39">
        <f>'REGIÃO 01 - HISTÓRICO'!J39</f>
        <v>0</v>
      </c>
      <c r="N39">
        <f>'REGIÃO 01 - HISTÓRICO'!L39</f>
        <v>0</v>
      </c>
      <c r="O39">
        <f>'REGIÃO 01 - HISTÓRICO'!N39</f>
        <v>0</v>
      </c>
      <c r="P39">
        <f>'REGIÃO 01 - HISTÓRICO'!P39</f>
        <v>246502.97</v>
      </c>
      <c r="Q39">
        <f>'REGIÃO 01 - HISTÓRICO'!R39</f>
        <v>237146.21</v>
      </c>
      <c r="R39">
        <f>'REGIÃO 01 - HISTÓRICO'!T39</f>
        <v>0</v>
      </c>
      <c r="S39">
        <f>'REGIÃO 01 - HISTÓRICO'!V39</f>
        <v>0</v>
      </c>
      <c r="T39">
        <f>'REGIÃO 01 - HISTÓRICO'!X39</f>
        <v>0</v>
      </c>
      <c r="U39">
        <f>'REGIÃO 01 - HISTÓRICO'!Z39</f>
        <v>0</v>
      </c>
      <c r="V39">
        <f>'REGIÃO 01 - HISTÓRICO'!AB39</f>
        <v>0</v>
      </c>
      <c r="W39">
        <f>'REGIÃO 01 - HISTÓRICO'!AD39</f>
        <v>0</v>
      </c>
      <c r="X39">
        <f>'REGIÃO 01 - HISTÓRICO'!AF39</f>
        <v>0</v>
      </c>
      <c r="Z39" t="str">
        <v>Tapa-Buraco CAE / Enrocamento de pedra arrumada / Enrocamento de pedra jogada / Recomposição de BDTC 100 / Reparo EDS / Remendo Profundo</v>
      </c>
      <c r="AA39">
        <f t="shared" si="9"/>
        <v>2</v>
      </c>
      <c r="AB39">
        <f t="shared" si="10"/>
        <v>181342.71000000002</v>
      </c>
      <c r="AC39">
        <f t="shared" si="11"/>
        <v>181342.70996100002</v>
      </c>
      <c r="AD39">
        <f t="shared" si="12"/>
        <v>34</v>
      </c>
      <c r="AF39" t="str">
        <f t="shared" si="13"/>
        <v>R01</v>
      </c>
      <c r="AG39" t="str">
        <f t="shared" si="14"/>
        <v>040.2024.0108</v>
      </c>
      <c r="AH39">
        <f t="shared" si="15"/>
        <v>484231.65</v>
      </c>
      <c r="AI39">
        <f t="shared" si="16"/>
        <v>484231.64996100002</v>
      </c>
      <c r="AJ39">
        <f t="shared" si="17"/>
        <v>30</v>
      </c>
    </row>
    <row r="40" spans="2:36" x14ac:dyDescent="0.3">
      <c r="B40" t="str">
        <f>'REGIÃO 01 - RESUMO'!C40</f>
        <v>R01</v>
      </c>
      <c r="C40" t="str">
        <f>'REGIÃO 01 - RESUMO'!D40</f>
        <v>040.2024</v>
      </c>
      <c r="D40" s="92">
        <f>'REGIÃO 01 - RESUMO'!E40</f>
        <v>109</v>
      </c>
      <c r="E40" s="91" t="str">
        <f>'REGIÃO 01 - RESUMO'!F40</f>
        <v>Abril</v>
      </c>
      <c r="F40" s="93">
        <f>'REGIÃO 01 - RESUMO'!H40</f>
        <v>2</v>
      </c>
      <c r="G40" t="str">
        <f>'REGIÃO 01 - RESUMO'!I40</f>
        <v>RODOVIA TO-010 - TRECHO ENTR. BR-230 - ARAGUATINS</v>
      </c>
      <c r="H40" s="91" t="str">
        <f>'REGIÃO 01 - RESUMO'!J40</f>
        <v>Roçada / Tapa-Buraco CAE</v>
      </c>
      <c r="I40">
        <f>'REGIÃO 01 - RESUMO'!K40</f>
        <v>139462.64000000001</v>
      </c>
      <c r="J40">
        <f>'REGIÃO 01 - HISTÓRICO'!F40</f>
        <v>138845.1</v>
      </c>
      <c r="K40">
        <f>'REGIÃO 01 - HISTÓRICO'!G40</f>
        <v>617.54000000000815</v>
      </c>
      <c r="L40" t="str">
        <f>IF(OR('REGIÃO 01 - RESUMO'!L40="",'REGIÃO 01 - RESUMO'!L40=0),"",'REGIÃO 01 - RESUMO'!L40)</f>
        <v>Concluída</v>
      </c>
      <c r="M40">
        <f>'REGIÃO 01 - HISTÓRICO'!J40</f>
        <v>0</v>
      </c>
      <c r="N40">
        <f>'REGIÃO 01 - HISTÓRICO'!L40</f>
        <v>0</v>
      </c>
      <c r="O40">
        <f>'REGIÃO 01 - HISTÓRICO'!N40</f>
        <v>0</v>
      </c>
      <c r="P40">
        <f>'REGIÃO 01 - HISTÓRICO'!P40</f>
        <v>138845.1</v>
      </c>
      <c r="Q40">
        <f>'REGIÃO 01 - HISTÓRICO'!R40</f>
        <v>0</v>
      </c>
      <c r="R40">
        <f>'REGIÃO 01 - HISTÓRICO'!T40</f>
        <v>0</v>
      </c>
      <c r="S40">
        <f>'REGIÃO 01 - HISTÓRICO'!V40</f>
        <v>0</v>
      </c>
      <c r="T40">
        <f>'REGIÃO 01 - HISTÓRICO'!X40</f>
        <v>0</v>
      </c>
      <c r="U40">
        <f>'REGIÃO 01 - HISTÓRICO'!Z40</f>
        <v>0</v>
      </c>
      <c r="V40">
        <f>'REGIÃO 01 - HISTÓRICO'!AB40</f>
        <v>0</v>
      </c>
      <c r="W40">
        <f>'REGIÃO 01 - HISTÓRICO'!AD40</f>
        <v>0</v>
      </c>
      <c r="X40">
        <f>'REGIÃO 01 - HISTÓRICO'!AF40</f>
        <v>0</v>
      </c>
      <c r="Z40" t="str">
        <v>Tapa-Buraco CAE / Enrocamento de pedra arrumada / Enrocamento de pedra jogada / Reparo EDS / Remendo Profundo</v>
      </c>
      <c r="AA40">
        <f t="shared" si="9"/>
        <v>1</v>
      </c>
      <c r="AB40">
        <f t="shared" si="10"/>
        <v>39329.910000000003</v>
      </c>
      <c r="AC40">
        <f t="shared" si="11"/>
        <v>39329.909960000005</v>
      </c>
      <c r="AD40">
        <f t="shared" si="12"/>
        <v>47</v>
      </c>
      <c r="AF40" t="str">
        <f t="shared" si="13"/>
        <v>R01</v>
      </c>
      <c r="AG40" t="str">
        <f t="shared" si="14"/>
        <v>040.2024.0109</v>
      </c>
      <c r="AH40">
        <f t="shared" si="15"/>
        <v>139462.64000000001</v>
      </c>
      <c r="AI40">
        <f t="shared" si="16"/>
        <v>139462.63996</v>
      </c>
      <c r="AJ40">
        <f t="shared" si="17"/>
        <v>63</v>
      </c>
    </row>
    <row r="41" spans="2:36" x14ac:dyDescent="0.3">
      <c r="B41" t="str">
        <f>'REGIÃO 01 - RESUMO'!C41</f>
        <v>R01</v>
      </c>
      <c r="C41" t="str">
        <f>'REGIÃO 01 - RESUMO'!D41</f>
        <v>040.2024</v>
      </c>
      <c r="D41" s="92">
        <f>'REGIÃO 01 - RESUMO'!E41</f>
        <v>110</v>
      </c>
      <c r="E41" s="91" t="str">
        <f>'REGIÃO 01 - RESUMO'!F41</f>
        <v>Abril</v>
      </c>
      <c r="F41" s="93">
        <f>'REGIÃO 01 - RESUMO'!H41</f>
        <v>274</v>
      </c>
      <c r="G41" t="str">
        <f>'REGIÃO 01 - RESUMO'!I41</f>
        <v>AERÓDROMO DE ARAGUATINS</v>
      </c>
      <c r="H41" s="91" t="str">
        <f>'REGIÃO 01 - RESUMO'!J41</f>
        <v>Manutenção corretiva Aeródromo</v>
      </c>
      <c r="I41">
        <f>'REGIÃO 01 - RESUMO'!K41</f>
        <v>72576.039999999994</v>
      </c>
      <c r="J41">
        <f>'REGIÃO 01 - HISTÓRICO'!F41</f>
        <v>71588.09</v>
      </c>
      <c r="K41">
        <f>'REGIÃO 01 - HISTÓRICO'!G41</f>
        <v>987.94999999999709</v>
      </c>
      <c r="L41" t="str">
        <f>IF(OR('REGIÃO 01 - RESUMO'!L41="",'REGIÃO 01 - RESUMO'!L41=0),"",'REGIÃO 01 - RESUMO'!L41)</f>
        <v>Concluída</v>
      </c>
      <c r="M41">
        <f>'REGIÃO 01 - HISTÓRICO'!J41</f>
        <v>0</v>
      </c>
      <c r="N41">
        <f>'REGIÃO 01 - HISTÓRICO'!L41</f>
        <v>0</v>
      </c>
      <c r="O41">
        <f>'REGIÃO 01 - HISTÓRICO'!N41</f>
        <v>0</v>
      </c>
      <c r="P41">
        <f>'REGIÃO 01 - HISTÓRICO'!P41</f>
        <v>71588.09</v>
      </c>
      <c r="Q41">
        <f>'REGIÃO 01 - HISTÓRICO'!R41</f>
        <v>0</v>
      </c>
      <c r="R41">
        <f>'REGIÃO 01 - HISTÓRICO'!T41</f>
        <v>0</v>
      </c>
      <c r="S41">
        <f>'REGIÃO 01 - HISTÓRICO'!V41</f>
        <v>0</v>
      </c>
      <c r="T41">
        <f>'REGIÃO 01 - HISTÓRICO'!X41</f>
        <v>0</v>
      </c>
      <c r="U41">
        <f>'REGIÃO 01 - HISTÓRICO'!Z41</f>
        <v>0</v>
      </c>
      <c r="V41">
        <f>'REGIÃO 01 - HISTÓRICO'!AB41</f>
        <v>0</v>
      </c>
      <c r="W41">
        <f>'REGIÃO 01 - HISTÓRICO'!AD41</f>
        <v>0</v>
      </c>
      <c r="X41">
        <f>'REGIÃO 01 - HISTÓRICO'!AF41</f>
        <v>0</v>
      </c>
      <c r="Z41" t="str">
        <v>Tapa-Buraco CAE / Recomposição manual de aterro / Enrocamento de pedra arrumada / Enrocamento de pedra jogada / Reparo EDS / Remendo Profundo / Terraplenagem</v>
      </c>
      <c r="AA41">
        <f t="shared" si="9"/>
        <v>1</v>
      </c>
      <c r="AB41">
        <f t="shared" si="10"/>
        <v>491317.48</v>
      </c>
      <c r="AC41">
        <f t="shared" si="11"/>
        <v>491317.47995899996</v>
      </c>
      <c r="AD41">
        <f t="shared" si="12"/>
        <v>24</v>
      </c>
      <c r="AF41" t="str">
        <f t="shared" si="13"/>
        <v>R01</v>
      </c>
      <c r="AG41" t="str">
        <f t="shared" si="14"/>
        <v>040.2024.0110</v>
      </c>
      <c r="AH41">
        <f t="shared" si="15"/>
        <v>72576.039999999994</v>
      </c>
      <c r="AI41">
        <f t="shared" si="16"/>
        <v>72576.039958999987</v>
      </c>
      <c r="AJ41">
        <f t="shared" si="17"/>
        <v>79</v>
      </c>
    </row>
    <row r="42" spans="2:36" x14ac:dyDescent="0.3">
      <c r="B42" t="str">
        <f>'REGIÃO 01 - RESUMO'!C42</f>
        <v>R01</v>
      </c>
      <c r="C42" t="str">
        <f>'REGIÃO 01 - RESUMO'!D42</f>
        <v>040.2024</v>
      </c>
      <c r="D42" s="92">
        <f>'REGIÃO 01 - RESUMO'!E42</f>
        <v>111</v>
      </c>
      <c r="E42" s="91" t="str">
        <f>'REGIÃO 01 - RESUMO'!F42</f>
        <v>Maio</v>
      </c>
      <c r="F42" s="93">
        <f>'REGIÃO 01 - RESUMO'!H42</f>
        <v>4</v>
      </c>
      <c r="G42" t="str">
        <f>'REGIÃO 01 - RESUMO'!I42</f>
        <v>RODOVIA TO-010 - TRECHO BURITI DO TOCANTINS (ENTR. TO-201) - SÃO SEBASTIÃO DO TOCANTINS</v>
      </c>
      <c r="H42" s="91" t="str">
        <f>'REGIÃO 01 - RESUMO'!J42</f>
        <v>Tapa-Buraco PMF / Remendo Profundo</v>
      </c>
      <c r="I42">
        <f>'REGIÃO 01 - RESUMO'!K42</f>
        <v>41845.29</v>
      </c>
      <c r="J42">
        <f>'REGIÃO 01 - HISTÓRICO'!F42</f>
        <v>0</v>
      </c>
      <c r="K42">
        <f>'REGIÃO 01 - HISTÓRICO'!G42</f>
        <v>41845.29</v>
      </c>
      <c r="L42" t="str">
        <f>IF(OR('REGIÃO 01 - RESUMO'!L42="",'REGIÃO 01 - RESUMO'!L42=0),"",'REGIÃO 01 - RESUMO'!L42)</f>
        <v>Cancelada</v>
      </c>
      <c r="M42">
        <f>'REGIÃO 01 - HISTÓRICO'!J42</f>
        <v>0</v>
      </c>
      <c r="N42">
        <f>'REGIÃO 01 - HISTÓRICO'!L42</f>
        <v>0</v>
      </c>
      <c r="O42">
        <f>'REGIÃO 01 - HISTÓRICO'!N42</f>
        <v>0</v>
      </c>
      <c r="P42">
        <f>'REGIÃO 01 - HISTÓRICO'!P42</f>
        <v>0</v>
      </c>
      <c r="Q42">
        <f>'REGIÃO 01 - HISTÓRICO'!R42</f>
        <v>0</v>
      </c>
      <c r="R42">
        <f>'REGIÃO 01 - HISTÓRICO'!T42</f>
        <v>0</v>
      </c>
      <c r="S42">
        <f>'REGIÃO 01 - HISTÓRICO'!V42</f>
        <v>0</v>
      </c>
      <c r="T42">
        <f>'REGIÃO 01 - HISTÓRICO'!X42</f>
        <v>0</v>
      </c>
      <c r="U42">
        <f>'REGIÃO 01 - HISTÓRICO'!Z42</f>
        <v>0</v>
      </c>
      <c r="V42">
        <f>'REGIÃO 01 - HISTÓRICO'!AB42</f>
        <v>0</v>
      </c>
      <c r="W42">
        <f>'REGIÃO 01 - HISTÓRICO'!AD42</f>
        <v>0</v>
      </c>
      <c r="X42">
        <f>'REGIÃO 01 - HISTÓRICO'!AF42</f>
        <v>0</v>
      </c>
      <c r="Z42" t="str">
        <v>Tapa-Buraco CAE / Recomposição mecanizada de aterro / Enrocamento de pedra arrumada / Enrocamento de pedra jogada / Reparo EDS / Remendo Profundo</v>
      </c>
      <c r="AA42">
        <f t="shared" si="9"/>
        <v>3</v>
      </c>
      <c r="AB42">
        <f t="shared" si="10"/>
        <v>191809.12</v>
      </c>
      <c r="AC42">
        <f t="shared" si="11"/>
        <v>191809.119958</v>
      </c>
      <c r="AD42">
        <f t="shared" si="12"/>
        <v>33</v>
      </c>
      <c r="AF42" t="str">
        <f t="shared" si="13"/>
        <v>R01</v>
      </c>
      <c r="AG42" t="str">
        <f t="shared" si="14"/>
        <v>040.2024.0111</v>
      </c>
      <c r="AH42">
        <f t="shared" si="15"/>
        <v>41845.29</v>
      </c>
      <c r="AI42">
        <f t="shared" si="16"/>
        <v>41845.289958000001</v>
      </c>
      <c r="AJ42">
        <f t="shared" si="17"/>
        <v>94</v>
      </c>
    </row>
    <row r="43" spans="2:36" x14ac:dyDescent="0.3">
      <c r="B43" t="str">
        <f>'REGIÃO 01 - RESUMO'!C43</f>
        <v>R01</v>
      </c>
      <c r="C43" t="str">
        <f>'REGIÃO 01 - RESUMO'!D43</f>
        <v>040.2024</v>
      </c>
      <c r="D43" s="92">
        <f>'REGIÃO 01 - RESUMO'!E43</f>
        <v>112</v>
      </c>
      <c r="E43" s="91" t="str">
        <f>'REGIÃO 01 - RESUMO'!F43</f>
        <v>Maio</v>
      </c>
      <c r="F43" s="93">
        <f>'REGIÃO 01 - RESUMO'!H43</f>
        <v>8</v>
      </c>
      <c r="G43" t="str">
        <f>'REGIÃO 01 - RESUMO'!I43</f>
        <v xml:space="preserve">RODOVIA TO-126 - TRECHO SÍTIO NOVO DO TOCANTINS - ITAGUATINS </v>
      </c>
      <c r="H43" s="91" t="str">
        <f>'REGIÃO 01 - RESUMO'!J43</f>
        <v>Roçada / Limpeza Ponte / Caiação de EDS e pontes</v>
      </c>
      <c r="I43">
        <f>'REGIÃO 01 - RESUMO'!K43</f>
        <v>19855.62</v>
      </c>
      <c r="J43">
        <f>'REGIÃO 01 - HISTÓRICO'!F43</f>
        <v>7081.5</v>
      </c>
      <c r="K43">
        <f>'REGIÃO 01 - HISTÓRICO'!G43</f>
        <v>12774.119999999999</v>
      </c>
      <c r="L43" t="str">
        <f>IF(OR('REGIÃO 01 - RESUMO'!L43="",'REGIÃO 01 - RESUMO'!L43=0),"",'REGIÃO 01 - RESUMO'!L43)</f>
        <v>Concluída</v>
      </c>
      <c r="M43">
        <f>'REGIÃO 01 - HISTÓRICO'!J43</f>
        <v>0</v>
      </c>
      <c r="N43">
        <f>'REGIÃO 01 - HISTÓRICO'!L43</f>
        <v>0</v>
      </c>
      <c r="O43">
        <f>'REGIÃO 01 - HISTÓRICO'!N43</f>
        <v>0</v>
      </c>
      <c r="P43">
        <f>'REGIÃO 01 - HISTÓRICO'!P43</f>
        <v>0</v>
      </c>
      <c r="Q43">
        <f>'REGIÃO 01 - HISTÓRICO'!R43</f>
        <v>7081.5</v>
      </c>
      <c r="R43">
        <f>'REGIÃO 01 - HISTÓRICO'!T43</f>
        <v>0</v>
      </c>
      <c r="S43">
        <f>'REGIÃO 01 - HISTÓRICO'!V43</f>
        <v>0</v>
      </c>
      <c r="T43">
        <f>'REGIÃO 01 - HISTÓRICO'!X43</f>
        <v>0</v>
      </c>
      <c r="U43">
        <f>'REGIÃO 01 - HISTÓRICO'!Z43</f>
        <v>0</v>
      </c>
      <c r="V43">
        <f>'REGIÃO 01 - HISTÓRICO'!AB43</f>
        <v>0</v>
      </c>
      <c r="W43">
        <f>'REGIÃO 01 - HISTÓRICO'!AD43</f>
        <v>0</v>
      </c>
      <c r="X43">
        <f>'REGIÃO 01 - HISTÓRICO'!AF43</f>
        <v>0</v>
      </c>
      <c r="Z43" t="str">
        <v>Tapa-Buraco CAE / Remendo Profundo</v>
      </c>
      <c r="AA43">
        <f t="shared" si="9"/>
        <v>13</v>
      </c>
      <c r="AB43">
        <f t="shared" si="10"/>
        <v>3784620.1100000003</v>
      </c>
      <c r="AC43">
        <f t="shared" si="11"/>
        <v>3784620.1099570002</v>
      </c>
      <c r="AD43">
        <f t="shared" si="12"/>
        <v>7</v>
      </c>
      <c r="AF43" t="str">
        <f t="shared" si="13"/>
        <v>R01</v>
      </c>
      <c r="AG43" t="str">
        <f t="shared" si="14"/>
        <v>040.2024.0112</v>
      </c>
      <c r="AH43">
        <f t="shared" si="15"/>
        <v>19855.62</v>
      </c>
      <c r="AI43">
        <f t="shared" si="16"/>
        <v>19855.619956999999</v>
      </c>
      <c r="AJ43">
        <f t="shared" si="17"/>
        <v>121</v>
      </c>
    </row>
    <row r="44" spans="2:36" x14ac:dyDescent="0.3">
      <c r="B44" t="str">
        <f>'REGIÃO 01 - RESUMO'!C44</f>
        <v>R01</v>
      </c>
      <c r="C44" t="str">
        <f>'REGIÃO 01 - RESUMO'!D44</f>
        <v>040.2024</v>
      </c>
      <c r="D44" s="92">
        <f>'REGIÃO 01 - RESUMO'!E44</f>
        <v>113</v>
      </c>
      <c r="E44" s="91" t="str">
        <f>'REGIÃO 01 - RESUMO'!F44</f>
        <v>Maio</v>
      </c>
      <c r="F44" s="93">
        <f>'REGIÃO 01 - RESUMO'!H44</f>
        <v>30</v>
      </c>
      <c r="G44" t="str">
        <f>'REGIÃO 01 - RESUMO'!I44</f>
        <v xml:space="preserve">RODOVIA TO-404 - TRECHO AUGUSTINÓPOLIS - PRAIA NORTE </v>
      </c>
      <c r="H44" s="91" t="str">
        <f>'REGIÃO 01 - RESUMO'!J44</f>
        <v>Tapa-Buraco PMF / Remendo Profundo</v>
      </c>
      <c r="I44">
        <f>'REGIÃO 01 - RESUMO'!K44</f>
        <v>34897.1</v>
      </c>
      <c r="J44">
        <f>'REGIÃO 01 - HISTÓRICO'!F44</f>
        <v>34382.81</v>
      </c>
      <c r="K44">
        <f>'REGIÃO 01 - HISTÓRICO'!G44</f>
        <v>514.29000000000087</v>
      </c>
      <c r="L44" t="str">
        <f>IF(OR('REGIÃO 01 - RESUMO'!L44="",'REGIÃO 01 - RESUMO'!L44=0),"",'REGIÃO 01 - RESUMO'!L44)</f>
        <v>Concluída</v>
      </c>
      <c r="M44">
        <f>'REGIÃO 01 - HISTÓRICO'!J44</f>
        <v>0</v>
      </c>
      <c r="N44">
        <f>'REGIÃO 01 - HISTÓRICO'!L44</f>
        <v>0</v>
      </c>
      <c r="O44">
        <f>'REGIÃO 01 - HISTÓRICO'!N44</f>
        <v>0</v>
      </c>
      <c r="P44">
        <f>'REGIÃO 01 - HISTÓRICO'!P44</f>
        <v>0</v>
      </c>
      <c r="Q44">
        <f>'REGIÃO 01 - HISTÓRICO'!R44</f>
        <v>34382.81</v>
      </c>
      <c r="R44">
        <f>'REGIÃO 01 - HISTÓRICO'!T44</f>
        <v>0</v>
      </c>
      <c r="S44">
        <f>'REGIÃO 01 - HISTÓRICO'!V44</f>
        <v>0</v>
      </c>
      <c r="T44">
        <f>'REGIÃO 01 - HISTÓRICO'!X44</f>
        <v>0</v>
      </c>
      <c r="U44">
        <f>'REGIÃO 01 - HISTÓRICO'!Z44</f>
        <v>0</v>
      </c>
      <c r="V44">
        <f>'REGIÃO 01 - HISTÓRICO'!AB44</f>
        <v>0</v>
      </c>
      <c r="W44">
        <f>'REGIÃO 01 - HISTÓRICO'!AD44</f>
        <v>0</v>
      </c>
      <c r="X44">
        <f>'REGIÃO 01 - HISTÓRICO'!AF44</f>
        <v>0</v>
      </c>
      <c r="Z44" t="str">
        <v>Tapa-Buraco PMF</v>
      </c>
      <c r="AA44">
        <f t="shared" si="9"/>
        <v>2</v>
      </c>
      <c r="AB44">
        <f t="shared" si="10"/>
        <v>611565.38</v>
      </c>
      <c r="AC44">
        <f t="shared" si="11"/>
        <v>611565.37995600002</v>
      </c>
      <c r="AD44">
        <f t="shared" si="12"/>
        <v>20</v>
      </c>
      <c r="AF44" t="str">
        <f t="shared" si="13"/>
        <v>R01</v>
      </c>
      <c r="AG44" t="str">
        <f t="shared" si="14"/>
        <v>040.2024.0113</v>
      </c>
      <c r="AH44">
        <f t="shared" si="15"/>
        <v>34897.1</v>
      </c>
      <c r="AI44">
        <f t="shared" si="16"/>
        <v>34897.099955999998</v>
      </c>
      <c r="AJ44">
        <f t="shared" si="17"/>
        <v>101</v>
      </c>
    </row>
    <row r="45" spans="2:36" x14ac:dyDescent="0.3">
      <c r="B45" t="str">
        <f>'REGIÃO 01 - RESUMO'!C45</f>
        <v>R01</v>
      </c>
      <c r="C45" t="str">
        <f>'REGIÃO 01 - RESUMO'!D45</f>
        <v>040.2024</v>
      </c>
      <c r="D45" s="92">
        <f>'REGIÃO 01 - RESUMO'!E45</f>
        <v>114</v>
      </c>
      <c r="E45" s="91" t="str">
        <f>'REGIÃO 01 - RESUMO'!F45</f>
        <v>Maio</v>
      </c>
      <c r="F45" s="93">
        <f>'REGIÃO 01 - RESUMO'!H45</f>
        <v>34</v>
      </c>
      <c r="G45" t="str">
        <f>'REGIÃO 01 - RESUMO'!I45</f>
        <v>RODOVIA TO-414 - TRECHO CACHOEIRINHA - ENTR. TO-010 (TAPUIO)</v>
      </c>
      <c r="H45" s="91" t="str">
        <f>'REGIÃO 01 - RESUMO'!J45</f>
        <v>Terraplenagem / Reconformação da plataforma</v>
      </c>
      <c r="I45">
        <f>'REGIÃO 01 - RESUMO'!K45</f>
        <v>47508.32</v>
      </c>
      <c r="J45">
        <f>'REGIÃO 01 - HISTÓRICO'!F45</f>
        <v>0</v>
      </c>
      <c r="K45">
        <f>'REGIÃO 01 - HISTÓRICO'!G45</f>
        <v>47508.32</v>
      </c>
      <c r="L45" t="str">
        <f>IF(OR('REGIÃO 01 - RESUMO'!L45="",'REGIÃO 01 - RESUMO'!L45=0),"",'REGIÃO 01 - RESUMO'!L45)</f>
        <v>Cancelada</v>
      </c>
      <c r="M45">
        <f>'REGIÃO 01 - HISTÓRICO'!J45</f>
        <v>0</v>
      </c>
      <c r="N45">
        <f>'REGIÃO 01 - HISTÓRICO'!L45</f>
        <v>0</v>
      </c>
      <c r="O45">
        <f>'REGIÃO 01 - HISTÓRICO'!N45</f>
        <v>0</v>
      </c>
      <c r="P45">
        <f>'REGIÃO 01 - HISTÓRICO'!P45</f>
        <v>0</v>
      </c>
      <c r="Q45">
        <f>'REGIÃO 01 - HISTÓRICO'!R45</f>
        <v>0</v>
      </c>
      <c r="R45">
        <f>'REGIÃO 01 - HISTÓRICO'!T45</f>
        <v>0</v>
      </c>
      <c r="S45">
        <f>'REGIÃO 01 - HISTÓRICO'!V45</f>
        <v>0</v>
      </c>
      <c r="T45">
        <f>'REGIÃO 01 - HISTÓRICO'!X45</f>
        <v>0</v>
      </c>
      <c r="U45">
        <f>'REGIÃO 01 - HISTÓRICO'!Z45</f>
        <v>0</v>
      </c>
      <c r="V45">
        <f>'REGIÃO 01 - HISTÓRICO'!AB45</f>
        <v>0</v>
      </c>
      <c r="W45">
        <f>'REGIÃO 01 - HISTÓRICO'!AD45</f>
        <v>0</v>
      </c>
      <c r="X45">
        <f>'REGIÃO 01 - HISTÓRICO'!AF45</f>
        <v>0</v>
      </c>
      <c r="Z45" t="str">
        <v>Tapa-Buraco PMF / Recomposição manual de aterro / Enrocamento de pedra arrumada / Enrocamento de pedra jogada / Reparo EDS / Remendo Profundo</v>
      </c>
      <c r="AA45">
        <f t="shared" si="9"/>
        <v>1</v>
      </c>
      <c r="AB45">
        <f t="shared" si="10"/>
        <v>0</v>
      </c>
      <c r="AC45">
        <f t="shared" si="11"/>
        <v>-4.5000000000000003E-5</v>
      </c>
      <c r="AD45">
        <f t="shared" si="12"/>
        <v>51</v>
      </c>
      <c r="AF45" t="str">
        <f t="shared" si="13"/>
        <v>R01</v>
      </c>
      <c r="AG45" t="str">
        <f t="shared" si="14"/>
        <v>040.2024.0114</v>
      </c>
      <c r="AH45">
        <f t="shared" si="15"/>
        <v>47508.32</v>
      </c>
      <c r="AI45">
        <f t="shared" si="16"/>
        <v>47508.319954999999</v>
      </c>
      <c r="AJ45">
        <f t="shared" si="17"/>
        <v>90</v>
      </c>
    </row>
    <row r="46" spans="2:36" x14ac:dyDescent="0.3">
      <c r="B46" t="str">
        <f>'REGIÃO 01 - RESUMO'!C46</f>
        <v>R01</v>
      </c>
      <c r="C46" t="str">
        <f>'REGIÃO 01 - RESUMO'!D46</f>
        <v>040.2024</v>
      </c>
      <c r="D46" s="92">
        <f>'REGIÃO 01 - RESUMO'!E46</f>
        <v>115</v>
      </c>
      <c r="E46" s="91" t="str">
        <f>'REGIÃO 01 - RESUMO'!F46</f>
        <v>Junho</v>
      </c>
      <c r="F46" s="93">
        <f>'REGIÃO 01 - RESUMO'!H46</f>
        <v>5</v>
      </c>
      <c r="G46" t="str">
        <f>'REGIÃO 01 - RESUMO'!I46</f>
        <v>RODOVIA TO-126 - TRECHO TOCANTINÓPOLIS - ENTR. BR-230 (AGUIARNÓPOLIS)</v>
      </c>
      <c r="H46" s="91" t="str">
        <f>'REGIÃO 01 - RESUMO'!J46</f>
        <v>Roçada</v>
      </c>
      <c r="I46">
        <f>'REGIÃO 01 - RESUMO'!K46</f>
        <v>21015.919999999998</v>
      </c>
      <c r="J46">
        <f>'REGIÃO 01 - HISTÓRICO'!F46</f>
        <v>0</v>
      </c>
      <c r="K46">
        <f>'REGIÃO 01 - HISTÓRICO'!G46</f>
        <v>21015.919999999998</v>
      </c>
      <c r="L46" t="str">
        <f>IF(OR('REGIÃO 01 - RESUMO'!L46="",'REGIÃO 01 - RESUMO'!L46=0),"",'REGIÃO 01 - RESUMO'!L46)</f>
        <v>Cancelada</v>
      </c>
      <c r="M46">
        <f>'REGIÃO 01 - HISTÓRICO'!J46</f>
        <v>0</v>
      </c>
      <c r="N46">
        <f>'REGIÃO 01 - HISTÓRICO'!L46</f>
        <v>0</v>
      </c>
      <c r="O46">
        <f>'REGIÃO 01 - HISTÓRICO'!N46</f>
        <v>0</v>
      </c>
      <c r="P46">
        <f>'REGIÃO 01 - HISTÓRICO'!P46</f>
        <v>0</v>
      </c>
      <c r="Q46">
        <f>'REGIÃO 01 - HISTÓRICO'!R46</f>
        <v>0</v>
      </c>
      <c r="R46">
        <f>'REGIÃO 01 - HISTÓRICO'!T46</f>
        <v>0</v>
      </c>
      <c r="S46">
        <f>'REGIÃO 01 - HISTÓRICO'!V46</f>
        <v>0</v>
      </c>
      <c r="T46">
        <f>'REGIÃO 01 - HISTÓRICO'!X46</f>
        <v>0</v>
      </c>
      <c r="U46">
        <f>'REGIÃO 01 - HISTÓRICO'!Z46</f>
        <v>0</v>
      </c>
      <c r="V46">
        <f>'REGIÃO 01 - HISTÓRICO'!AB46</f>
        <v>0</v>
      </c>
      <c r="W46">
        <f>'REGIÃO 01 - HISTÓRICO'!AD46</f>
        <v>0</v>
      </c>
      <c r="X46">
        <f>'REGIÃO 01 - HISTÓRICO'!AF46</f>
        <v>0</v>
      </c>
      <c r="Z46" t="str">
        <v>Tapa-Buraco PMF / Remendo Profundo</v>
      </c>
      <c r="AA46">
        <f t="shared" si="9"/>
        <v>5</v>
      </c>
      <c r="AB46">
        <f t="shared" si="10"/>
        <v>431604.2</v>
      </c>
      <c r="AC46">
        <f t="shared" si="11"/>
        <v>431604.19995400001</v>
      </c>
      <c r="AD46">
        <f t="shared" si="12"/>
        <v>25</v>
      </c>
      <c r="AF46" t="str">
        <f t="shared" si="13"/>
        <v>R01</v>
      </c>
      <c r="AG46" t="str">
        <f t="shared" si="14"/>
        <v>040.2024.0115</v>
      </c>
      <c r="AH46">
        <f t="shared" si="15"/>
        <v>21015.919999999998</v>
      </c>
      <c r="AI46">
        <f t="shared" si="16"/>
        <v>21015.919953999997</v>
      </c>
      <c r="AJ46">
        <f t="shared" si="17"/>
        <v>119</v>
      </c>
    </row>
    <row r="47" spans="2:36" x14ac:dyDescent="0.3">
      <c r="B47" t="str">
        <f>'REGIÃO 01 - RESUMO'!C47</f>
        <v>R01</v>
      </c>
      <c r="C47" t="str">
        <f>'REGIÃO 01 - RESUMO'!D47</f>
        <v>040.2024</v>
      </c>
      <c r="D47" s="92">
        <f>'REGIÃO 01 - RESUMO'!E47</f>
        <v>116</v>
      </c>
      <c r="E47" s="91" t="str">
        <f>'REGIÃO 01 - RESUMO'!F47</f>
        <v>Maio</v>
      </c>
      <c r="F47" s="93">
        <f>'REGIÃO 01 - RESUMO'!H47</f>
        <v>28</v>
      </c>
      <c r="G47" t="str">
        <f>'REGIÃO 01 - RESUMO'!I47</f>
        <v>RODOVIA TO-403 - TRECHO SAMPAIO - ENTR. TO-404 (ITAÚBA)</v>
      </c>
      <c r="H47" s="91" t="str">
        <f>'REGIÃO 01 - RESUMO'!J47</f>
        <v>Tapa-Buraco PMF / Remendo Profundo</v>
      </c>
      <c r="I47">
        <f>'REGIÃO 01 - RESUMO'!K47</f>
        <v>38247.14</v>
      </c>
      <c r="J47">
        <f>'REGIÃO 01 - HISTÓRICO'!F47</f>
        <v>0</v>
      </c>
      <c r="K47">
        <f>'REGIÃO 01 - HISTÓRICO'!G47</f>
        <v>38247.14</v>
      </c>
      <c r="L47" t="str">
        <f>IF(OR('REGIÃO 01 - RESUMO'!L47="",'REGIÃO 01 - RESUMO'!L47=0),"",'REGIÃO 01 - RESUMO'!L47)</f>
        <v>Cancelada</v>
      </c>
      <c r="M47">
        <f>'REGIÃO 01 - HISTÓRICO'!J47</f>
        <v>0</v>
      </c>
      <c r="N47">
        <f>'REGIÃO 01 - HISTÓRICO'!L47</f>
        <v>0</v>
      </c>
      <c r="O47">
        <f>'REGIÃO 01 - HISTÓRICO'!N47</f>
        <v>0</v>
      </c>
      <c r="P47">
        <f>'REGIÃO 01 - HISTÓRICO'!P47</f>
        <v>0</v>
      </c>
      <c r="Q47">
        <f>'REGIÃO 01 - HISTÓRICO'!R47</f>
        <v>0</v>
      </c>
      <c r="R47">
        <f>'REGIÃO 01 - HISTÓRICO'!T47</f>
        <v>0</v>
      </c>
      <c r="S47">
        <f>'REGIÃO 01 - HISTÓRICO'!V47</f>
        <v>0</v>
      </c>
      <c r="T47">
        <f>'REGIÃO 01 - HISTÓRICO'!X47</f>
        <v>0</v>
      </c>
      <c r="U47">
        <f>'REGIÃO 01 - HISTÓRICO'!Z47</f>
        <v>0</v>
      </c>
      <c r="V47">
        <f>'REGIÃO 01 - HISTÓRICO'!AB47</f>
        <v>0</v>
      </c>
      <c r="W47">
        <f>'REGIÃO 01 - HISTÓRICO'!AD47</f>
        <v>0</v>
      </c>
      <c r="X47">
        <f>'REGIÃO 01 - HISTÓRICO'!AF47</f>
        <v>0</v>
      </c>
      <c r="Z47" t="str">
        <v>Terraplenagem</v>
      </c>
      <c r="AA47">
        <f t="shared" si="9"/>
        <v>2</v>
      </c>
      <c r="AB47">
        <f t="shared" si="10"/>
        <v>253776.79</v>
      </c>
      <c r="AC47">
        <f t="shared" si="11"/>
        <v>253776.789953</v>
      </c>
      <c r="AD47">
        <f t="shared" si="12"/>
        <v>31</v>
      </c>
      <c r="AF47" t="str">
        <f t="shared" si="13"/>
        <v>R01</v>
      </c>
      <c r="AG47" t="str">
        <f t="shared" si="14"/>
        <v>040.2024.0116</v>
      </c>
      <c r="AH47">
        <f t="shared" si="15"/>
        <v>38247.14</v>
      </c>
      <c r="AI47">
        <f t="shared" si="16"/>
        <v>38247.139952999998</v>
      </c>
      <c r="AJ47">
        <f t="shared" si="17"/>
        <v>96</v>
      </c>
    </row>
    <row r="48" spans="2:36" x14ac:dyDescent="0.3">
      <c r="B48" t="str">
        <f>'REGIÃO 01 - RESUMO'!C48</f>
        <v>R01</v>
      </c>
      <c r="C48" t="str">
        <f>'REGIÃO 01 - RESUMO'!D48</f>
        <v>040.2024</v>
      </c>
      <c r="D48" s="92">
        <f>'REGIÃO 01 - RESUMO'!E48</f>
        <v>117</v>
      </c>
      <c r="E48" s="91" t="str">
        <f>'REGIÃO 01 - RESUMO'!F48</f>
        <v>Maio</v>
      </c>
      <c r="F48" s="93">
        <f>'REGIÃO 01 - RESUMO'!H48</f>
        <v>274</v>
      </c>
      <c r="G48" t="str">
        <f>'REGIÃO 01 - RESUMO'!I48</f>
        <v>AERÓDROMO DE ARAGUATINS</v>
      </c>
      <c r="H48" s="91" t="str">
        <f>'REGIÃO 01 - RESUMO'!J48</f>
        <v>Roçada</v>
      </c>
      <c r="I48">
        <f>'REGIÃO 01 - RESUMO'!K48</f>
        <v>0</v>
      </c>
      <c r="J48">
        <f>'REGIÃO 01 - HISTÓRICO'!F48</f>
        <v>0</v>
      </c>
      <c r="K48">
        <f>'REGIÃO 01 - HISTÓRICO'!G48</f>
        <v>0</v>
      </c>
      <c r="L48" t="str">
        <f>IF(OR('REGIÃO 01 - RESUMO'!L48="",'REGIÃO 01 - RESUMO'!L48=0),"",'REGIÃO 01 - RESUMO'!L48)</f>
        <v>Cancelada</v>
      </c>
      <c r="M48">
        <f>'REGIÃO 01 - HISTÓRICO'!J48</f>
        <v>0</v>
      </c>
      <c r="N48">
        <f>'REGIÃO 01 - HISTÓRICO'!L48</f>
        <v>0</v>
      </c>
      <c r="O48">
        <f>'REGIÃO 01 - HISTÓRICO'!N48</f>
        <v>0</v>
      </c>
      <c r="P48">
        <f>'REGIÃO 01 - HISTÓRICO'!P48</f>
        <v>0</v>
      </c>
      <c r="Q48">
        <f>'REGIÃO 01 - HISTÓRICO'!R48</f>
        <v>0</v>
      </c>
      <c r="R48">
        <f>'REGIÃO 01 - HISTÓRICO'!T48</f>
        <v>0</v>
      </c>
      <c r="S48">
        <f>'REGIÃO 01 - HISTÓRICO'!V48</f>
        <v>0</v>
      </c>
      <c r="T48">
        <f>'REGIÃO 01 - HISTÓRICO'!X48</f>
        <v>0</v>
      </c>
      <c r="U48">
        <f>'REGIÃO 01 - HISTÓRICO'!Z48</f>
        <v>0</v>
      </c>
      <c r="V48">
        <f>'REGIÃO 01 - HISTÓRICO'!AB48</f>
        <v>0</v>
      </c>
      <c r="W48">
        <f>'REGIÃO 01 - HISTÓRICO'!AD48</f>
        <v>0</v>
      </c>
      <c r="X48">
        <f>'REGIÃO 01 - HISTÓRICO'!AF48</f>
        <v>0</v>
      </c>
      <c r="Z48" t="str">
        <v>Terraplenagem / Execução de BDTC 100 / Recomposição do revestimento primário</v>
      </c>
      <c r="AA48">
        <f t="shared" si="9"/>
        <v>1</v>
      </c>
      <c r="AB48">
        <f t="shared" si="10"/>
        <v>1265622.23</v>
      </c>
      <c r="AC48">
        <f t="shared" si="11"/>
        <v>1265622.2299520001</v>
      </c>
      <c r="AD48">
        <f t="shared" si="12"/>
        <v>11</v>
      </c>
      <c r="AF48" t="str">
        <f t="shared" si="13"/>
        <v>R01</v>
      </c>
      <c r="AG48" t="str">
        <f t="shared" si="14"/>
        <v>040.2024.0117</v>
      </c>
      <c r="AH48">
        <f t="shared" si="15"/>
        <v>0</v>
      </c>
      <c r="AI48">
        <f t="shared" si="16"/>
        <v>-4.8000000000000001E-5</v>
      </c>
      <c r="AJ48">
        <f t="shared" si="17"/>
        <v>151</v>
      </c>
    </row>
    <row r="49" spans="2:36" x14ac:dyDescent="0.3">
      <c r="B49" t="str">
        <f>'REGIÃO 01 - RESUMO'!C49</f>
        <v>R01</v>
      </c>
      <c r="C49" t="str">
        <f>'REGIÃO 01 - RESUMO'!D49</f>
        <v>040.2024</v>
      </c>
      <c r="D49" s="92">
        <f>'REGIÃO 01 - RESUMO'!E49</f>
        <v>118</v>
      </c>
      <c r="E49" s="91" t="str">
        <f>'REGIÃO 01 - RESUMO'!F49</f>
        <v>Maio</v>
      </c>
      <c r="F49" s="93">
        <f>'REGIÃO 01 - RESUMO'!H49</f>
        <v>7</v>
      </c>
      <c r="G49" t="str">
        <f>'REGIÃO 01 - RESUMO'!I49</f>
        <v>RODOVIA TO-126 - TRECHO ITAGUATINS - MAURILÂNDIA DO TOCANTINS</v>
      </c>
      <c r="H49" s="91" t="str">
        <f>'REGIÃO 01 - RESUMO'!J49</f>
        <v>Roçada</v>
      </c>
      <c r="I49">
        <f>'REGIÃO 01 - RESUMO'!K49</f>
        <v>0</v>
      </c>
      <c r="J49">
        <f>'REGIÃO 01 - HISTÓRICO'!F49</f>
        <v>0</v>
      </c>
      <c r="K49">
        <f>'REGIÃO 01 - HISTÓRICO'!G49</f>
        <v>0</v>
      </c>
      <c r="L49" t="str">
        <f>IF(OR('REGIÃO 01 - RESUMO'!L49="",'REGIÃO 01 - RESUMO'!L49=0),"",'REGIÃO 01 - RESUMO'!L49)</f>
        <v>Cancelada</v>
      </c>
      <c r="M49">
        <f>'REGIÃO 01 - HISTÓRICO'!J49</f>
        <v>0</v>
      </c>
      <c r="N49">
        <f>'REGIÃO 01 - HISTÓRICO'!L49</f>
        <v>0</v>
      </c>
      <c r="O49">
        <f>'REGIÃO 01 - HISTÓRICO'!N49</f>
        <v>0</v>
      </c>
      <c r="P49">
        <f>'REGIÃO 01 - HISTÓRICO'!P49</f>
        <v>0</v>
      </c>
      <c r="Q49">
        <f>'REGIÃO 01 - HISTÓRICO'!R49</f>
        <v>0</v>
      </c>
      <c r="R49">
        <f>'REGIÃO 01 - HISTÓRICO'!T49</f>
        <v>0</v>
      </c>
      <c r="S49">
        <f>'REGIÃO 01 - HISTÓRICO'!V49</f>
        <v>0</v>
      </c>
      <c r="T49">
        <f>'REGIÃO 01 - HISTÓRICO'!X49</f>
        <v>0</v>
      </c>
      <c r="U49">
        <f>'REGIÃO 01 - HISTÓRICO'!Z49</f>
        <v>0</v>
      </c>
      <c r="V49">
        <f>'REGIÃO 01 - HISTÓRICO'!AB49</f>
        <v>0</v>
      </c>
      <c r="W49">
        <f>'REGIÃO 01 - HISTÓRICO'!AD49</f>
        <v>0</v>
      </c>
      <c r="X49">
        <f>'REGIÃO 01 - HISTÓRICO'!AF49</f>
        <v>0</v>
      </c>
      <c r="Z49" t="str">
        <v>Terraplenagem / Execução de BDTC 100 / Reconformação da plataforma / Recomposição do revestimento primário</v>
      </c>
      <c r="AA49">
        <f t="shared" si="9"/>
        <v>1</v>
      </c>
      <c r="AB49">
        <f t="shared" si="10"/>
        <v>1001920.42</v>
      </c>
      <c r="AC49">
        <f t="shared" si="11"/>
        <v>1001920.419951</v>
      </c>
      <c r="AD49">
        <f t="shared" si="12"/>
        <v>14</v>
      </c>
      <c r="AF49" t="str">
        <f t="shared" si="13"/>
        <v>R01</v>
      </c>
      <c r="AG49" t="str">
        <f t="shared" si="14"/>
        <v>040.2024.0118</v>
      </c>
      <c r="AH49">
        <f t="shared" si="15"/>
        <v>0</v>
      </c>
      <c r="AI49">
        <f t="shared" si="16"/>
        <v>-4.8999999999999998E-5</v>
      </c>
      <c r="AJ49">
        <f t="shared" si="17"/>
        <v>152</v>
      </c>
    </row>
    <row r="50" spans="2:36" x14ac:dyDescent="0.3">
      <c r="B50" t="str">
        <f>'REGIÃO 02 - RESUMO'!C4</f>
        <v>R02</v>
      </c>
      <c r="C50" t="str">
        <f>'REGIÃO 02 - RESUMO'!D4</f>
        <v>014.2025</v>
      </c>
      <c r="D50" s="92">
        <f>'REGIÃO 02 - RESUMO'!E4</f>
        <v>82</v>
      </c>
      <c r="E50" t="str">
        <f>'REGIÃO 02 - RESUMO'!F4</f>
        <v>Janeiro</v>
      </c>
      <c r="F50" s="93">
        <f>'REGIÃO 02 - RESUMO'!H4</f>
        <v>39</v>
      </c>
      <c r="G50" t="str">
        <f>'REGIÃO 02 - RESUMO'!I4</f>
        <v>RODOVIA TO-010 - TRECHO RIACHINHO - ANANÁS</v>
      </c>
      <c r="H50" t="str">
        <f>'REGIÃO 02 - RESUMO'!J4</f>
        <v>Roçada</v>
      </c>
      <c r="I50">
        <f>'REGIÃO 02 - RESUMO'!K4</f>
        <v>4081.33</v>
      </c>
      <c r="J50">
        <f>'REGIÃO 02 - HISTÓRICO'!F4</f>
        <v>4081.33</v>
      </c>
      <c r="K50">
        <f>'REGIÃO 02 - HISTÓRICO'!G4</f>
        <v>0</v>
      </c>
      <c r="L50" s="93" t="str">
        <f>IF(OR('REGIÃO 02 - RESUMO'!L4="",'REGIÃO 02 - RESUMO'!L4=0),"",'REGIÃO 02 - RESUMO'!L4)</f>
        <v>Concluída</v>
      </c>
      <c r="M50">
        <f>'REGIÃO 02 - HISTÓRICO'!J4</f>
        <v>4081.33</v>
      </c>
      <c r="N50">
        <f>'REGIÃO 02 - HISTÓRICO'!L4</f>
        <v>0</v>
      </c>
      <c r="O50">
        <f>'REGIÃO 02 - HISTÓRICO'!N4</f>
        <v>0</v>
      </c>
      <c r="P50">
        <f>'REGIÃO 02 - HISTÓRICO'!P4</f>
        <v>0</v>
      </c>
      <c r="Q50">
        <f>'REGIÃO 02 - HISTÓRICO'!R4</f>
        <v>0</v>
      </c>
      <c r="R50">
        <f>'REGIÃO 02 - HISTÓRICO'!T4</f>
        <v>0</v>
      </c>
      <c r="S50">
        <f>'REGIÃO 02 - HISTÓRICO'!V4</f>
        <v>0</v>
      </c>
      <c r="T50">
        <f>'REGIÃO 02 - HISTÓRICO'!X4</f>
        <v>0</v>
      </c>
      <c r="U50">
        <f>'REGIÃO 02 - HISTÓRICO'!Z4</f>
        <v>0</v>
      </c>
      <c r="V50">
        <f>'REGIÃO 02 - HISTÓRICO'!AB4</f>
        <v>0</v>
      </c>
      <c r="W50">
        <f>'REGIÃO 02 - HISTÓRICO'!AD4</f>
        <v>0</v>
      </c>
      <c r="X50">
        <f>'REGIÃO 02 - HISTÓRICO'!AF4</f>
        <v>0</v>
      </c>
      <c r="Z50" t="str">
        <v>Terraplenagem / Execução de BSTC 100 / Reconformação da plataforma</v>
      </c>
      <c r="AA50">
        <f t="shared" si="9"/>
        <v>1</v>
      </c>
      <c r="AB50">
        <f t="shared" si="10"/>
        <v>145484.01999999999</v>
      </c>
      <c r="AC50">
        <f t="shared" si="11"/>
        <v>145484.01994999999</v>
      </c>
      <c r="AD50">
        <f t="shared" si="12"/>
        <v>36</v>
      </c>
      <c r="AF50" t="str">
        <f t="shared" si="13"/>
        <v>R02</v>
      </c>
      <c r="AG50" t="str">
        <f t="shared" si="14"/>
        <v>014.2025.0082</v>
      </c>
      <c r="AH50">
        <f t="shared" si="15"/>
        <v>4081.33</v>
      </c>
      <c r="AI50">
        <f t="shared" si="16"/>
        <v>4081.3299499999998</v>
      </c>
      <c r="AJ50">
        <f t="shared" si="17"/>
        <v>150</v>
      </c>
    </row>
    <row r="51" spans="2:36" x14ac:dyDescent="0.3">
      <c r="B51" s="91" t="str">
        <f>'REGIÃO 02 - RESUMO'!C5</f>
        <v>R02</v>
      </c>
      <c r="C51" t="str">
        <f>'REGIÃO 02 - RESUMO'!D5</f>
        <v>014.2025</v>
      </c>
      <c r="D51" s="92">
        <f>'REGIÃO 02 - RESUMO'!E5</f>
        <v>83</v>
      </c>
      <c r="E51" s="91" t="str">
        <f>'REGIÃO 02 - RESUMO'!F5</f>
        <v>Janeiro</v>
      </c>
      <c r="F51" s="93">
        <f>'REGIÃO 02 - RESUMO'!H5</f>
        <v>51</v>
      </c>
      <c r="G51" t="str">
        <f>'REGIÃO 02 - RESUMO'!I5</f>
        <v>RODOVIA TO-222 - TRECHO MURICILÂNDIA - SANTA FÉ DO ARAGUAIA</v>
      </c>
      <c r="H51" s="91" t="str">
        <f>'REGIÃO 02 - RESUMO'!J5</f>
        <v>Roçada</v>
      </c>
      <c r="I51">
        <f>'REGIÃO 02 - RESUMO'!K5</f>
        <v>23043.96</v>
      </c>
      <c r="J51">
        <f>'REGIÃO 02 - HISTÓRICO'!F5</f>
        <v>23043.96</v>
      </c>
      <c r="K51">
        <f>'REGIÃO 02 - HISTÓRICO'!G5</f>
        <v>0</v>
      </c>
      <c r="L51" t="str">
        <f>IF(OR('REGIÃO 02 - RESUMO'!L5="",'REGIÃO 02 - RESUMO'!L5=0),"",'REGIÃO 02 - RESUMO'!L5)</f>
        <v>Concluída</v>
      </c>
      <c r="M51">
        <f>'REGIÃO 02 - HISTÓRICO'!J5</f>
        <v>23043.96</v>
      </c>
      <c r="N51">
        <f>'REGIÃO 02 - HISTÓRICO'!L5</f>
        <v>0</v>
      </c>
      <c r="O51">
        <f>'REGIÃO 02 - HISTÓRICO'!N5</f>
        <v>0</v>
      </c>
      <c r="P51">
        <f>'REGIÃO 02 - HISTÓRICO'!P5</f>
        <v>0</v>
      </c>
      <c r="Q51">
        <f>'REGIÃO 02 - HISTÓRICO'!R5</f>
        <v>0</v>
      </c>
      <c r="R51">
        <f>'REGIÃO 02 - HISTÓRICO'!T5</f>
        <v>0</v>
      </c>
      <c r="S51">
        <f>'REGIÃO 02 - HISTÓRICO'!V5</f>
        <v>0</v>
      </c>
      <c r="T51">
        <f>'REGIÃO 02 - HISTÓRICO'!X5</f>
        <v>0</v>
      </c>
      <c r="U51">
        <f>'REGIÃO 02 - HISTÓRICO'!Z5</f>
        <v>0</v>
      </c>
      <c r="V51">
        <f>'REGIÃO 02 - HISTÓRICO'!AB5</f>
        <v>0</v>
      </c>
      <c r="W51">
        <f>'REGIÃO 02 - HISTÓRICO'!AD5</f>
        <v>0</v>
      </c>
      <c r="X51">
        <f>'REGIÃO 02 - HISTÓRICO'!AF5</f>
        <v>0</v>
      </c>
      <c r="Z51" t="str">
        <v>Terraplenagem / Execução de BSTC 100 / Reconposição do revestimento primário</v>
      </c>
      <c r="AA51">
        <f t="shared" si="9"/>
        <v>1</v>
      </c>
      <c r="AB51">
        <f t="shared" si="10"/>
        <v>1257310.3500000001</v>
      </c>
      <c r="AC51">
        <f t="shared" si="11"/>
        <v>1257310.3499490002</v>
      </c>
      <c r="AD51">
        <f t="shared" si="12"/>
        <v>12</v>
      </c>
      <c r="AF51" s="91" t="str">
        <f t="shared" si="13"/>
        <v>R02</v>
      </c>
      <c r="AG51" t="str">
        <f t="shared" si="14"/>
        <v>014.2025.0083</v>
      </c>
      <c r="AH51">
        <f t="shared" si="15"/>
        <v>23043.96</v>
      </c>
      <c r="AI51">
        <f t="shared" si="16"/>
        <v>23043.959949</v>
      </c>
      <c r="AJ51">
        <f t="shared" si="17"/>
        <v>117</v>
      </c>
    </row>
    <row r="52" spans="2:36" x14ac:dyDescent="0.3">
      <c r="B52" s="91" t="str">
        <f>'REGIÃO 02 - RESUMO'!C6</f>
        <v>R02</v>
      </c>
      <c r="C52" s="91" t="str">
        <f>'REGIÃO 02 - RESUMO'!D6</f>
        <v>014.2025</v>
      </c>
      <c r="D52" s="92">
        <f>'REGIÃO 02 - RESUMO'!E6</f>
        <v>84</v>
      </c>
      <c r="E52" s="91" t="str">
        <f>'REGIÃO 02 - RESUMO'!F6</f>
        <v>Janeiro</v>
      </c>
      <c r="F52" s="93">
        <f>'REGIÃO 02 - RESUMO'!H6</f>
        <v>41</v>
      </c>
      <c r="G52" t="str">
        <f>'REGIÃO 02 - RESUMO'!I6</f>
        <v>RODOVIA TO-164 - TRECHO ENTR. BR-153 (XAMBIOÁ) - ARAGUANÃ</v>
      </c>
      <c r="H52" s="91" t="str">
        <f>'REGIÃO 02 - RESUMO'!J6</f>
        <v>Roçada</v>
      </c>
      <c r="I52">
        <f>'REGIÃO 02 - RESUMO'!K6</f>
        <v>9046.41</v>
      </c>
      <c r="J52">
        <f>'REGIÃO 02 - HISTÓRICO'!F6</f>
        <v>9046.41</v>
      </c>
      <c r="K52">
        <f>'REGIÃO 02 - HISTÓRICO'!G6</f>
        <v>0</v>
      </c>
      <c r="L52" t="str">
        <f>IF(OR('REGIÃO 02 - RESUMO'!L6="",'REGIÃO 02 - RESUMO'!L6=0),"",'REGIÃO 02 - RESUMO'!L6)</f>
        <v>Concluída</v>
      </c>
      <c r="M52">
        <f>'REGIÃO 02 - HISTÓRICO'!J6</f>
        <v>9046.41</v>
      </c>
      <c r="N52">
        <f>'REGIÃO 02 - HISTÓRICO'!L6</f>
        <v>0</v>
      </c>
      <c r="O52">
        <f>'REGIÃO 02 - HISTÓRICO'!N6</f>
        <v>0</v>
      </c>
      <c r="P52">
        <f>'REGIÃO 02 - HISTÓRICO'!P6</f>
        <v>0</v>
      </c>
      <c r="Q52">
        <f>'REGIÃO 02 - HISTÓRICO'!R6</f>
        <v>0</v>
      </c>
      <c r="R52">
        <f>'REGIÃO 02 - HISTÓRICO'!T6</f>
        <v>0</v>
      </c>
      <c r="S52">
        <f>'REGIÃO 02 - HISTÓRICO'!V6</f>
        <v>0</v>
      </c>
      <c r="T52">
        <f>'REGIÃO 02 - HISTÓRICO'!X6</f>
        <v>0</v>
      </c>
      <c r="U52">
        <f>'REGIÃO 02 - HISTÓRICO'!Z6</f>
        <v>0</v>
      </c>
      <c r="V52">
        <f>'REGIÃO 02 - HISTÓRICO'!AB6</f>
        <v>0</v>
      </c>
      <c r="W52">
        <f>'REGIÃO 02 - HISTÓRICO'!AD6</f>
        <v>0</v>
      </c>
      <c r="X52">
        <f>'REGIÃO 02 - HISTÓRICO'!AF6</f>
        <v>0</v>
      </c>
      <c r="Z52" t="str">
        <v>Terraplenagem / Recomposição do revestimento primário</v>
      </c>
      <c r="AA52">
        <f t="shared" si="9"/>
        <v>2</v>
      </c>
      <c r="AB52">
        <f t="shared" si="10"/>
        <v>367172.43000000005</v>
      </c>
      <c r="AC52">
        <f t="shared" si="11"/>
        <v>367172.42994800006</v>
      </c>
      <c r="AD52">
        <f t="shared" si="12"/>
        <v>27</v>
      </c>
      <c r="AF52" s="91" t="str">
        <f t="shared" si="13"/>
        <v>R02</v>
      </c>
      <c r="AG52" t="str">
        <f t="shared" si="14"/>
        <v>014.2025.0084</v>
      </c>
      <c r="AH52">
        <f t="shared" si="15"/>
        <v>9046.41</v>
      </c>
      <c r="AI52">
        <f t="shared" si="16"/>
        <v>9046.4099480000004</v>
      </c>
      <c r="AJ52">
        <f t="shared" si="17"/>
        <v>135</v>
      </c>
    </row>
    <row r="53" spans="2:36" x14ac:dyDescent="0.3">
      <c r="B53" s="91" t="str">
        <f>'REGIÃO 02 - RESUMO'!C7</f>
        <v>R02</v>
      </c>
      <c r="C53" s="91" t="str">
        <f>'REGIÃO 02 - RESUMO'!D7</f>
        <v>014.2025</v>
      </c>
      <c r="D53" s="92">
        <f>'REGIÃO 02 - RESUMO'!E7</f>
        <v>85</v>
      </c>
      <c r="E53" s="91" t="str">
        <f>'REGIÃO 02 - RESUMO'!F7</f>
        <v>Janeiro</v>
      </c>
      <c r="F53" s="93">
        <f>'REGIÃO 02 - RESUMO'!H7</f>
        <v>42</v>
      </c>
      <c r="G53" t="str">
        <f>'REGIÃO 02 - RESUMO'!I7</f>
        <v>RODOVIA TO-164 - TRECHO FÁBRICA DE CIMENTO - XAMBIOÁ - ENTR. BR-153</v>
      </c>
      <c r="H53" s="91" t="str">
        <f>'REGIÃO 02 - RESUMO'!J7</f>
        <v>Roçada</v>
      </c>
      <c r="I53">
        <f>'REGIÃO 02 - RESUMO'!K7</f>
        <v>5254.28</v>
      </c>
      <c r="J53">
        <f>'REGIÃO 02 - HISTÓRICO'!F7</f>
        <v>5254.28</v>
      </c>
      <c r="K53">
        <f>'REGIÃO 02 - HISTÓRICO'!G7</f>
        <v>0</v>
      </c>
      <c r="L53" t="str">
        <f>IF(OR('REGIÃO 02 - RESUMO'!L7="",'REGIÃO 02 - RESUMO'!L7=0),"",'REGIÃO 02 - RESUMO'!L7)</f>
        <v>Concluída</v>
      </c>
      <c r="M53">
        <f>'REGIÃO 02 - HISTÓRICO'!J7</f>
        <v>5254.28</v>
      </c>
      <c r="N53">
        <f>'REGIÃO 02 - HISTÓRICO'!L7</f>
        <v>0</v>
      </c>
      <c r="O53">
        <f>'REGIÃO 02 - HISTÓRICO'!N7</f>
        <v>0</v>
      </c>
      <c r="P53">
        <f>'REGIÃO 02 - HISTÓRICO'!P7</f>
        <v>0</v>
      </c>
      <c r="Q53">
        <f>'REGIÃO 02 - HISTÓRICO'!R7</f>
        <v>0</v>
      </c>
      <c r="R53">
        <f>'REGIÃO 02 - HISTÓRICO'!T7</f>
        <v>0</v>
      </c>
      <c r="S53">
        <f>'REGIÃO 02 - HISTÓRICO'!V7</f>
        <v>0</v>
      </c>
      <c r="T53">
        <f>'REGIÃO 02 - HISTÓRICO'!X7</f>
        <v>0</v>
      </c>
      <c r="U53">
        <f>'REGIÃO 02 - HISTÓRICO'!Z7</f>
        <v>0</v>
      </c>
      <c r="V53">
        <f>'REGIÃO 02 - HISTÓRICO'!AB7</f>
        <v>0</v>
      </c>
      <c r="W53">
        <f>'REGIÃO 02 - HISTÓRICO'!AD7</f>
        <v>0</v>
      </c>
      <c r="X53">
        <f>'REGIÃO 02 - HISTÓRICO'!AF7</f>
        <v>0</v>
      </c>
      <c r="Z53" t="str">
        <v>Terraplenagem / Reconformação da plataforma</v>
      </c>
      <c r="AA53">
        <f t="shared" si="9"/>
        <v>2</v>
      </c>
      <c r="AB53">
        <f t="shared" si="10"/>
        <v>128980.42000000001</v>
      </c>
      <c r="AC53">
        <f t="shared" si="11"/>
        <v>128980.41994700002</v>
      </c>
      <c r="AD53">
        <f t="shared" si="12"/>
        <v>38</v>
      </c>
      <c r="AF53" s="91" t="str">
        <f t="shared" si="13"/>
        <v>R02</v>
      </c>
      <c r="AG53" t="str">
        <f t="shared" si="14"/>
        <v>014.2025.0085</v>
      </c>
      <c r="AH53">
        <f t="shared" si="15"/>
        <v>5254.28</v>
      </c>
      <c r="AI53">
        <f t="shared" si="16"/>
        <v>5254.279947</v>
      </c>
      <c r="AJ53">
        <f t="shared" si="17"/>
        <v>145</v>
      </c>
    </row>
    <row r="54" spans="2:36" x14ac:dyDescent="0.3">
      <c r="B54" s="91" t="str">
        <f>'REGIÃO 02 - RESUMO'!C8</f>
        <v>R02</v>
      </c>
      <c r="C54" s="91" t="str">
        <f>'REGIÃO 02 - RESUMO'!D8</f>
        <v>014.2025</v>
      </c>
      <c r="D54" s="92">
        <f>'REGIÃO 02 - RESUMO'!E8</f>
        <v>86</v>
      </c>
      <c r="E54" s="91" t="str">
        <f>'REGIÃO 02 - RESUMO'!F8</f>
        <v>Janeiro</v>
      </c>
      <c r="F54" s="93">
        <f>'REGIÃO 02 - RESUMO'!H8</f>
        <v>44</v>
      </c>
      <c r="G54" t="str">
        <f>'REGIÃO 02 - RESUMO'!I8</f>
        <v>RODOVIA TO-164 - TRECHO ARAGUANÃ - CARMOLÂNDIA</v>
      </c>
      <c r="H54" s="91" t="str">
        <f>'REGIÃO 02 - RESUMO'!J8</f>
        <v>Roçada</v>
      </c>
      <c r="I54">
        <f>'REGIÃO 02 - RESUMO'!K8</f>
        <v>23615.31</v>
      </c>
      <c r="J54">
        <f>'REGIÃO 02 - HISTÓRICO'!F8</f>
        <v>23615.31</v>
      </c>
      <c r="K54">
        <f>'REGIÃO 02 - HISTÓRICO'!G8</f>
        <v>0</v>
      </c>
      <c r="L54" t="str">
        <f>IF(OR('REGIÃO 02 - RESUMO'!L8="",'REGIÃO 02 - RESUMO'!L8=0),"",'REGIÃO 02 - RESUMO'!L8)</f>
        <v>Concluída</v>
      </c>
      <c r="M54">
        <f>'REGIÃO 02 - HISTÓRICO'!J8</f>
        <v>23615.31</v>
      </c>
      <c r="N54">
        <f>'REGIÃO 02 - HISTÓRICO'!L8</f>
        <v>0</v>
      </c>
      <c r="O54">
        <f>'REGIÃO 02 - HISTÓRICO'!N8</f>
        <v>0</v>
      </c>
      <c r="P54">
        <f>'REGIÃO 02 - HISTÓRICO'!P8</f>
        <v>0</v>
      </c>
      <c r="Q54">
        <f>'REGIÃO 02 - HISTÓRICO'!R8</f>
        <v>0</v>
      </c>
      <c r="R54">
        <f>'REGIÃO 02 - HISTÓRICO'!T8</f>
        <v>0</v>
      </c>
      <c r="S54">
        <f>'REGIÃO 02 - HISTÓRICO'!V8</f>
        <v>0</v>
      </c>
      <c r="T54">
        <f>'REGIÃO 02 - HISTÓRICO'!X8</f>
        <v>0</v>
      </c>
      <c r="U54">
        <f>'REGIÃO 02 - HISTÓRICO'!Z8</f>
        <v>0</v>
      </c>
      <c r="V54">
        <f>'REGIÃO 02 - HISTÓRICO'!AB8</f>
        <v>0</v>
      </c>
      <c r="W54">
        <f>'REGIÃO 02 - HISTÓRICO'!AD8</f>
        <v>0</v>
      </c>
      <c r="X54">
        <f>'REGIÃO 02 - HISTÓRICO'!AF8</f>
        <v>0</v>
      </c>
      <c r="Z54" t="str">
        <v>Terraplenagem / Reconformação da plataforma / Recomposição do revestimento primário</v>
      </c>
      <c r="AA54">
        <f t="shared" si="9"/>
        <v>11</v>
      </c>
      <c r="AB54">
        <f t="shared" si="10"/>
        <v>8005398.5</v>
      </c>
      <c r="AC54">
        <f t="shared" si="11"/>
        <v>8005398.4999460001</v>
      </c>
      <c r="AD54">
        <f t="shared" si="12"/>
        <v>3</v>
      </c>
      <c r="AF54" s="91" t="str">
        <f t="shared" si="13"/>
        <v>R02</v>
      </c>
      <c r="AG54" t="str">
        <f t="shared" si="14"/>
        <v>014.2025.0086</v>
      </c>
      <c r="AH54">
        <f t="shared" si="15"/>
        <v>23615.31</v>
      </c>
      <c r="AI54">
        <f t="shared" si="16"/>
        <v>23615.309946000001</v>
      </c>
      <c r="AJ54">
        <f t="shared" si="17"/>
        <v>114</v>
      </c>
    </row>
    <row r="55" spans="2:36" x14ac:dyDescent="0.3">
      <c r="B55" s="91" t="str">
        <f>'REGIÃO 02 - RESUMO'!C9</f>
        <v>R02</v>
      </c>
      <c r="C55" s="91" t="str">
        <f>'REGIÃO 02 - RESUMO'!D9</f>
        <v>014.2025</v>
      </c>
      <c r="D55" s="92">
        <f>'REGIÃO 02 - RESUMO'!E9</f>
        <v>87</v>
      </c>
      <c r="E55" t="str">
        <f>'REGIÃO 02 - RESUMO'!F9</f>
        <v>Fevereiro</v>
      </c>
      <c r="F55" s="93">
        <f>'REGIÃO 02 - RESUMO'!H9</f>
        <v>53</v>
      </c>
      <c r="G55" t="str">
        <f>'REGIÃO 02 - RESUMO'!I9</f>
        <v>RODOVIA TO-226 - TRECHO ENTR. BR-153 (POVOADO RIO PRETO) - DIVISA TO-PA (POVOADO GARIMPINHO)</v>
      </c>
      <c r="H55" s="91" t="str">
        <f>'REGIÃO 02 - RESUMO'!J9</f>
        <v>Tapa-Buraco CAE / Remendo Profundo</v>
      </c>
      <c r="I55">
        <f>'REGIÃO 02 - RESUMO'!K9</f>
        <v>424217.66</v>
      </c>
      <c r="J55">
        <f>'REGIÃO 02 - HISTÓRICO'!F9</f>
        <v>282448.34999999998</v>
      </c>
      <c r="K55">
        <f>'REGIÃO 02 - HISTÓRICO'!G9</f>
        <v>141769.31</v>
      </c>
      <c r="L55" t="str">
        <f>IF(OR('REGIÃO 02 - RESUMO'!L9="",'REGIÃO 02 - RESUMO'!L9=0),"",'REGIÃO 02 - RESUMO'!L9)</f>
        <v>Concluída</v>
      </c>
      <c r="M55">
        <f>'REGIÃO 02 - HISTÓRICO'!J9</f>
        <v>0</v>
      </c>
      <c r="N55">
        <f>'REGIÃO 02 - HISTÓRICO'!L9</f>
        <v>201131.01</v>
      </c>
      <c r="O55">
        <f>'REGIÃO 02 - HISTÓRICO'!N9</f>
        <v>81317.34</v>
      </c>
      <c r="P55">
        <f>'REGIÃO 02 - HISTÓRICO'!P9</f>
        <v>0</v>
      </c>
      <c r="Q55">
        <f>'REGIÃO 02 - HISTÓRICO'!R9</f>
        <v>0</v>
      </c>
      <c r="R55">
        <f>'REGIÃO 02 - HISTÓRICO'!T9</f>
        <v>0</v>
      </c>
      <c r="S55">
        <f>'REGIÃO 02 - HISTÓRICO'!V9</f>
        <v>0</v>
      </c>
      <c r="T55">
        <f>'REGIÃO 02 - HISTÓRICO'!X9</f>
        <v>0</v>
      </c>
      <c r="U55">
        <f>'REGIÃO 02 - HISTÓRICO'!Z9</f>
        <v>0</v>
      </c>
      <c r="V55">
        <f>'REGIÃO 02 - HISTÓRICO'!AB9</f>
        <v>0</v>
      </c>
      <c r="W55">
        <f>'REGIÃO 02 - HISTÓRICO'!AD9</f>
        <v>0</v>
      </c>
      <c r="X55">
        <f>'REGIÃO 02 - HISTÓRICO'!AF9</f>
        <v>0</v>
      </c>
      <c r="AA55" t="str">
        <f t="shared" si="9"/>
        <v/>
      </c>
      <c r="AB55" t="str">
        <f t="shared" si="10"/>
        <v/>
      </c>
      <c r="AC55" t="str">
        <f t="shared" si="11"/>
        <v/>
      </c>
      <c r="AD55" t="str">
        <f t="shared" si="12"/>
        <v/>
      </c>
      <c r="AF55" s="91" t="str">
        <f t="shared" si="13"/>
        <v>R02</v>
      </c>
      <c r="AG55" t="str">
        <f t="shared" si="14"/>
        <v>014.2025.0087</v>
      </c>
      <c r="AH55">
        <f t="shared" si="15"/>
        <v>424217.66</v>
      </c>
      <c r="AI55">
        <f t="shared" si="16"/>
        <v>424217.65994499996</v>
      </c>
      <c r="AJ55">
        <f t="shared" si="17"/>
        <v>32</v>
      </c>
    </row>
    <row r="56" spans="2:36" x14ac:dyDescent="0.3">
      <c r="B56" s="91" t="str">
        <f>'REGIÃO 02 - RESUMO'!C10</f>
        <v>R02</v>
      </c>
      <c r="C56" s="91" t="str">
        <f>'REGIÃO 02 - RESUMO'!D10</f>
        <v>014.2025</v>
      </c>
      <c r="D56" s="92">
        <f>'REGIÃO 02 - RESUMO'!E10</f>
        <v>89</v>
      </c>
      <c r="E56" t="str">
        <f>'REGIÃO 02 - RESUMO'!F10</f>
        <v>Janeiro</v>
      </c>
      <c r="F56" s="93">
        <f>'REGIÃO 02 - RESUMO'!H10</f>
        <v>57</v>
      </c>
      <c r="G56" t="str">
        <f>'REGIÃO 02 - RESUMO'!I10</f>
        <v>RODOVIA TO-416 - TRECHO ENTR. BR-153 - RIACHINHO</v>
      </c>
      <c r="H56" s="91" t="str">
        <f>'REGIÃO 02 - RESUMO'!J10</f>
        <v>Roçada</v>
      </c>
      <c r="I56">
        <f>'REGIÃO 02 - RESUMO'!K10</f>
        <v>12599.7</v>
      </c>
      <c r="J56">
        <f>'REGIÃO 02 - HISTÓRICO'!F10</f>
        <v>12599.7</v>
      </c>
      <c r="K56">
        <f>'REGIÃO 02 - HISTÓRICO'!G10</f>
        <v>0</v>
      </c>
      <c r="L56" t="str">
        <f>IF(OR('REGIÃO 02 - RESUMO'!L10="",'REGIÃO 02 - RESUMO'!L10=0),"",'REGIÃO 02 - RESUMO'!L10)</f>
        <v>Concluída</v>
      </c>
      <c r="M56">
        <f>'REGIÃO 02 - HISTÓRICO'!J10</f>
        <v>12599.7</v>
      </c>
      <c r="N56">
        <f>'REGIÃO 02 - HISTÓRICO'!L10</f>
        <v>0</v>
      </c>
      <c r="O56">
        <f>'REGIÃO 02 - HISTÓRICO'!N10</f>
        <v>0</v>
      </c>
      <c r="P56">
        <f>'REGIÃO 02 - HISTÓRICO'!P10</f>
        <v>0</v>
      </c>
      <c r="Q56">
        <f>'REGIÃO 02 - HISTÓRICO'!R10</f>
        <v>0</v>
      </c>
      <c r="R56">
        <f>'REGIÃO 02 - HISTÓRICO'!T10</f>
        <v>0</v>
      </c>
      <c r="S56">
        <f>'REGIÃO 02 - HISTÓRICO'!V10</f>
        <v>0</v>
      </c>
      <c r="T56">
        <f>'REGIÃO 02 - HISTÓRICO'!X10</f>
        <v>0</v>
      </c>
      <c r="U56">
        <f>'REGIÃO 02 - HISTÓRICO'!Z10</f>
        <v>0</v>
      </c>
      <c r="V56">
        <f>'REGIÃO 02 - HISTÓRICO'!AB10</f>
        <v>0</v>
      </c>
      <c r="W56">
        <f>'REGIÃO 02 - HISTÓRICO'!AD10</f>
        <v>0</v>
      </c>
      <c r="X56">
        <f>'REGIÃO 02 - HISTÓRICO'!AF10</f>
        <v>0</v>
      </c>
      <c r="AA56" t="str">
        <f t="shared" si="9"/>
        <v/>
      </c>
      <c r="AB56" t="str">
        <f t="shared" si="10"/>
        <v/>
      </c>
      <c r="AC56" t="str">
        <f t="shared" si="11"/>
        <v/>
      </c>
      <c r="AD56" t="str">
        <f t="shared" si="12"/>
        <v/>
      </c>
      <c r="AF56" s="91" t="str">
        <f t="shared" si="13"/>
        <v>R02</v>
      </c>
      <c r="AG56" t="str">
        <f t="shared" si="14"/>
        <v>014.2025.0089</v>
      </c>
      <c r="AH56">
        <f t="shared" si="15"/>
        <v>12599.7</v>
      </c>
      <c r="AI56">
        <f t="shared" si="16"/>
        <v>12599.699944</v>
      </c>
      <c r="AJ56">
        <f t="shared" si="17"/>
        <v>128</v>
      </c>
    </row>
    <row r="57" spans="2:36" x14ac:dyDescent="0.3">
      <c r="B57" s="91" t="str">
        <f>'REGIÃO 02 - RESUMO'!C11</f>
        <v>R02</v>
      </c>
      <c r="C57" s="91" t="str">
        <f>'REGIÃO 02 - RESUMO'!D11</f>
        <v>014.2025</v>
      </c>
      <c r="D57" s="92">
        <f>'REGIÃO 02 - RESUMO'!E11</f>
        <v>91</v>
      </c>
      <c r="E57" t="str">
        <f>'REGIÃO 02 - RESUMO'!F11</f>
        <v>Janeiro</v>
      </c>
      <c r="F57" s="93">
        <f>'REGIÃO 02 - RESUMO'!H11</f>
        <v>50</v>
      </c>
      <c r="G57" t="str">
        <f>'REGIÃO 02 - RESUMO'!I11</f>
        <v>RODOVIA TO-222 - TRECHO ARAGUAÍNA - ENTR. TO-164 (NOVO HORIZONTE)</v>
      </c>
      <c r="H57" s="91" t="str">
        <f>'REGIÃO 02 - RESUMO'!J11</f>
        <v>Tapa-Buraco CAE / Remendo Profundo</v>
      </c>
      <c r="I57">
        <f>'REGIÃO 02 - RESUMO'!K11</f>
        <v>251065.1</v>
      </c>
      <c r="J57">
        <f>'REGIÃO 02 - HISTÓRICO'!F11</f>
        <v>249906.48</v>
      </c>
      <c r="K57">
        <f>'REGIÃO 02 - HISTÓRICO'!G11</f>
        <v>1158.6199999999953</v>
      </c>
      <c r="L57" t="str">
        <f>IF(OR('REGIÃO 02 - RESUMO'!L11="",'REGIÃO 02 - RESUMO'!L11=0),"",'REGIÃO 02 - RESUMO'!L11)</f>
        <v>Concluída</v>
      </c>
      <c r="M57">
        <f>'REGIÃO 02 - HISTÓRICO'!J11</f>
        <v>249906.48</v>
      </c>
      <c r="N57">
        <f>'REGIÃO 02 - HISTÓRICO'!L11</f>
        <v>0</v>
      </c>
      <c r="O57">
        <f>'REGIÃO 02 - HISTÓRICO'!N11</f>
        <v>0</v>
      </c>
      <c r="P57">
        <f>'REGIÃO 02 - HISTÓRICO'!P11</f>
        <v>0</v>
      </c>
      <c r="Q57">
        <f>'REGIÃO 02 - HISTÓRICO'!R11</f>
        <v>0</v>
      </c>
      <c r="R57">
        <f>'REGIÃO 02 - HISTÓRICO'!T11</f>
        <v>0</v>
      </c>
      <c r="S57">
        <f>'REGIÃO 02 - HISTÓRICO'!V11</f>
        <v>0</v>
      </c>
      <c r="T57">
        <f>'REGIÃO 02 - HISTÓRICO'!X11</f>
        <v>0</v>
      </c>
      <c r="U57">
        <f>'REGIÃO 02 - HISTÓRICO'!Z11</f>
        <v>0</v>
      </c>
      <c r="V57">
        <f>'REGIÃO 02 - HISTÓRICO'!AB11</f>
        <v>0</v>
      </c>
      <c r="W57">
        <f>'REGIÃO 02 - HISTÓRICO'!AD11</f>
        <v>0</v>
      </c>
      <c r="X57">
        <f>'REGIÃO 02 - HISTÓRICO'!AF11</f>
        <v>0</v>
      </c>
      <c r="AA57" t="str">
        <f t="shared" si="9"/>
        <v/>
      </c>
      <c r="AB57" t="str">
        <f t="shared" si="10"/>
        <v/>
      </c>
      <c r="AC57" t="str">
        <f t="shared" si="11"/>
        <v/>
      </c>
      <c r="AD57" t="str">
        <f t="shared" si="12"/>
        <v/>
      </c>
      <c r="AF57" s="91" t="str">
        <f t="shared" si="13"/>
        <v>R02</v>
      </c>
      <c r="AG57" t="str">
        <f t="shared" si="14"/>
        <v>014.2025.0091</v>
      </c>
      <c r="AH57">
        <f t="shared" si="15"/>
        <v>251065.1</v>
      </c>
      <c r="AI57">
        <f t="shared" si="16"/>
        <v>251065.09994300001</v>
      </c>
      <c r="AJ57">
        <f t="shared" si="17"/>
        <v>50</v>
      </c>
    </row>
    <row r="58" spans="2:36" x14ac:dyDescent="0.3">
      <c r="B58" s="91" t="str">
        <f>'REGIÃO 02 - RESUMO'!C12</f>
        <v>R02</v>
      </c>
      <c r="C58" s="91" t="str">
        <f>'REGIÃO 02 - RESUMO'!D12</f>
        <v>014.2025</v>
      </c>
      <c r="D58" s="92">
        <f>'REGIÃO 02 - RESUMO'!E12</f>
        <v>92</v>
      </c>
      <c r="E58" t="str">
        <f>'REGIÃO 02 - RESUMO'!F12</f>
        <v>Fevereiro</v>
      </c>
      <c r="F58" s="93">
        <f>'REGIÃO 02 - RESUMO'!H12</f>
        <v>39</v>
      </c>
      <c r="G58" t="str">
        <f>'REGIÃO 02 - RESUMO'!I12</f>
        <v>RODOVIA TO-010 - TRECHO RIACHINHO - ANANÁS</v>
      </c>
      <c r="H58" s="91" t="str">
        <f>'REGIÃO 02 - RESUMO'!J12</f>
        <v>Tapa-Buraco CAE / Remendo Profundo</v>
      </c>
      <c r="I58">
        <f>'REGIÃO 02 - RESUMO'!K12</f>
        <v>146512.64000000001</v>
      </c>
      <c r="J58">
        <f>'REGIÃO 02 - HISTÓRICO'!F12</f>
        <v>146349.54</v>
      </c>
      <c r="K58">
        <f>'REGIÃO 02 - HISTÓRICO'!G12</f>
        <v>163.10000000000582</v>
      </c>
      <c r="L58" t="str">
        <f>IF(OR('REGIÃO 02 - RESUMO'!L12="",'REGIÃO 02 - RESUMO'!L12=0),"",'REGIÃO 02 - RESUMO'!L12)</f>
        <v>Concluída</v>
      </c>
      <c r="M58">
        <f>'REGIÃO 02 - HISTÓRICO'!J12</f>
        <v>0</v>
      </c>
      <c r="N58">
        <f>'REGIÃO 02 - HISTÓRICO'!L12</f>
        <v>146349.54</v>
      </c>
      <c r="O58">
        <f>'REGIÃO 02 - HISTÓRICO'!N12</f>
        <v>0</v>
      </c>
      <c r="P58">
        <f>'REGIÃO 02 - HISTÓRICO'!P12</f>
        <v>0</v>
      </c>
      <c r="Q58">
        <f>'REGIÃO 02 - HISTÓRICO'!R12</f>
        <v>0</v>
      </c>
      <c r="R58">
        <f>'REGIÃO 02 - HISTÓRICO'!T12</f>
        <v>0</v>
      </c>
      <c r="S58">
        <f>'REGIÃO 02 - HISTÓRICO'!V12</f>
        <v>0</v>
      </c>
      <c r="T58">
        <f>'REGIÃO 02 - HISTÓRICO'!X12</f>
        <v>0</v>
      </c>
      <c r="U58">
        <f>'REGIÃO 02 - HISTÓRICO'!Z12</f>
        <v>0</v>
      </c>
      <c r="V58">
        <f>'REGIÃO 02 - HISTÓRICO'!AB12</f>
        <v>0</v>
      </c>
      <c r="W58">
        <f>'REGIÃO 02 - HISTÓRICO'!AD12</f>
        <v>0</v>
      </c>
      <c r="X58">
        <f>'REGIÃO 02 - HISTÓRICO'!AF12</f>
        <v>0</v>
      </c>
      <c r="AA58" t="str">
        <f t="shared" si="9"/>
        <v/>
      </c>
      <c r="AB58" t="str">
        <f t="shared" si="10"/>
        <v/>
      </c>
      <c r="AC58" t="str">
        <f t="shared" si="11"/>
        <v/>
      </c>
      <c r="AD58" t="str">
        <f t="shared" si="12"/>
        <v/>
      </c>
      <c r="AF58" s="91" t="str">
        <f t="shared" si="13"/>
        <v>R02</v>
      </c>
      <c r="AG58" t="str">
        <f t="shared" si="14"/>
        <v>014.2025.0092</v>
      </c>
      <c r="AH58">
        <f t="shared" si="15"/>
        <v>146512.64000000001</v>
      </c>
      <c r="AI58">
        <f t="shared" si="16"/>
        <v>146512.63994200001</v>
      </c>
      <c r="AJ58">
        <f t="shared" si="17"/>
        <v>61</v>
      </c>
    </row>
    <row r="59" spans="2:36" x14ac:dyDescent="0.3">
      <c r="B59" s="91" t="str">
        <f>'REGIÃO 02 - RESUMO'!C13</f>
        <v>R02</v>
      </c>
      <c r="C59" s="91" t="str">
        <f>'REGIÃO 02 - RESUMO'!D13</f>
        <v>014.2025</v>
      </c>
      <c r="D59" s="92">
        <f>'REGIÃO 02 - RESUMO'!E13</f>
        <v>93</v>
      </c>
      <c r="E59" t="str">
        <f>'REGIÃO 02 - RESUMO'!F13</f>
        <v>Fevereiro</v>
      </c>
      <c r="F59" s="93">
        <f>'REGIÃO 02 - RESUMO'!H13</f>
        <v>46</v>
      </c>
      <c r="G59" t="str">
        <f>'REGIÃO 02 - RESUMO'!I13</f>
        <v>RODOVIA TO-164 - TRECHO ENTR. TO-226 - POVOADO DEZENOVE - BERNARDO SAYÃO</v>
      </c>
      <c r="H59" s="91" t="str">
        <f>'REGIÃO 02 - RESUMO'!J13</f>
        <v>Roçada</v>
      </c>
      <c r="I59">
        <f>'REGIÃO 02 - RESUMO'!K13</f>
        <v>13960.05</v>
      </c>
      <c r="J59">
        <f>'REGIÃO 02 - HISTÓRICO'!F13</f>
        <v>13935.87</v>
      </c>
      <c r="K59">
        <f>'REGIÃO 02 - HISTÓRICO'!G13</f>
        <v>24.179999999998472</v>
      </c>
      <c r="L59" t="str">
        <f>IF(OR('REGIÃO 02 - RESUMO'!L13="",'REGIÃO 02 - RESUMO'!L13=0),"",'REGIÃO 02 - RESUMO'!L13)</f>
        <v>Concluída</v>
      </c>
      <c r="M59">
        <f>'REGIÃO 02 - HISTÓRICO'!J13</f>
        <v>0</v>
      </c>
      <c r="N59">
        <f>'REGIÃO 02 - HISTÓRICO'!L13</f>
        <v>13935.87</v>
      </c>
      <c r="O59">
        <f>'REGIÃO 02 - HISTÓRICO'!N13</f>
        <v>0</v>
      </c>
      <c r="P59">
        <f>'REGIÃO 02 - HISTÓRICO'!P13</f>
        <v>0</v>
      </c>
      <c r="Q59">
        <f>'REGIÃO 02 - HISTÓRICO'!R13</f>
        <v>0</v>
      </c>
      <c r="R59">
        <f>'REGIÃO 02 - HISTÓRICO'!T13</f>
        <v>0</v>
      </c>
      <c r="S59">
        <f>'REGIÃO 02 - HISTÓRICO'!V13</f>
        <v>0</v>
      </c>
      <c r="T59">
        <f>'REGIÃO 02 - HISTÓRICO'!X13</f>
        <v>0</v>
      </c>
      <c r="U59">
        <f>'REGIÃO 02 - HISTÓRICO'!Z13</f>
        <v>0</v>
      </c>
      <c r="V59">
        <f>'REGIÃO 02 - HISTÓRICO'!AB13</f>
        <v>0</v>
      </c>
      <c r="W59">
        <f>'REGIÃO 02 - HISTÓRICO'!AD13</f>
        <v>0</v>
      </c>
      <c r="X59">
        <f>'REGIÃO 02 - HISTÓRICO'!AF13</f>
        <v>0</v>
      </c>
      <c r="AA59" t="str">
        <f t="shared" si="9"/>
        <v/>
      </c>
      <c r="AB59" t="str">
        <f t="shared" si="10"/>
        <v/>
      </c>
      <c r="AC59" t="str">
        <f t="shared" si="11"/>
        <v/>
      </c>
      <c r="AD59" t="str">
        <f t="shared" si="12"/>
        <v/>
      </c>
      <c r="AF59" s="91" t="str">
        <f t="shared" si="13"/>
        <v>R02</v>
      </c>
      <c r="AG59" t="str">
        <f t="shared" si="14"/>
        <v>014.2025.0093</v>
      </c>
      <c r="AH59">
        <f t="shared" si="15"/>
        <v>13960.05</v>
      </c>
      <c r="AI59">
        <f t="shared" si="16"/>
        <v>13960.049940999999</v>
      </c>
      <c r="AJ59">
        <f t="shared" si="17"/>
        <v>126</v>
      </c>
    </row>
    <row r="60" spans="2:36" x14ac:dyDescent="0.3">
      <c r="B60" s="91" t="str">
        <f>'REGIÃO 02 - RESUMO'!C14</f>
        <v>R02</v>
      </c>
      <c r="C60" s="91" t="str">
        <f>'REGIÃO 02 - RESUMO'!D14</f>
        <v>014.2025</v>
      </c>
      <c r="D60" s="92">
        <f>'REGIÃO 02 - RESUMO'!E14</f>
        <v>94</v>
      </c>
      <c r="E60" t="str">
        <f>'REGIÃO 02 - RESUMO'!F14</f>
        <v>Fevereiro</v>
      </c>
      <c r="F60" s="93">
        <f>'REGIÃO 02 - RESUMO'!H14</f>
        <v>53</v>
      </c>
      <c r="G60" t="str">
        <f>'REGIÃO 02 - RESUMO'!I14</f>
        <v>RODOVIA TO-226 - TRECHO ENTR. BR-153 (POVOADO RIO PRETO) - DIVISA TO-PA (POVOADO GARIMPINHO)</v>
      </c>
      <c r="H60" s="91" t="str">
        <f>'REGIÃO 02 - RESUMO'!J14</f>
        <v>Roçada</v>
      </c>
      <c r="I60">
        <f>'REGIÃO 02 - RESUMO'!K14</f>
        <v>34953.279999999999</v>
      </c>
      <c r="J60">
        <f>'REGIÃO 02 - HISTÓRICO'!F14</f>
        <v>34953.279999999999</v>
      </c>
      <c r="K60">
        <f>'REGIÃO 02 - HISTÓRICO'!G14</f>
        <v>0</v>
      </c>
      <c r="L60" t="str">
        <f>IF(OR('REGIÃO 02 - RESUMO'!L14="",'REGIÃO 02 - RESUMO'!L14=0),"",'REGIÃO 02 - RESUMO'!L14)</f>
        <v>Concluída</v>
      </c>
      <c r="M60">
        <f>'REGIÃO 02 - HISTÓRICO'!J14</f>
        <v>0</v>
      </c>
      <c r="N60">
        <f>'REGIÃO 02 - HISTÓRICO'!L14</f>
        <v>34953.279999999999</v>
      </c>
      <c r="O60">
        <f>'REGIÃO 02 - HISTÓRICO'!N14</f>
        <v>0</v>
      </c>
      <c r="P60">
        <f>'REGIÃO 02 - HISTÓRICO'!P14</f>
        <v>0</v>
      </c>
      <c r="Q60">
        <f>'REGIÃO 02 - HISTÓRICO'!R14</f>
        <v>0</v>
      </c>
      <c r="R60">
        <f>'REGIÃO 02 - HISTÓRICO'!T14</f>
        <v>0</v>
      </c>
      <c r="S60">
        <f>'REGIÃO 02 - HISTÓRICO'!V14</f>
        <v>0</v>
      </c>
      <c r="T60">
        <f>'REGIÃO 02 - HISTÓRICO'!X14</f>
        <v>0</v>
      </c>
      <c r="U60">
        <f>'REGIÃO 02 - HISTÓRICO'!Z14</f>
        <v>0</v>
      </c>
      <c r="V60">
        <f>'REGIÃO 02 - HISTÓRICO'!AB14</f>
        <v>0</v>
      </c>
      <c r="W60">
        <f>'REGIÃO 02 - HISTÓRICO'!AD14</f>
        <v>0</v>
      </c>
      <c r="X60">
        <f>'REGIÃO 02 - HISTÓRICO'!AF14</f>
        <v>0</v>
      </c>
      <c r="AF60" s="91" t="str">
        <f t="shared" si="13"/>
        <v>R02</v>
      </c>
      <c r="AG60" t="str">
        <f t="shared" si="14"/>
        <v>014.2025.0094</v>
      </c>
      <c r="AH60">
        <f t="shared" si="15"/>
        <v>34953.279999999999</v>
      </c>
      <c r="AI60">
        <f t="shared" si="16"/>
        <v>34953.27994</v>
      </c>
      <c r="AJ60">
        <f t="shared" si="17"/>
        <v>100</v>
      </c>
    </row>
    <row r="61" spans="2:36" x14ac:dyDescent="0.3">
      <c r="B61" s="91" t="str">
        <f>'REGIÃO 02 - RESUMO'!C15</f>
        <v>R02</v>
      </c>
      <c r="C61" s="91" t="str">
        <f>'REGIÃO 02 - RESUMO'!D15</f>
        <v>014.2025</v>
      </c>
      <c r="D61" s="92">
        <f>'REGIÃO 02 - RESUMO'!E15</f>
        <v>95</v>
      </c>
      <c r="E61" t="str">
        <f>'REGIÃO 02 - RESUMO'!F15</f>
        <v>Fevereiro</v>
      </c>
      <c r="F61" s="93">
        <f>'REGIÃO 02 - RESUMO'!H15</f>
        <v>54</v>
      </c>
      <c r="G61" t="str">
        <f>'REGIÃO 02 - RESUMO'!I15</f>
        <v>RODOVIA TO-230 - TRECHO ARAPOEMA - PAU D'ARCO (DIVISA TO-PA)</v>
      </c>
      <c r="H61" s="91" t="str">
        <f>'REGIÃO 02 - RESUMO'!J15</f>
        <v>Roçada</v>
      </c>
      <c r="I61">
        <f>'REGIÃO 02 - RESUMO'!K15</f>
        <v>12442.7</v>
      </c>
      <c r="J61">
        <f>'REGIÃO 02 - HISTÓRICO'!F15</f>
        <v>12427.25</v>
      </c>
      <c r="K61">
        <f>'REGIÃO 02 - HISTÓRICO'!G15</f>
        <v>15.450000000000728</v>
      </c>
      <c r="L61" t="str">
        <f>IF(OR('REGIÃO 02 - RESUMO'!L15="",'REGIÃO 02 - RESUMO'!L15=0),"",'REGIÃO 02 - RESUMO'!L15)</f>
        <v>Concluída</v>
      </c>
      <c r="M61">
        <f>'REGIÃO 02 - HISTÓRICO'!J15</f>
        <v>0</v>
      </c>
      <c r="N61">
        <f>'REGIÃO 02 - HISTÓRICO'!L15</f>
        <v>12427.25</v>
      </c>
      <c r="O61">
        <f>'REGIÃO 02 - HISTÓRICO'!N15</f>
        <v>0</v>
      </c>
      <c r="P61">
        <f>'REGIÃO 02 - HISTÓRICO'!P15</f>
        <v>0</v>
      </c>
      <c r="Q61">
        <f>'REGIÃO 02 - HISTÓRICO'!R15</f>
        <v>0</v>
      </c>
      <c r="R61">
        <f>'REGIÃO 02 - HISTÓRICO'!T15</f>
        <v>0</v>
      </c>
      <c r="S61">
        <f>'REGIÃO 02 - HISTÓRICO'!V15</f>
        <v>0</v>
      </c>
      <c r="T61">
        <f>'REGIÃO 02 - HISTÓRICO'!X15</f>
        <v>0</v>
      </c>
      <c r="U61">
        <f>'REGIÃO 02 - HISTÓRICO'!Z15</f>
        <v>0</v>
      </c>
      <c r="V61">
        <f>'REGIÃO 02 - HISTÓRICO'!AB15</f>
        <v>0</v>
      </c>
      <c r="W61">
        <f>'REGIÃO 02 - HISTÓRICO'!AD15</f>
        <v>0</v>
      </c>
      <c r="X61">
        <f>'REGIÃO 02 - HISTÓRICO'!AF15</f>
        <v>0</v>
      </c>
      <c r="AF61" s="91" t="str">
        <f t="shared" si="13"/>
        <v>R02</v>
      </c>
      <c r="AG61" t="str">
        <f t="shared" si="14"/>
        <v>014.2025.0095</v>
      </c>
      <c r="AH61">
        <f t="shared" si="15"/>
        <v>12442.7</v>
      </c>
      <c r="AI61">
        <f t="shared" si="16"/>
        <v>12442.699939</v>
      </c>
      <c r="AJ61">
        <f t="shared" si="17"/>
        <v>129</v>
      </c>
    </row>
    <row r="62" spans="2:36" x14ac:dyDescent="0.3">
      <c r="B62" s="91" t="str">
        <f>'REGIÃO 02 - RESUMO'!C16</f>
        <v>R02</v>
      </c>
      <c r="C62" s="91" t="str">
        <f>'REGIÃO 02 - RESUMO'!D16</f>
        <v>014.2025</v>
      </c>
      <c r="D62" s="92">
        <f>'REGIÃO 02 - RESUMO'!E16</f>
        <v>96</v>
      </c>
      <c r="E62" t="str">
        <f>'REGIÃO 02 - RESUMO'!F16</f>
        <v>Fevereiro</v>
      </c>
      <c r="F62" s="93">
        <f>'REGIÃO 02 - RESUMO'!H16</f>
        <v>55</v>
      </c>
      <c r="G62" t="str">
        <f>'REGIÃO 02 - RESUMO'!I16</f>
        <v>RODOVIA TO-230 - TRECHO BANDEIRANTES DO TOCANTINS - ARAPOEMA</v>
      </c>
      <c r="H62" s="91" t="str">
        <f>'REGIÃO 02 - RESUMO'!J16</f>
        <v>Roçada</v>
      </c>
      <c r="I62">
        <f>'REGIÃO 02 - RESUMO'!K16</f>
        <v>19911.46</v>
      </c>
      <c r="J62">
        <f>'REGIÃO 02 - HISTÓRICO'!F16</f>
        <v>19899.78</v>
      </c>
      <c r="K62">
        <f>'REGIÃO 02 - HISTÓRICO'!G16</f>
        <v>11.680000000000291</v>
      </c>
      <c r="L62" t="str">
        <f>IF(OR('REGIÃO 02 - RESUMO'!L16="",'REGIÃO 02 - RESUMO'!L16=0),"",'REGIÃO 02 - RESUMO'!L16)</f>
        <v>Concluída</v>
      </c>
      <c r="M62">
        <f>'REGIÃO 02 - HISTÓRICO'!J16</f>
        <v>0</v>
      </c>
      <c r="N62">
        <f>'REGIÃO 02 - HISTÓRICO'!L16</f>
        <v>19899.78</v>
      </c>
      <c r="O62">
        <f>'REGIÃO 02 - HISTÓRICO'!N16</f>
        <v>0</v>
      </c>
      <c r="P62">
        <f>'REGIÃO 02 - HISTÓRICO'!P16</f>
        <v>0</v>
      </c>
      <c r="Q62">
        <f>'REGIÃO 02 - HISTÓRICO'!R16</f>
        <v>0</v>
      </c>
      <c r="R62">
        <f>'REGIÃO 02 - HISTÓRICO'!T16</f>
        <v>0</v>
      </c>
      <c r="S62">
        <f>'REGIÃO 02 - HISTÓRICO'!V16</f>
        <v>0</v>
      </c>
      <c r="T62">
        <f>'REGIÃO 02 - HISTÓRICO'!X16</f>
        <v>0</v>
      </c>
      <c r="U62">
        <f>'REGIÃO 02 - HISTÓRICO'!Z16</f>
        <v>0</v>
      </c>
      <c r="V62">
        <f>'REGIÃO 02 - HISTÓRICO'!AB16</f>
        <v>0</v>
      </c>
      <c r="W62">
        <f>'REGIÃO 02 - HISTÓRICO'!AD16</f>
        <v>0</v>
      </c>
      <c r="X62">
        <f>'REGIÃO 02 - HISTÓRICO'!AF16</f>
        <v>0</v>
      </c>
      <c r="AF62" s="91" t="str">
        <f t="shared" si="13"/>
        <v>R02</v>
      </c>
      <c r="AG62" t="str">
        <f t="shared" si="14"/>
        <v>014.2025.0096</v>
      </c>
      <c r="AH62">
        <f t="shared" si="15"/>
        <v>19911.46</v>
      </c>
      <c r="AI62">
        <f t="shared" si="16"/>
        <v>19911.459938</v>
      </c>
      <c r="AJ62">
        <f t="shared" si="17"/>
        <v>120</v>
      </c>
    </row>
    <row r="63" spans="2:36" x14ac:dyDescent="0.3">
      <c r="B63" s="91" t="str">
        <f>'REGIÃO 02 - RESUMO'!C17</f>
        <v>R02</v>
      </c>
      <c r="C63" s="91" t="str">
        <f>'REGIÃO 02 - RESUMO'!D17</f>
        <v>014.2025</v>
      </c>
      <c r="D63" s="92">
        <f>'REGIÃO 02 - RESUMO'!E17</f>
        <v>97</v>
      </c>
      <c r="E63" t="str">
        <f>'REGIÃO 02 - RESUMO'!F17</f>
        <v>Fevereiro</v>
      </c>
      <c r="F63" s="93">
        <f>'REGIÃO 02 - RESUMO'!H17</f>
        <v>56</v>
      </c>
      <c r="G63" t="str">
        <f>'REGIÃO 02 - RESUMO'!I17</f>
        <v>RODOVIA TO-230 - TRECHO ENTR. BR-153 - BANDEIRANTES DO TOCANTINS</v>
      </c>
      <c r="H63" s="91" t="str">
        <f>'REGIÃO 02 - RESUMO'!J17</f>
        <v>Roçada / Limpeza EDS</v>
      </c>
      <c r="I63">
        <f>'REGIÃO 02 - RESUMO'!K17</f>
        <v>5370.39</v>
      </c>
      <c r="J63">
        <f>'REGIÃO 02 - HISTÓRICO'!F17</f>
        <v>5353.33</v>
      </c>
      <c r="K63">
        <f>'REGIÃO 02 - HISTÓRICO'!G17</f>
        <v>17.0600000000004</v>
      </c>
      <c r="L63" t="str">
        <f>IF(OR('REGIÃO 02 - RESUMO'!L17="",'REGIÃO 02 - RESUMO'!L17=0),"",'REGIÃO 02 - RESUMO'!L17)</f>
        <v>Concluída</v>
      </c>
      <c r="M63">
        <f>'REGIÃO 02 - HISTÓRICO'!J17</f>
        <v>0</v>
      </c>
      <c r="N63">
        <f>'REGIÃO 02 - HISTÓRICO'!L17</f>
        <v>5353.33</v>
      </c>
      <c r="O63">
        <f>'REGIÃO 02 - HISTÓRICO'!N17</f>
        <v>0</v>
      </c>
      <c r="P63">
        <f>'REGIÃO 02 - HISTÓRICO'!P17</f>
        <v>0</v>
      </c>
      <c r="Q63">
        <f>'REGIÃO 02 - HISTÓRICO'!R17</f>
        <v>0</v>
      </c>
      <c r="R63">
        <f>'REGIÃO 02 - HISTÓRICO'!T17</f>
        <v>0</v>
      </c>
      <c r="S63">
        <f>'REGIÃO 02 - HISTÓRICO'!V17</f>
        <v>0</v>
      </c>
      <c r="T63">
        <f>'REGIÃO 02 - HISTÓRICO'!X17</f>
        <v>0</v>
      </c>
      <c r="U63">
        <f>'REGIÃO 02 - HISTÓRICO'!Z17</f>
        <v>0</v>
      </c>
      <c r="V63">
        <f>'REGIÃO 02 - HISTÓRICO'!AB17</f>
        <v>0</v>
      </c>
      <c r="W63">
        <f>'REGIÃO 02 - HISTÓRICO'!AD17</f>
        <v>0</v>
      </c>
      <c r="X63">
        <f>'REGIÃO 02 - HISTÓRICO'!AF17</f>
        <v>0</v>
      </c>
      <c r="AF63" s="91" t="str">
        <f t="shared" si="13"/>
        <v>R02</v>
      </c>
      <c r="AG63" t="str">
        <f t="shared" si="14"/>
        <v>014.2025.0097</v>
      </c>
      <c r="AH63">
        <f t="shared" si="15"/>
        <v>5370.39</v>
      </c>
      <c r="AI63">
        <f t="shared" si="16"/>
        <v>5370.3899369999999</v>
      </c>
      <c r="AJ63">
        <f t="shared" si="17"/>
        <v>143</v>
      </c>
    </row>
    <row r="64" spans="2:36" x14ac:dyDescent="0.3">
      <c r="B64" s="91" t="str">
        <f>'REGIÃO 02 - RESUMO'!C18</f>
        <v>R02</v>
      </c>
      <c r="C64" s="91" t="str">
        <f>'REGIÃO 02 - RESUMO'!D18</f>
        <v>014.2025</v>
      </c>
      <c r="D64" s="92">
        <f>'REGIÃO 02 - RESUMO'!E18</f>
        <v>98</v>
      </c>
      <c r="E64" t="str">
        <f>'REGIÃO 02 - RESUMO'!F18</f>
        <v>Fevereiro</v>
      </c>
      <c r="F64" s="93">
        <f>'REGIÃO 02 - RESUMO'!H18</f>
        <v>57</v>
      </c>
      <c r="G64" t="str">
        <f>'REGIÃO 02 - RESUMO'!I18</f>
        <v>RODOVIA TO-416 - TRECHO ENTR. BR-153 - RIACHINHO</v>
      </c>
      <c r="H64" s="91" t="str">
        <f>'REGIÃO 02 - RESUMO'!J18</f>
        <v>Tapa-Buraco CAE / Remendo Profundo</v>
      </c>
      <c r="I64">
        <f>'REGIÃO 02 - RESUMO'!K18</f>
        <v>442795.29</v>
      </c>
      <c r="J64">
        <f>'REGIÃO 02 - HISTÓRICO'!F18</f>
        <v>0</v>
      </c>
      <c r="K64">
        <f>'REGIÃO 02 - HISTÓRICO'!G18</f>
        <v>442795.29</v>
      </c>
      <c r="L64" t="str">
        <f>IF(OR('REGIÃO 02 - RESUMO'!L18="",'REGIÃO 02 - RESUMO'!L18=0),"",'REGIÃO 02 - RESUMO'!L18)</f>
        <v>Cancelada</v>
      </c>
      <c r="M64">
        <f>'REGIÃO 02 - HISTÓRICO'!J18</f>
        <v>0</v>
      </c>
      <c r="N64">
        <f>'REGIÃO 02 - HISTÓRICO'!L18</f>
        <v>0</v>
      </c>
      <c r="O64">
        <f>'REGIÃO 02 - HISTÓRICO'!N18</f>
        <v>0</v>
      </c>
      <c r="P64">
        <f>'REGIÃO 02 - HISTÓRICO'!P18</f>
        <v>0</v>
      </c>
      <c r="Q64">
        <f>'REGIÃO 02 - HISTÓRICO'!R18</f>
        <v>0</v>
      </c>
      <c r="R64">
        <f>'REGIÃO 02 - HISTÓRICO'!T18</f>
        <v>0</v>
      </c>
      <c r="S64">
        <f>'REGIÃO 02 - HISTÓRICO'!V18</f>
        <v>0</v>
      </c>
      <c r="T64">
        <f>'REGIÃO 02 - HISTÓRICO'!X18</f>
        <v>0</v>
      </c>
      <c r="U64">
        <f>'REGIÃO 02 - HISTÓRICO'!Z18</f>
        <v>0</v>
      </c>
      <c r="V64">
        <f>'REGIÃO 02 - HISTÓRICO'!AB18</f>
        <v>0</v>
      </c>
      <c r="W64">
        <f>'REGIÃO 02 - HISTÓRICO'!AD18</f>
        <v>0</v>
      </c>
      <c r="X64">
        <f>'REGIÃO 02 - HISTÓRICO'!AF18</f>
        <v>0</v>
      </c>
      <c r="AF64" s="91" t="str">
        <f t="shared" si="13"/>
        <v>R02</v>
      </c>
      <c r="AG64" t="str">
        <f t="shared" si="14"/>
        <v>014.2025.0098</v>
      </c>
      <c r="AH64">
        <f t="shared" si="15"/>
        <v>442795.29</v>
      </c>
      <c r="AI64">
        <f t="shared" si="16"/>
        <v>442795.28993599996</v>
      </c>
      <c r="AJ64">
        <f t="shared" si="17"/>
        <v>31</v>
      </c>
    </row>
    <row r="65" spans="2:36" x14ac:dyDescent="0.3">
      <c r="B65" s="91" t="str">
        <f>'REGIÃO 02 - RESUMO'!C19</f>
        <v>R02</v>
      </c>
      <c r="C65" s="91" t="str">
        <f>'REGIÃO 02 - RESUMO'!D19</f>
        <v>014.2025</v>
      </c>
      <c r="D65" s="92">
        <f>'REGIÃO 02 - RESUMO'!E19</f>
        <v>99</v>
      </c>
      <c r="E65" t="str">
        <f>'REGIÃO 02 - RESUMO'!F19</f>
        <v>Fevereiro</v>
      </c>
      <c r="F65" s="93">
        <f>'REGIÃO 02 - RESUMO'!H19</f>
        <v>56</v>
      </c>
      <c r="G65" t="str">
        <f>'REGIÃO 02 - RESUMO'!I19</f>
        <v>RODOVIA TO-230 - TRECHO ENTR. BR-153 - BANDEIRANTES DO TOCANTINS</v>
      </c>
      <c r="H65" s="91" t="str">
        <f>'REGIÃO 02 - RESUMO'!J19</f>
        <v>Reconformação da plataforma</v>
      </c>
      <c r="I65">
        <f>'REGIÃO 02 - RESUMO'!K19</f>
        <v>116688.86</v>
      </c>
      <c r="J65">
        <f>'REGIÃO 02 - HISTÓRICO'!F19</f>
        <v>0</v>
      </c>
      <c r="K65">
        <f>'REGIÃO 02 - HISTÓRICO'!G19</f>
        <v>116688.86</v>
      </c>
      <c r="L65" t="str">
        <f>IF(OR('REGIÃO 02 - RESUMO'!L19="",'REGIÃO 02 - RESUMO'!L19=0),"",'REGIÃO 02 - RESUMO'!L19)</f>
        <v>Cancelada</v>
      </c>
      <c r="M65">
        <f>'REGIÃO 02 - HISTÓRICO'!J19</f>
        <v>0</v>
      </c>
      <c r="N65">
        <f>'REGIÃO 02 - HISTÓRICO'!L19</f>
        <v>0</v>
      </c>
      <c r="O65">
        <f>'REGIÃO 02 - HISTÓRICO'!N19</f>
        <v>0</v>
      </c>
      <c r="P65">
        <f>'REGIÃO 02 - HISTÓRICO'!P19</f>
        <v>0</v>
      </c>
      <c r="Q65">
        <f>'REGIÃO 02 - HISTÓRICO'!R19</f>
        <v>0</v>
      </c>
      <c r="R65">
        <f>'REGIÃO 02 - HISTÓRICO'!T19</f>
        <v>0</v>
      </c>
      <c r="S65">
        <f>'REGIÃO 02 - HISTÓRICO'!V19</f>
        <v>0</v>
      </c>
      <c r="T65">
        <f>'REGIÃO 02 - HISTÓRICO'!X19</f>
        <v>0</v>
      </c>
      <c r="U65">
        <f>'REGIÃO 02 - HISTÓRICO'!Z19</f>
        <v>0</v>
      </c>
      <c r="V65">
        <f>'REGIÃO 02 - HISTÓRICO'!AB19</f>
        <v>0</v>
      </c>
      <c r="W65">
        <f>'REGIÃO 02 - HISTÓRICO'!AD19</f>
        <v>0</v>
      </c>
      <c r="X65">
        <f>'REGIÃO 02 - HISTÓRICO'!AF19</f>
        <v>0</v>
      </c>
      <c r="AF65" s="91" t="str">
        <f t="shared" si="13"/>
        <v>R02</v>
      </c>
      <c r="AG65" t="str">
        <f t="shared" si="14"/>
        <v>014.2025.0099</v>
      </c>
      <c r="AH65">
        <f t="shared" si="15"/>
        <v>116688.86</v>
      </c>
      <c r="AI65">
        <f t="shared" si="16"/>
        <v>116688.859935</v>
      </c>
      <c r="AJ65">
        <f t="shared" si="17"/>
        <v>66</v>
      </c>
    </row>
    <row r="66" spans="2:36" x14ac:dyDescent="0.3">
      <c r="B66" s="91" t="str">
        <f>'REGIÃO 02 - RESUMO'!C20</f>
        <v>R02</v>
      </c>
      <c r="C66" s="91" t="str">
        <f>'REGIÃO 02 - RESUMO'!D20</f>
        <v>014.2025</v>
      </c>
      <c r="D66" s="92">
        <f>'REGIÃO 02 - RESUMO'!E20</f>
        <v>100</v>
      </c>
      <c r="E66" t="str">
        <f>'REGIÃO 02 - RESUMO'!F20</f>
        <v>Fevereiro</v>
      </c>
      <c r="F66" s="93">
        <f>'REGIÃO 02 - RESUMO'!H20</f>
        <v>61</v>
      </c>
      <c r="G66" t="str">
        <f>'REGIÃO 02 - RESUMO'!I20</f>
        <v>RODOVIA TO-420 - TRECHO ENTR. BR-153 (POVOADO XAMBERLÂNDIA) - PIRAQUÊ - ENTR. BR-153</v>
      </c>
      <c r="H66" s="91" t="str">
        <f>'REGIÃO 02 - RESUMO'!J20</f>
        <v>Roçada / Tapa-Buraco CAE</v>
      </c>
      <c r="I66">
        <f>'REGIÃO 02 - RESUMO'!K20</f>
        <v>408915.96</v>
      </c>
      <c r="J66">
        <f>'REGIÃO 02 - HISTÓRICO'!F20</f>
        <v>404651.55</v>
      </c>
      <c r="K66">
        <f>'REGIÃO 02 - HISTÓRICO'!G20</f>
        <v>4264.4100000000326</v>
      </c>
      <c r="L66" t="str">
        <f>IF(OR('REGIÃO 02 - RESUMO'!L20="",'REGIÃO 02 - RESUMO'!L20=0),"",'REGIÃO 02 - RESUMO'!L20)</f>
        <v>Concluída</v>
      </c>
      <c r="M66">
        <f>'REGIÃO 02 - HISTÓRICO'!J20</f>
        <v>0</v>
      </c>
      <c r="N66">
        <f>'REGIÃO 02 - HISTÓRICO'!L20</f>
        <v>404651.55</v>
      </c>
      <c r="O66">
        <f>'REGIÃO 02 - HISTÓRICO'!N20</f>
        <v>0</v>
      </c>
      <c r="P66">
        <f>'REGIÃO 02 - HISTÓRICO'!P20</f>
        <v>0</v>
      </c>
      <c r="Q66">
        <f>'REGIÃO 02 - HISTÓRICO'!R20</f>
        <v>0</v>
      </c>
      <c r="R66">
        <f>'REGIÃO 02 - HISTÓRICO'!T20</f>
        <v>0</v>
      </c>
      <c r="S66">
        <f>'REGIÃO 02 - HISTÓRICO'!V20</f>
        <v>0</v>
      </c>
      <c r="T66">
        <f>'REGIÃO 02 - HISTÓRICO'!X20</f>
        <v>0</v>
      </c>
      <c r="U66">
        <f>'REGIÃO 02 - HISTÓRICO'!Z20</f>
        <v>0</v>
      </c>
      <c r="V66">
        <f>'REGIÃO 02 - HISTÓRICO'!AB20</f>
        <v>0</v>
      </c>
      <c r="W66">
        <f>'REGIÃO 02 - HISTÓRICO'!AD20</f>
        <v>0</v>
      </c>
      <c r="X66">
        <f>'REGIÃO 02 - HISTÓRICO'!AF20</f>
        <v>0</v>
      </c>
      <c r="AF66" s="91" t="str">
        <f t="shared" si="13"/>
        <v>R02</v>
      </c>
      <c r="AG66" t="str">
        <f t="shared" si="14"/>
        <v>014.2025.0100</v>
      </c>
      <c r="AH66">
        <f t="shared" si="15"/>
        <v>408915.96</v>
      </c>
      <c r="AI66">
        <f t="shared" si="16"/>
        <v>408915.95993400004</v>
      </c>
      <c r="AJ66">
        <f t="shared" si="17"/>
        <v>36</v>
      </c>
    </row>
    <row r="67" spans="2:36" x14ac:dyDescent="0.3">
      <c r="B67" s="91" t="str">
        <f>'REGIÃO 02 - RESUMO'!C21</f>
        <v>R02</v>
      </c>
      <c r="C67" s="91" t="str">
        <f>'REGIÃO 02 - RESUMO'!D21</f>
        <v>014.2025</v>
      </c>
      <c r="D67" s="92">
        <f>'REGIÃO 02 - RESUMO'!E21</f>
        <v>101</v>
      </c>
      <c r="E67" t="str">
        <f>'REGIÃO 02 - RESUMO'!F21</f>
        <v>Fevereiro</v>
      </c>
      <c r="F67" s="93">
        <f>'REGIÃO 02 - RESUMO'!H21</f>
        <v>45</v>
      </c>
      <c r="G67" t="str">
        <f>'REGIÃO 02 - RESUMO'!I21</f>
        <v>RODOVIA TO-164 - TRECHO CARMOLÂNDIA - ENTR. TO-222 - ARAGOMINAS</v>
      </c>
      <c r="H67" s="91" t="str">
        <f>'REGIÃO 02 - RESUMO'!J21</f>
        <v>Tapa-Buraco CAE / Remendo Profundo</v>
      </c>
      <c r="I67">
        <f>'REGIÃO 02 - RESUMO'!K21</f>
        <v>697649.81</v>
      </c>
      <c r="J67">
        <f>'REGIÃO 02 - HISTÓRICO'!F21</f>
        <v>693319.83</v>
      </c>
      <c r="K67">
        <f>'REGIÃO 02 - HISTÓRICO'!G21</f>
        <v>4329.9800000000978</v>
      </c>
      <c r="L67" t="str">
        <f>IF(OR('REGIÃO 02 - RESUMO'!L21="",'REGIÃO 02 - RESUMO'!L21=0),"",'REGIÃO 02 - RESUMO'!L21)</f>
        <v>Concluída</v>
      </c>
      <c r="M67">
        <f>'REGIÃO 02 - HISTÓRICO'!J21</f>
        <v>0</v>
      </c>
      <c r="N67">
        <f>'REGIÃO 02 - HISTÓRICO'!L21</f>
        <v>693319.83</v>
      </c>
      <c r="O67">
        <f>'REGIÃO 02 - HISTÓRICO'!N21</f>
        <v>0</v>
      </c>
      <c r="P67">
        <f>'REGIÃO 02 - HISTÓRICO'!P21</f>
        <v>0</v>
      </c>
      <c r="Q67">
        <f>'REGIÃO 02 - HISTÓRICO'!R21</f>
        <v>0</v>
      </c>
      <c r="R67">
        <f>'REGIÃO 02 - HISTÓRICO'!T21</f>
        <v>0</v>
      </c>
      <c r="S67">
        <f>'REGIÃO 02 - HISTÓRICO'!V21</f>
        <v>0</v>
      </c>
      <c r="T67">
        <f>'REGIÃO 02 - HISTÓRICO'!X21</f>
        <v>0</v>
      </c>
      <c r="U67">
        <f>'REGIÃO 02 - HISTÓRICO'!Z21</f>
        <v>0</v>
      </c>
      <c r="V67">
        <f>'REGIÃO 02 - HISTÓRICO'!AB21</f>
        <v>0</v>
      </c>
      <c r="W67">
        <f>'REGIÃO 02 - HISTÓRICO'!AD21</f>
        <v>0</v>
      </c>
      <c r="X67">
        <f>'REGIÃO 02 - HISTÓRICO'!AF21</f>
        <v>0</v>
      </c>
      <c r="AF67" s="91" t="str">
        <f t="shared" si="13"/>
        <v>R02</v>
      </c>
      <c r="AG67" t="str">
        <f t="shared" si="14"/>
        <v>014.2025.0101</v>
      </c>
      <c r="AH67">
        <f t="shared" si="15"/>
        <v>697649.81</v>
      </c>
      <c r="AI67">
        <f t="shared" si="16"/>
        <v>697649.80993300001</v>
      </c>
      <c r="AJ67">
        <f t="shared" si="17"/>
        <v>22</v>
      </c>
    </row>
    <row r="68" spans="2:36" x14ac:dyDescent="0.3">
      <c r="B68" s="91" t="str">
        <f>'REGIÃO 02 - RESUMO'!C22</f>
        <v>R02</v>
      </c>
      <c r="C68" s="91" t="str">
        <f>'REGIÃO 02 - RESUMO'!D22</f>
        <v>014.2025</v>
      </c>
      <c r="D68" s="92">
        <f>'REGIÃO 02 - RESUMO'!E22</f>
        <v>103</v>
      </c>
      <c r="E68" t="str">
        <f>'REGIÃO 02 - RESUMO'!F22</f>
        <v>Fevereiro</v>
      </c>
      <c r="F68" s="93">
        <f>'REGIÃO 02 - RESUMO'!H22</f>
        <v>39</v>
      </c>
      <c r="G68" t="str">
        <f>'REGIÃO 02 - RESUMO'!I22</f>
        <v>RODOVIA TO-010 - TRECHO RIACHINHO - ANANÁS</v>
      </c>
      <c r="H68" s="91" t="str">
        <f>'REGIÃO 02 - RESUMO'!J22</f>
        <v>Tapa-Buraco CAE</v>
      </c>
      <c r="I68">
        <f>'REGIÃO 02 - RESUMO'!K22</f>
        <v>408651.04</v>
      </c>
      <c r="J68">
        <f>'REGIÃO 02 - HISTÓRICO'!F22</f>
        <v>0</v>
      </c>
      <c r="K68">
        <f>'REGIÃO 02 - HISTÓRICO'!G22</f>
        <v>408651.04</v>
      </c>
      <c r="L68" t="str">
        <f>IF(OR('REGIÃO 02 - RESUMO'!L22="",'REGIÃO 02 - RESUMO'!L22=0),"",'REGIÃO 02 - RESUMO'!L22)</f>
        <v>Cancelada</v>
      </c>
      <c r="M68">
        <f>'REGIÃO 02 - HISTÓRICO'!J22</f>
        <v>0</v>
      </c>
      <c r="N68">
        <f>'REGIÃO 02 - HISTÓRICO'!L22</f>
        <v>0</v>
      </c>
      <c r="O68">
        <f>'REGIÃO 02 - HISTÓRICO'!N22</f>
        <v>0</v>
      </c>
      <c r="P68">
        <f>'REGIÃO 02 - HISTÓRICO'!P22</f>
        <v>0</v>
      </c>
      <c r="Q68">
        <f>'REGIÃO 02 - HISTÓRICO'!R22</f>
        <v>0</v>
      </c>
      <c r="R68">
        <f>'REGIÃO 02 - HISTÓRICO'!T22</f>
        <v>0</v>
      </c>
      <c r="S68">
        <f>'REGIÃO 02 - HISTÓRICO'!V22</f>
        <v>0</v>
      </c>
      <c r="T68">
        <f>'REGIÃO 02 - HISTÓRICO'!X22</f>
        <v>0</v>
      </c>
      <c r="U68">
        <f>'REGIÃO 02 - HISTÓRICO'!Z22</f>
        <v>0</v>
      </c>
      <c r="V68">
        <f>'REGIÃO 02 - HISTÓRICO'!AB22</f>
        <v>0</v>
      </c>
      <c r="W68">
        <f>'REGIÃO 02 - HISTÓRICO'!AD22</f>
        <v>0</v>
      </c>
      <c r="X68">
        <f>'REGIÃO 02 - HISTÓRICO'!AF22</f>
        <v>0</v>
      </c>
      <c r="AF68" s="91" t="str">
        <f t="shared" ref="AF68:AF99" si="18">$B68</f>
        <v>R02</v>
      </c>
      <c r="AG68" t="str">
        <f t="shared" ref="AG68:AG99" si="19">$C68&amp;"."&amp;TEXT($D68,"0000")</f>
        <v>014.2025.0103</v>
      </c>
      <c r="AH68">
        <f t="shared" ref="AH68:AH99" si="20">IF(OR($Z$1="*",COUNTIF($B68,$Z$1)=1),$I68,-1)</f>
        <v>408651.04</v>
      </c>
      <c r="AI68">
        <f t="shared" ref="AI68:AI99" si="21">IF($AH68&lt;0,"",$AH68-ROW()/1000000)</f>
        <v>408651.03993199999</v>
      </c>
      <c r="AJ68">
        <f t="shared" ref="AJ68:AJ99" si="22">IFERROR(RANK($AI68,$AI$4:$AI$166),"")</f>
        <v>37</v>
      </c>
    </row>
    <row r="69" spans="2:36" x14ac:dyDescent="0.3">
      <c r="B69" s="91" t="str">
        <f>'REGIÃO 02 - RESUMO'!C23</f>
        <v>R02</v>
      </c>
      <c r="C69" s="91" t="str">
        <f>'REGIÃO 02 - RESUMO'!D23</f>
        <v>014.2025</v>
      </c>
      <c r="D69" s="92">
        <f>'REGIÃO 02 - RESUMO'!E23</f>
        <v>105</v>
      </c>
      <c r="E69" t="str">
        <f>'REGIÃO 02 - RESUMO'!F23</f>
        <v>Março</v>
      </c>
      <c r="F69" s="93">
        <f>'REGIÃO 02 - RESUMO'!H23</f>
        <v>48</v>
      </c>
      <c r="G69" t="str">
        <f>'REGIÃO 02 - RESUMO'!I23</f>
        <v>RODOVIA TO-165 - TRECHO SANTA FÉ DO ARAGUAIA - ENTR. TO-226 - ARAPOEMA</v>
      </c>
      <c r="H69" s="91" t="str">
        <f>'REGIÃO 02 - RESUMO'!J23</f>
        <v>Recomposição mecanizada de aterro / Enrocamento de pedra arrumada / Enrocamento de pedra jogada / Terraplenagem</v>
      </c>
      <c r="I69">
        <f>'REGIÃO 02 - RESUMO'!K23</f>
        <v>76664.820000000007</v>
      </c>
      <c r="J69">
        <f>'REGIÃO 02 - HISTÓRICO'!F23</f>
        <v>76664.820000000007</v>
      </c>
      <c r="K69">
        <f>'REGIÃO 02 - HISTÓRICO'!G23</f>
        <v>0</v>
      </c>
      <c r="L69" t="str">
        <f>IF(OR('REGIÃO 02 - RESUMO'!L23="",'REGIÃO 02 - RESUMO'!L23=0),"",'REGIÃO 02 - RESUMO'!L23)</f>
        <v>Concluída</v>
      </c>
      <c r="M69">
        <f>'REGIÃO 02 - HISTÓRICO'!J23</f>
        <v>0</v>
      </c>
      <c r="N69">
        <f>'REGIÃO 02 - HISTÓRICO'!L23</f>
        <v>0</v>
      </c>
      <c r="O69">
        <f>'REGIÃO 02 - HISTÓRICO'!N23</f>
        <v>76664.820000000007</v>
      </c>
      <c r="P69">
        <f>'REGIÃO 02 - HISTÓRICO'!P23</f>
        <v>0</v>
      </c>
      <c r="Q69">
        <f>'REGIÃO 02 - HISTÓRICO'!R23</f>
        <v>0</v>
      </c>
      <c r="R69">
        <f>'REGIÃO 02 - HISTÓRICO'!T23</f>
        <v>0</v>
      </c>
      <c r="S69">
        <f>'REGIÃO 02 - HISTÓRICO'!V23</f>
        <v>0</v>
      </c>
      <c r="T69">
        <f>'REGIÃO 02 - HISTÓRICO'!X23</f>
        <v>0</v>
      </c>
      <c r="U69">
        <f>'REGIÃO 02 - HISTÓRICO'!Z23</f>
        <v>0</v>
      </c>
      <c r="V69">
        <f>'REGIÃO 02 - HISTÓRICO'!AB23</f>
        <v>0</v>
      </c>
      <c r="W69">
        <f>'REGIÃO 02 - HISTÓRICO'!AD23</f>
        <v>0</v>
      </c>
      <c r="X69">
        <f>'REGIÃO 02 - HISTÓRICO'!AF23</f>
        <v>0</v>
      </c>
      <c r="AF69" s="91" t="str">
        <f t="shared" si="18"/>
        <v>R02</v>
      </c>
      <c r="AG69" t="str">
        <f t="shared" si="19"/>
        <v>014.2025.0105</v>
      </c>
      <c r="AH69">
        <f t="shared" si="20"/>
        <v>76664.820000000007</v>
      </c>
      <c r="AI69">
        <f t="shared" si="21"/>
        <v>76664.819931000005</v>
      </c>
      <c r="AJ69">
        <f t="shared" si="22"/>
        <v>76</v>
      </c>
    </row>
    <row r="70" spans="2:36" x14ac:dyDescent="0.3">
      <c r="B70" s="91" t="str">
        <f>'REGIÃO 02 - RESUMO'!C24</f>
        <v>R02</v>
      </c>
      <c r="C70" s="91" t="str">
        <f>'REGIÃO 02 - RESUMO'!D24</f>
        <v>014.2025</v>
      </c>
      <c r="D70" s="92">
        <f>'REGIÃO 02 - RESUMO'!E24</f>
        <v>106</v>
      </c>
      <c r="E70" t="str">
        <f>'REGIÃO 02 - RESUMO'!F24</f>
        <v>Abril</v>
      </c>
      <c r="F70" s="93">
        <f>'REGIÃO 02 - RESUMO'!H24</f>
        <v>60</v>
      </c>
      <c r="G70" t="str">
        <f>'REGIÃO 02 - RESUMO'!I24</f>
        <v>RODOVIA TO-419 - TRECHO POVOADO BARRA DA GROTA - ENTR. TO-222</v>
      </c>
      <c r="H70" s="91" t="str">
        <f>'REGIÃO 02 - RESUMO'!J24</f>
        <v>Terraplenagem / Reconformação da plataforma / Recomposição do revestimento primário</v>
      </c>
      <c r="I70">
        <f>'REGIÃO 02 - RESUMO'!K24</f>
        <v>147197.98000000001</v>
      </c>
      <c r="J70">
        <f>'REGIÃO 02 - HISTÓRICO'!F24</f>
        <v>147197.98000000001</v>
      </c>
      <c r="K70">
        <f>'REGIÃO 02 - HISTÓRICO'!G24</f>
        <v>0</v>
      </c>
      <c r="L70" t="str">
        <f>IF(OR('REGIÃO 02 - RESUMO'!L24="",'REGIÃO 02 - RESUMO'!L24=0),"",'REGIÃO 02 - RESUMO'!L24)</f>
        <v>Concluída</v>
      </c>
      <c r="M70">
        <f>'REGIÃO 02 - HISTÓRICO'!J24</f>
        <v>0</v>
      </c>
      <c r="N70">
        <f>'REGIÃO 02 - HISTÓRICO'!L24</f>
        <v>147197.98000000001</v>
      </c>
      <c r="O70">
        <f>'REGIÃO 02 - HISTÓRICO'!N24</f>
        <v>0</v>
      </c>
      <c r="P70">
        <f>'REGIÃO 02 - HISTÓRICO'!P24</f>
        <v>0</v>
      </c>
      <c r="Q70">
        <f>'REGIÃO 02 - HISTÓRICO'!R24</f>
        <v>0</v>
      </c>
      <c r="R70">
        <f>'REGIÃO 02 - HISTÓRICO'!T24</f>
        <v>0</v>
      </c>
      <c r="S70">
        <f>'REGIÃO 02 - HISTÓRICO'!V24</f>
        <v>0</v>
      </c>
      <c r="T70">
        <f>'REGIÃO 02 - HISTÓRICO'!X24</f>
        <v>0</v>
      </c>
      <c r="U70">
        <f>'REGIÃO 02 - HISTÓRICO'!Z24</f>
        <v>0</v>
      </c>
      <c r="V70">
        <f>'REGIÃO 02 - HISTÓRICO'!AB24</f>
        <v>0</v>
      </c>
      <c r="W70">
        <f>'REGIÃO 02 - HISTÓRICO'!AD24</f>
        <v>0</v>
      </c>
      <c r="X70">
        <f>'REGIÃO 02 - HISTÓRICO'!AF24</f>
        <v>0</v>
      </c>
      <c r="AF70" s="91" t="str">
        <f t="shared" si="18"/>
        <v>R02</v>
      </c>
      <c r="AG70" t="str">
        <f t="shared" si="19"/>
        <v>014.2025.0106</v>
      </c>
      <c r="AH70">
        <f t="shared" si="20"/>
        <v>147197.98000000001</v>
      </c>
      <c r="AI70">
        <f t="shared" si="21"/>
        <v>147197.97993</v>
      </c>
      <c r="AJ70">
        <f t="shared" si="22"/>
        <v>60</v>
      </c>
    </row>
    <row r="71" spans="2:36" x14ac:dyDescent="0.3">
      <c r="B71" s="91" t="str">
        <f>'REGIÃO 02 - RESUMO'!C25</f>
        <v>R02</v>
      </c>
      <c r="C71" s="91" t="str">
        <f>'REGIÃO 02 - RESUMO'!D25</f>
        <v>014.2025</v>
      </c>
      <c r="D71" s="92">
        <f>'REGIÃO 02 - RESUMO'!E25</f>
        <v>107</v>
      </c>
      <c r="E71" t="str">
        <f>'REGIÃO 02 - RESUMO'!F25</f>
        <v>Abril</v>
      </c>
      <c r="F71" s="93">
        <f>'REGIÃO 02 - RESUMO'!H25</f>
        <v>62</v>
      </c>
      <c r="G71" t="str">
        <f>'REGIÃO 02 - RESUMO'!I25</f>
        <v>RODOVIA TO-421 - TRECHO ARAGUAÍNA - POVOADO GROTÃO</v>
      </c>
      <c r="H71" s="91" t="str">
        <f>'REGIÃO 02 - RESUMO'!J25</f>
        <v>Roçada / Tapa-Buraco CAE / Remendo Profundo / Reconformação da plataforma</v>
      </c>
      <c r="I71">
        <f>'REGIÃO 02 - RESUMO'!K25</f>
        <v>68219.39</v>
      </c>
      <c r="J71">
        <f>'REGIÃO 02 - HISTÓRICO'!F25</f>
        <v>55663.69</v>
      </c>
      <c r="K71">
        <f>'REGIÃO 02 - HISTÓRICO'!G25</f>
        <v>12555.699999999997</v>
      </c>
      <c r="L71" t="str">
        <f>IF(OR('REGIÃO 02 - RESUMO'!L25="",'REGIÃO 02 - RESUMO'!L25=0),"",'REGIÃO 02 - RESUMO'!L25)</f>
        <v>Concluída</v>
      </c>
      <c r="M71">
        <f>'REGIÃO 02 - HISTÓRICO'!J25</f>
        <v>0</v>
      </c>
      <c r="N71">
        <f>'REGIÃO 02 - HISTÓRICO'!L25</f>
        <v>0</v>
      </c>
      <c r="O71">
        <f>'REGIÃO 02 - HISTÓRICO'!N25</f>
        <v>0</v>
      </c>
      <c r="P71">
        <f>'REGIÃO 02 - HISTÓRICO'!P25</f>
        <v>55663.69</v>
      </c>
      <c r="Q71">
        <f>'REGIÃO 02 - HISTÓRICO'!R25</f>
        <v>0</v>
      </c>
      <c r="R71">
        <f>'REGIÃO 02 - HISTÓRICO'!T25</f>
        <v>0</v>
      </c>
      <c r="S71">
        <f>'REGIÃO 02 - HISTÓRICO'!V25</f>
        <v>0</v>
      </c>
      <c r="T71">
        <f>'REGIÃO 02 - HISTÓRICO'!X25</f>
        <v>0</v>
      </c>
      <c r="U71">
        <f>'REGIÃO 02 - HISTÓRICO'!Z25</f>
        <v>0</v>
      </c>
      <c r="V71">
        <f>'REGIÃO 02 - HISTÓRICO'!AB25</f>
        <v>0</v>
      </c>
      <c r="W71">
        <f>'REGIÃO 02 - HISTÓRICO'!AD25</f>
        <v>0</v>
      </c>
      <c r="X71">
        <f>'REGIÃO 02 - HISTÓRICO'!AF25</f>
        <v>0</v>
      </c>
      <c r="AF71" s="91" t="str">
        <f t="shared" si="18"/>
        <v>R02</v>
      </c>
      <c r="AG71" t="str">
        <f t="shared" si="19"/>
        <v>014.2025.0107</v>
      </c>
      <c r="AH71">
        <f t="shared" si="20"/>
        <v>68219.39</v>
      </c>
      <c r="AI71">
        <f t="shared" si="21"/>
        <v>68219.389928999997</v>
      </c>
      <c r="AJ71">
        <f t="shared" si="22"/>
        <v>83</v>
      </c>
    </row>
    <row r="72" spans="2:36" x14ac:dyDescent="0.3">
      <c r="B72" s="91" t="str">
        <f>'REGIÃO 02 - RESUMO'!C26</f>
        <v>R02</v>
      </c>
      <c r="C72" s="91" t="str">
        <f>'REGIÃO 02 - RESUMO'!D26</f>
        <v>014.2025</v>
      </c>
      <c r="D72" s="92">
        <f>'REGIÃO 02 - RESUMO'!E26</f>
        <v>108</v>
      </c>
      <c r="E72" t="str">
        <f>'REGIÃO 02 - RESUMO'!F26</f>
        <v>Abril</v>
      </c>
      <c r="F72" s="93">
        <f>'REGIÃO 02 - RESUMO'!H26</f>
        <v>41</v>
      </c>
      <c r="G72" t="str">
        <f>'REGIÃO 02 - RESUMO'!I26</f>
        <v>RODOVIA TO-164 - TRECHO ENTR. BR-153 (XAMBIOÁ) - ARAGUANÃ</v>
      </c>
      <c r="H72" s="91" t="str">
        <f>'REGIÃO 02 - RESUMO'!J26</f>
        <v>Roçada</v>
      </c>
      <c r="I72">
        <f>'REGIÃO 02 - RESUMO'!K26</f>
        <v>9304.33</v>
      </c>
      <c r="J72">
        <f>'REGIÃO 02 - HISTÓRICO'!F26</f>
        <v>9304.33</v>
      </c>
      <c r="K72">
        <f>'REGIÃO 02 - HISTÓRICO'!G26</f>
        <v>0</v>
      </c>
      <c r="L72" t="str">
        <f>IF(OR('REGIÃO 02 - RESUMO'!L26="",'REGIÃO 02 - RESUMO'!L26=0),"",'REGIÃO 02 - RESUMO'!L26)</f>
        <v>Concluída</v>
      </c>
      <c r="M72">
        <f>'REGIÃO 02 - HISTÓRICO'!J26</f>
        <v>0</v>
      </c>
      <c r="N72">
        <f>'REGIÃO 02 - HISTÓRICO'!L26</f>
        <v>0</v>
      </c>
      <c r="O72">
        <f>'REGIÃO 02 - HISTÓRICO'!N26</f>
        <v>0</v>
      </c>
      <c r="P72">
        <f>'REGIÃO 02 - HISTÓRICO'!P26</f>
        <v>0</v>
      </c>
      <c r="Q72">
        <f>'REGIÃO 02 - HISTÓRICO'!R26</f>
        <v>0</v>
      </c>
      <c r="R72">
        <f>'REGIÃO 02 - HISTÓRICO'!T26</f>
        <v>9304.33</v>
      </c>
      <c r="S72">
        <f>'REGIÃO 02 - HISTÓRICO'!V26</f>
        <v>0</v>
      </c>
      <c r="T72">
        <f>'REGIÃO 02 - HISTÓRICO'!X26</f>
        <v>0</v>
      </c>
      <c r="U72">
        <f>'REGIÃO 02 - HISTÓRICO'!Z26</f>
        <v>0</v>
      </c>
      <c r="V72">
        <f>'REGIÃO 02 - HISTÓRICO'!AB26</f>
        <v>0</v>
      </c>
      <c r="W72">
        <f>'REGIÃO 02 - HISTÓRICO'!AD26</f>
        <v>0</v>
      </c>
      <c r="X72">
        <f>'REGIÃO 02 - HISTÓRICO'!AF26</f>
        <v>0</v>
      </c>
      <c r="AF72" s="91" t="str">
        <f t="shared" si="18"/>
        <v>R02</v>
      </c>
      <c r="AG72" t="str">
        <f t="shared" si="19"/>
        <v>014.2025.0108</v>
      </c>
      <c r="AH72">
        <f t="shared" si="20"/>
        <v>9304.33</v>
      </c>
      <c r="AI72">
        <f t="shared" si="21"/>
        <v>9304.3299279999992</v>
      </c>
      <c r="AJ72">
        <f t="shared" si="22"/>
        <v>134</v>
      </c>
    </row>
    <row r="73" spans="2:36" x14ac:dyDescent="0.3">
      <c r="B73" s="91" t="str">
        <f>'REGIÃO 02 - RESUMO'!C27</f>
        <v>R02</v>
      </c>
      <c r="C73" s="91" t="str">
        <f>'REGIÃO 02 - RESUMO'!D27</f>
        <v>014.2025</v>
      </c>
      <c r="D73" s="92">
        <f>'REGIÃO 02 - RESUMO'!E27</f>
        <v>109</v>
      </c>
      <c r="E73" t="str">
        <f>'REGIÃO 02 - RESUMO'!F27</f>
        <v>Abril</v>
      </c>
      <c r="F73" s="93">
        <f>'REGIÃO 02 - RESUMO'!H27</f>
        <v>42</v>
      </c>
      <c r="G73" t="str">
        <f>'REGIÃO 02 - RESUMO'!I27</f>
        <v>RODOVIA TO-164 - TRECHO FÁBRICA DE CIMENTO - XAMBIOÁ - ENTR. BR-153</v>
      </c>
      <c r="H73" s="91" t="str">
        <f>'REGIÃO 02 - RESUMO'!J27</f>
        <v>Roçada</v>
      </c>
      <c r="I73">
        <f>'REGIÃO 02 - RESUMO'!K27</f>
        <v>5280.85</v>
      </c>
      <c r="J73">
        <f>'REGIÃO 02 - HISTÓRICO'!F27</f>
        <v>5254.28</v>
      </c>
      <c r="K73">
        <f>'REGIÃO 02 - HISTÓRICO'!G27</f>
        <v>26.570000000000618</v>
      </c>
      <c r="L73" t="str">
        <f>IF(OR('REGIÃO 02 - RESUMO'!L27="",'REGIÃO 02 - RESUMO'!L27=0),"",'REGIÃO 02 - RESUMO'!L27)</f>
        <v>Concluída</v>
      </c>
      <c r="M73">
        <f>'REGIÃO 02 - HISTÓRICO'!J27</f>
        <v>0</v>
      </c>
      <c r="N73">
        <f>'REGIÃO 02 - HISTÓRICO'!L27</f>
        <v>0</v>
      </c>
      <c r="O73">
        <f>'REGIÃO 02 - HISTÓRICO'!N27</f>
        <v>0</v>
      </c>
      <c r="P73">
        <f>'REGIÃO 02 - HISTÓRICO'!P27</f>
        <v>0</v>
      </c>
      <c r="Q73">
        <f>'REGIÃO 02 - HISTÓRICO'!R27</f>
        <v>0</v>
      </c>
      <c r="R73">
        <f>'REGIÃO 02 - HISTÓRICO'!T27</f>
        <v>5254.28</v>
      </c>
      <c r="S73">
        <f>'REGIÃO 02 - HISTÓRICO'!V27</f>
        <v>0</v>
      </c>
      <c r="T73">
        <f>'REGIÃO 02 - HISTÓRICO'!X27</f>
        <v>0</v>
      </c>
      <c r="U73">
        <f>'REGIÃO 02 - HISTÓRICO'!Z27</f>
        <v>0</v>
      </c>
      <c r="V73">
        <f>'REGIÃO 02 - HISTÓRICO'!AB27</f>
        <v>0</v>
      </c>
      <c r="W73">
        <f>'REGIÃO 02 - HISTÓRICO'!AD27</f>
        <v>0</v>
      </c>
      <c r="X73">
        <f>'REGIÃO 02 - HISTÓRICO'!AF27</f>
        <v>0</v>
      </c>
      <c r="AF73" s="91" t="str">
        <f t="shared" si="18"/>
        <v>R02</v>
      </c>
      <c r="AG73" t="str">
        <f t="shared" si="19"/>
        <v>014.2025.0109</v>
      </c>
      <c r="AH73">
        <f t="shared" si="20"/>
        <v>5280.85</v>
      </c>
      <c r="AI73">
        <f t="shared" si="21"/>
        <v>5280.8499270000002</v>
      </c>
      <c r="AJ73">
        <f t="shared" si="22"/>
        <v>144</v>
      </c>
    </row>
    <row r="74" spans="2:36" x14ac:dyDescent="0.3">
      <c r="B74" s="91" t="str">
        <f>'REGIÃO 02 - RESUMO'!C28</f>
        <v>R02</v>
      </c>
      <c r="C74" t="str">
        <f>'REGIÃO 02 - RESUMO'!D28</f>
        <v>014.2025</v>
      </c>
      <c r="D74" s="92">
        <f>'REGIÃO 02 - RESUMO'!E28</f>
        <v>110</v>
      </c>
      <c r="E74" t="str">
        <f>'REGIÃO 02 - RESUMO'!F28</f>
        <v>Abril</v>
      </c>
      <c r="F74" s="93">
        <f>'REGIÃO 02 - RESUMO'!H28</f>
        <v>45</v>
      </c>
      <c r="G74" t="str">
        <f>'REGIÃO 02 - RESUMO'!I28</f>
        <v>RODOVIA TO-164 - TRECHO CARMOLÂNDIA - ENTR. TO-222 - ARAGOMINAS</v>
      </c>
      <c r="H74" s="91" t="str">
        <f>'REGIÃO 02 - RESUMO'!J28</f>
        <v>Roçada / Tapa-Buraco CAE / Remendo Profundo</v>
      </c>
      <c r="I74">
        <f>'REGIÃO 02 - RESUMO'!K28</f>
        <v>352883.52</v>
      </c>
      <c r="J74">
        <f>'REGIÃO 02 - HISTÓRICO'!F28</f>
        <v>331596.27</v>
      </c>
      <c r="K74">
        <f>'REGIÃO 02 - HISTÓRICO'!G28</f>
        <v>21287.25</v>
      </c>
      <c r="L74" t="str">
        <f>IF(OR('REGIÃO 02 - RESUMO'!L28="",'REGIÃO 02 - RESUMO'!L28=0),"",'REGIÃO 02 - RESUMO'!L28)</f>
        <v>Concluída</v>
      </c>
      <c r="M74">
        <f>'REGIÃO 02 - HISTÓRICO'!J28</f>
        <v>0</v>
      </c>
      <c r="N74">
        <f>'REGIÃO 02 - HISTÓRICO'!L28</f>
        <v>0</v>
      </c>
      <c r="O74">
        <f>'REGIÃO 02 - HISTÓRICO'!N28</f>
        <v>0</v>
      </c>
      <c r="P74">
        <f>'REGIÃO 02 - HISTÓRICO'!P28</f>
        <v>4926.37</v>
      </c>
      <c r="Q74">
        <f>'REGIÃO 02 - HISTÓRICO'!R28</f>
        <v>187693.39</v>
      </c>
      <c r="R74">
        <f>'REGIÃO 02 - HISTÓRICO'!T28</f>
        <v>138976.51</v>
      </c>
      <c r="S74">
        <f>'REGIÃO 02 - HISTÓRICO'!V28</f>
        <v>0</v>
      </c>
      <c r="T74">
        <f>'REGIÃO 02 - HISTÓRICO'!X28</f>
        <v>0</v>
      </c>
      <c r="U74">
        <f>'REGIÃO 02 - HISTÓRICO'!Z28</f>
        <v>0</v>
      </c>
      <c r="V74">
        <f>'REGIÃO 02 - HISTÓRICO'!AB28</f>
        <v>0</v>
      </c>
      <c r="W74">
        <f>'REGIÃO 02 - HISTÓRICO'!AD28</f>
        <v>0</v>
      </c>
      <c r="X74">
        <f>'REGIÃO 02 - HISTÓRICO'!AF28</f>
        <v>0</v>
      </c>
      <c r="AF74" s="91" t="str">
        <f t="shared" si="18"/>
        <v>R02</v>
      </c>
      <c r="AG74" t="str">
        <f t="shared" si="19"/>
        <v>014.2025.0110</v>
      </c>
      <c r="AH74">
        <f t="shared" si="20"/>
        <v>352883.52</v>
      </c>
      <c r="AI74">
        <f t="shared" si="21"/>
        <v>352883.51992600004</v>
      </c>
      <c r="AJ74">
        <f t="shared" si="22"/>
        <v>42</v>
      </c>
    </row>
    <row r="75" spans="2:36" x14ac:dyDescent="0.3">
      <c r="B75" s="91" t="str">
        <f>'REGIÃO 02 - RESUMO'!C29</f>
        <v>R02</v>
      </c>
      <c r="C75" t="str">
        <f>'REGIÃO 02 - RESUMO'!D29</f>
        <v>014.2025</v>
      </c>
      <c r="D75" s="92">
        <f>'REGIÃO 02 - RESUMO'!E29</f>
        <v>111</v>
      </c>
      <c r="E75" t="str">
        <f>'REGIÃO 02 - RESUMO'!F29</f>
        <v>Abril</v>
      </c>
      <c r="F75" s="93">
        <f>'REGIÃO 02 - RESUMO'!H29</f>
        <v>51</v>
      </c>
      <c r="G75" t="str">
        <f>'REGIÃO 02 - RESUMO'!I29</f>
        <v>RODOVIA TO-222 - TRECHO MURICILÂNDIA - SANTA FÉ DO ARAGUAIA</v>
      </c>
      <c r="H75" s="91" t="str">
        <f>'REGIÃO 02 - RESUMO'!J29</f>
        <v>Roçada / Tapa-Buraco CAE / Remendo Profundo</v>
      </c>
      <c r="I75">
        <f>'REGIÃO 02 - RESUMO'!K29</f>
        <v>153906.54</v>
      </c>
      <c r="J75">
        <f>'REGIÃO 02 - HISTÓRICO'!F29</f>
        <v>153354.66</v>
      </c>
      <c r="K75">
        <f>'REGIÃO 02 - HISTÓRICO'!G29</f>
        <v>551.88000000000466</v>
      </c>
      <c r="L75" t="str">
        <f>IF(OR('REGIÃO 02 - RESUMO'!L29="",'REGIÃO 02 - RESUMO'!L29=0),"",'REGIÃO 02 - RESUMO'!L29)</f>
        <v>Concluída</v>
      </c>
      <c r="M75">
        <f>'REGIÃO 02 - HISTÓRICO'!J29</f>
        <v>0</v>
      </c>
      <c r="N75">
        <f>'REGIÃO 02 - HISTÓRICO'!L29</f>
        <v>0</v>
      </c>
      <c r="O75">
        <f>'REGIÃO 02 - HISTÓRICO'!N29</f>
        <v>0</v>
      </c>
      <c r="P75">
        <f>'REGIÃO 02 - HISTÓRICO'!P29</f>
        <v>3792.53</v>
      </c>
      <c r="Q75">
        <f>'REGIÃO 02 - HISTÓRICO'!R29</f>
        <v>149562.13</v>
      </c>
      <c r="R75">
        <f>'REGIÃO 02 - HISTÓRICO'!T29</f>
        <v>0</v>
      </c>
      <c r="S75">
        <f>'REGIÃO 02 - HISTÓRICO'!V29</f>
        <v>0</v>
      </c>
      <c r="T75">
        <f>'REGIÃO 02 - HISTÓRICO'!X29</f>
        <v>0</v>
      </c>
      <c r="U75">
        <f>'REGIÃO 02 - HISTÓRICO'!Z29</f>
        <v>0</v>
      </c>
      <c r="V75">
        <f>'REGIÃO 02 - HISTÓRICO'!AB29</f>
        <v>0</v>
      </c>
      <c r="W75">
        <f>'REGIÃO 02 - HISTÓRICO'!AD29</f>
        <v>0</v>
      </c>
      <c r="X75">
        <f>'REGIÃO 02 - HISTÓRICO'!AF29</f>
        <v>0</v>
      </c>
      <c r="AF75" s="91" t="str">
        <f t="shared" si="18"/>
        <v>R02</v>
      </c>
      <c r="AG75" t="str">
        <f t="shared" si="19"/>
        <v>014.2025.0111</v>
      </c>
      <c r="AH75">
        <f t="shared" si="20"/>
        <v>153906.54</v>
      </c>
      <c r="AI75">
        <f t="shared" si="21"/>
        <v>153906.53992500002</v>
      </c>
      <c r="AJ75">
        <f t="shared" si="22"/>
        <v>59</v>
      </c>
    </row>
    <row r="76" spans="2:36" x14ac:dyDescent="0.3">
      <c r="B76" s="91" t="str">
        <f>'REGIÃO 02 - RESUMO'!C30</f>
        <v>R02</v>
      </c>
      <c r="C76" t="str">
        <f>'REGIÃO 02 - RESUMO'!D30</f>
        <v>014.2025</v>
      </c>
      <c r="D76" s="92">
        <f>'REGIÃO 02 - RESUMO'!E30</f>
        <v>112</v>
      </c>
      <c r="E76" t="str">
        <f>'REGIÃO 02 - RESUMO'!F30</f>
        <v>Abril</v>
      </c>
      <c r="F76" s="93">
        <f>'REGIÃO 02 - RESUMO'!H30</f>
        <v>44</v>
      </c>
      <c r="G76" t="str">
        <f>'REGIÃO 02 - RESUMO'!I30</f>
        <v>RODOVIA TO-164 - TRECHO ARAGUANÃ - CARMOLÂNDIA</v>
      </c>
      <c r="H76" s="91" t="str">
        <f>'REGIÃO 02 - RESUMO'!J30</f>
        <v>Roçada</v>
      </c>
      <c r="I76">
        <f>'REGIÃO 02 - RESUMO'!K30</f>
        <v>24289.39</v>
      </c>
      <c r="J76">
        <f>'REGIÃO 02 - HISTÓRICO'!F30</f>
        <v>24289.39</v>
      </c>
      <c r="K76">
        <f>'REGIÃO 02 - HISTÓRICO'!G30</f>
        <v>0</v>
      </c>
      <c r="L76" t="str">
        <f>IF(OR('REGIÃO 02 - RESUMO'!L30="",'REGIÃO 02 - RESUMO'!L30=0),"",'REGIÃO 02 - RESUMO'!L30)</f>
        <v>Concluída</v>
      </c>
      <c r="M76">
        <f>'REGIÃO 02 - HISTÓRICO'!J30</f>
        <v>0</v>
      </c>
      <c r="N76">
        <f>'REGIÃO 02 - HISTÓRICO'!L30</f>
        <v>0</v>
      </c>
      <c r="O76">
        <f>'REGIÃO 02 - HISTÓRICO'!N30</f>
        <v>0</v>
      </c>
      <c r="P76">
        <f>'REGIÃO 02 - HISTÓRICO'!P30</f>
        <v>0</v>
      </c>
      <c r="Q76">
        <f>'REGIÃO 02 - HISTÓRICO'!R30</f>
        <v>24289.39</v>
      </c>
      <c r="R76">
        <f>'REGIÃO 02 - HISTÓRICO'!T30</f>
        <v>0</v>
      </c>
      <c r="S76">
        <f>'REGIÃO 02 - HISTÓRICO'!V30</f>
        <v>0</v>
      </c>
      <c r="T76">
        <f>'REGIÃO 02 - HISTÓRICO'!X30</f>
        <v>0</v>
      </c>
      <c r="U76">
        <f>'REGIÃO 02 - HISTÓRICO'!Z30</f>
        <v>0</v>
      </c>
      <c r="V76">
        <f>'REGIÃO 02 - HISTÓRICO'!AB30</f>
        <v>0</v>
      </c>
      <c r="W76">
        <f>'REGIÃO 02 - HISTÓRICO'!AD30</f>
        <v>0</v>
      </c>
      <c r="X76">
        <f>'REGIÃO 02 - HISTÓRICO'!AF30</f>
        <v>0</v>
      </c>
      <c r="AF76" s="91" t="str">
        <f t="shared" si="18"/>
        <v>R02</v>
      </c>
      <c r="AG76" t="str">
        <f t="shared" si="19"/>
        <v>014.2025.0112</v>
      </c>
      <c r="AH76">
        <f t="shared" si="20"/>
        <v>24289.39</v>
      </c>
      <c r="AI76">
        <f t="shared" si="21"/>
        <v>24289.389923999999</v>
      </c>
      <c r="AJ76">
        <f t="shared" si="22"/>
        <v>112</v>
      </c>
    </row>
    <row r="77" spans="2:36" x14ac:dyDescent="0.3">
      <c r="B77" s="91" t="str">
        <f>'REGIÃO 02 - RESUMO'!C31</f>
        <v>R02</v>
      </c>
      <c r="C77" t="str">
        <f>'REGIÃO 02 - RESUMO'!D31</f>
        <v>014.2025</v>
      </c>
      <c r="D77" s="92">
        <f>'REGIÃO 02 - RESUMO'!E31</f>
        <v>113</v>
      </c>
      <c r="E77" t="str">
        <f>'REGIÃO 02 - RESUMO'!F31</f>
        <v>Abril</v>
      </c>
      <c r="F77" s="93">
        <f>'REGIÃO 02 - RESUMO'!H31</f>
        <v>52</v>
      </c>
      <c r="G77" t="str">
        <f>'REGIÃO 02 - RESUMO'!I31</f>
        <v>RODOVIA TO-222 - TRECHO SANTA FÉ DO ARAGUAIA - DIVISA TO-PA (POVOADO PORTO LEMOS)</v>
      </c>
      <c r="H77" s="91" t="str">
        <f>'REGIÃO 02 - RESUMO'!J31</f>
        <v>Roçada / Tapa-Buraco CAE / Remendo Profundo</v>
      </c>
      <c r="I77">
        <f>'REGIÃO 02 - RESUMO'!K31</f>
        <v>418611.58</v>
      </c>
      <c r="J77">
        <f>'REGIÃO 02 - HISTÓRICO'!F31</f>
        <v>416255.51</v>
      </c>
      <c r="K77">
        <f>'REGIÃO 02 - HISTÓRICO'!G31</f>
        <v>2356.070000000007</v>
      </c>
      <c r="L77" t="str">
        <f>IF(OR('REGIÃO 02 - RESUMO'!L31="",'REGIÃO 02 - RESUMO'!L31=0),"",'REGIÃO 02 - RESUMO'!L31)</f>
        <v>Concluída</v>
      </c>
      <c r="M77">
        <f>'REGIÃO 02 - HISTÓRICO'!J31</f>
        <v>0</v>
      </c>
      <c r="N77">
        <f>'REGIÃO 02 - HISTÓRICO'!L31</f>
        <v>0</v>
      </c>
      <c r="O77">
        <f>'REGIÃO 02 - HISTÓRICO'!N31</f>
        <v>0</v>
      </c>
      <c r="P77">
        <f>'REGIÃO 02 - HISTÓRICO'!P31</f>
        <v>14427.83</v>
      </c>
      <c r="Q77">
        <f>'REGIÃO 02 - HISTÓRICO'!R31</f>
        <v>401827.68</v>
      </c>
      <c r="R77">
        <f>'REGIÃO 02 - HISTÓRICO'!T31</f>
        <v>0</v>
      </c>
      <c r="S77">
        <f>'REGIÃO 02 - HISTÓRICO'!V31</f>
        <v>0</v>
      </c>
      <c r="T77">
        <f>'REGIÃO 02 - HISTÓRICO'!X31</f>
        <v>0</v>
      </c>
      <c r="U77">
        <f>'REGIÃO 02 - HISTÓRICO'!Z31</f>
        <v>0</v>
      </c>
      <c r="V77">
        <f>'REGIÃO 02 - HISTÓRICO'!AB31</f>
        <v>0</v>
      </c>
      <c r="W77">
        <f>'REGIÃO 02 - HISTÓRICO'!AD31</f>
        <v>0</v>
      </c>
      <c r="X77">
        <f>'REGIÃO 02 - HISTÓRICO'!AF31</f>
        <v>0</v>
      </c>
      <c r="AF77" s="91" t="str">
        <f t="shared" si="18"/>
        <v>R02</v>
      </c>
      <c r="AG77" t="str">
        <f t="shared" si="19"/>
        <v>014.2025.0113</v>
      </c>
      <c r="AH77">
        <f t="shared" si="20"/>
        <v>418611.58</v>
      </c>
      <c r="AI77">
        <f t="shared" si="21"/>
        <v>418611.57992300001</v>
      </c>
      <c r="AJ77">
        <f t="shared" si="22"/>
        <v>33</v>
      </c>
    </row>
    <row r="78" spans="2:36" x14ac:dyDescent="0.3">
      <c r="B78" s="91" t="str">
        <f>'REGIÃO 02 - RESUMO'!C32</f>
        <v>R02</v>
      </c>
      <c r="C78" t="str">
        <f>'REGIÃO 02 - RESUMO'!D32</f>
        <v>014.2025</v>
      </c>
      <c r="D78" s="92">
        <f>'REGIÃO 02 - RESUMO'!E32</f>
        <v>114</v>
      </c>
      <c r="E78" t="str">
        <f>'REGIÃO 02 - RESUMO'!F32</f>
        <v>Abril</v>
      </c>
      <c r="F78" s="93">
        <f>'REGIÃO 02 - RESUMO'!H32</f>
        <v>54</v>
      </c>
      <c r="G78" t="str">
        <f>'REGIÃO 02 - RESUMO'!I32</f>
        <v>RODOVIA TO-230 - TRECHO ARAPOEMA - PAU D'ARCO (DIVISA TO-PA)</v>
      </c>
      <c r="H78" s="91" t="str">
        <f>'REGIÃO 02 - RESUMO'!J32</f>
        <v>Tapa-Buraco CAE / Remendo Profundo</v>
      </c>
      <c r="I78">
        <f>'REGIÃO 02 - RESUMO'!K32</f>
        <v>349919.75</v>
      </c>
      <c r="J78">
        <f>'REGIÃO 02 - HISTÓRICO'!F32</f>
        <v>0</v>
      </c>
      <c r="K78">
        <f>'REGIÃO 02 - HISTÓRICO'!G32</f>
        <v>349919.75</v>
      </c>
      <c r="L78" t="str">
        <f>IF(OR('REGIÃO 02 - RESUMO'!L32="",'REGIÃO 02 - RESUMO'!L32=0),"",'REGIÃO 02 - RESUMO'!L32)</f>
        <v>Cancelada</v>
      </c>
      <c r="M78">
        <f>'REGIÃO 02 - HISTÓRICO'!J32</f>
        <v>0</v>
      </c>
      <c r="N78">
        <f>'REGIÃO 02 - HISTÓRICO'!L32</f>
        <v>0</v>
      </c>
      <c r="O78">
        <f>'REGIÃO 02 - HISTÓRICO'!N32</f>
        <v>0</v>
      </c>
      <c r="P78">
        <f>'REGIÃO 02 - HISTÓRICO'!P32</f>
        <v>0</v>
      </c>
      <c r="Q78">
        <f>'REGIÃO 02 - HISTÓRICO'!R32</f>
        <v>0</v>
      </c>
      <c r="R78">
        <f>'REGIÃO 02 - HISTÓRICO'!T32</f>
        <v>0</v>
      </c>
      <c r="S78">
        <f>'REGIÃO 02 - HISTÓRICO'!V32</f>
        <v>0</v>
      </c>
      <c r="T78">
        <f>'REGIÃO 02 - HISTÓRICO'!X32</f>
        <v>0</v>
      </c>
      <c r="U78">
        <f>'REGIÃO 02 - HISTÓRICO'!Z32</f>
        <v>0</v>
      </c>
      <c r="V78">
        <f>'REGIÃO 02 - HISTÓRICO'!AB32</f>
        <v>0</v>
      </c>
      <c r="W78">
        <f>'REGIÃO 02 - HISTÓRICO'!AD32</f>
        <v>0</v>
      </c>
      <c r="X78">
        <f>'REGIÃO 02 - HISTÓRICO'!AF32</f>
        <v>0</v>
      </c>
      <c r="AF78" s="91" t="str">
        <f t="shared" si="18"/>
        <v>R02</v>
      </c>
      <c r="AG78" t="str">
        <f t="shared" si="19"/>
        <v>014.2025.0114</v>
      </c>
      <c r="AH78">
        <f t="shared" si="20"/>
        <v>349919.75</v>
      </c>
      <c r="AI78">
        <f t="shared" si="21"/>
        <v>349919.74992199999</v>
      </c>
      <c r="AJ78">
        <f t="shared" si="22"/>
        <v>43</v>
      </c>
    </row>
    <row r="79" spans="2:36" x14ac:dyDescent="0.3">
      <c r="B79" s="91" t="str">
        <f>'REGIÃO 02 - RESUMO'!C33</f>
        <v>R02</v>
      </c>
      <c r="C79" t="str">
        <f>'REGIÃO 02 - RESUMO'!D33</f>
        <v>014.2025</v>
      </c>
      <c r="D79" s="92">
        <f>'REGIÃO 02 - RESUMO'!E33</f>
        <v>115</v>
      </c>
      <c r="E79" t="str">
        <f>'REGIÃO 02 - RESUMO'!F33</f>
        <v>Abril</v>
      </c>
      <c r="F79" s="93">
        <f>'REGIÃO 02 - RESUMO'!H33</f>
        <v>50</v>
      </c>
      <c r="G79" t="str">
        <f>'REGIÃO 02 - RESUMO'!I33</f>
        <v>RODOVIA TO-222 - TRECHO ARAGUAÍNA - ENTR. TO-164 (NOVO HORIZONTE)</v>
      </c>
      <c r="H79" s="91" t="str">
        <f>'REGIÃO 02 - RESUMO'!J33</f>
        <v>Roçada / Tapa-Buraco CAE / Remendo Profundo</v>
      </c>
      <c r="I79">
        <f>'REGIÃO 02 - RESUMO'!K33</f>
        <v>200915.75</v>
      </c>
      <c r="J79">
        <f>'REGIÃO 02 - HISTÓRICO'!F33</f>
        <v>200530.47</v>
      </c>
      <c r="K79">
        <f>'REGIÃO 02 - HISTÓRICO'!G33</f>
        <v>385.27999999999884</v>
      </c>
      <c r="L79" t="str">
        <f>IF(OR('REGIÃO 02 - RESUMO'!L33="",'REGIÃO 02 - RESUMO'!L33=0),"",'REGIÃO 02 - RESUMO'!L33)</f>
        <v>Concluída</v>
      </c>
      <c r="M79">
        <f>'REGIÃO 02 - HISTÓRICO'!J33</f>
        <v>0</v>
      </c>
      <c r="N79">
        <f>'REGIÃO 02 - HISTÓRICO'!L33</f>
        <v>0</v>
      </c>
      <c r="O79">
        <f>'REGIÃO 02 - HISTÓRICO'!N33</f>
        <v>0</v>
      </c>
      <c r="P79">
        <f>'REGIÃO 02 - HISTÓRICO'!P33</f>
        <v>5220.22</v>
      </c>
      <c r="Q79">
        <f>'REGIÃO 02 - HISTÓRICO'!R33</f>
        <v>195310.25</v>
      </c>
      <c r="R79">
        <f>'REGIÃO 02 - HISTÓRICO'!T33</f>
        <v>0</v>
      </c>
      <c r="S79">
        <f>'REGIÃO 02 - HISTÓRICO'!V33</f>
        <v>0</v>
      </c>
      <c r="T79">
        <f>'REGIÃO 02 - HISTÓRICO'!X33</f>
        <v>0</v>
      </c>
      <c r="U79">
        <f>'REGIÃO 02 - HISTÓRICO'!Z33</f>
        <v>0</v>
      </c>
      <c r="V79">
        <f>'REGIÃO 02 - HISTÓRICO'!AB33</f>
        <v>0</v>
      </c>
      <c r="W79">
        <f>'REGIÃO 02 - HISTÓRICO'!AD33</f>
        <v>0</v>
      </c>
      <c r="X79">
        <f>'REGIÃO 02 - HISTÓRICO'!AF33</f>
        <v>0</v>
      </c>
      <c r="AF79" s="91" t="str">
        <f t="shared" si="18"/>
        <v>R02</v>
      </c>
      <c r="AG79" t="str">
        <f t="shared" si="19"/>
        <v>014.2025.0115</v>
      </c>
      <c r="AH79">
        <f t="shared" si="20"/>
        <v>200915.75</v>
      </c>
      <c r="AI79">
        <f t="shared" si="21"/>
        <v>200915.74992100001</v>
      </c>
      <c r="AJ79">
        <f t="shared" si="22"/>
        <v>53</v>
      </c>
    </row>
    <row r="80" spans="2:36" x14ac:dyDescent="0.3">
      <c r="B80" s="91" t="str">
        <f>'REGIÃO 02 - RESUMO'!C34</f>
        <v>R02</v>
      </c>
      <c r="C80" t="str">
        <f>'REGIÃO 02 - RESUMO'!D34</f>
        <v>014.2025</v>
      </c>
      <c r="D80" s="92">
        <f>'REGIÃO 02 - RESUMO'!E34</f>
        <v>116</v>
      </c>
      <c r="E80" t="str">
        <f>'REGIÃO 02 - RESUMO'!F34</f>
        <v>Abril</v>
      </c>
      <c r="F80" s="93">
        <f>'REGIÃO 02 - RESUMO'!H34</f>
        <v>57</v>
      </c>
      <c r="G80" t="str">
        <f>'REGIÃO 02 - RESUMO'!I34</f>
        <v>RODOVIA TO-416 - TRECHO ENTR. BR-153 - RIACHINHO</v>
      </c>
      <c r="H80" s="91" t="str">
        <f>'REGIÃO 02 - RESUMO'!J34</f>
        <v>Tapa-Buraco CAE</v>
      </c>
      <c r="I80">
        <f>'REGIÃO 02 - RESUMO'!K34</f>
        <v>216295.34</v>
      </c>
      <c r="J80">
        <f>'REGIÃO 02 - HISTÓRICO'!F34</f>
        <v>21437.360000000001</v>
      </c>
      <c r="K80">
        <f>'REGIÃO 02 - HISTÓRICO'!G34</f>
        <v>194857.97999999998</v>
      </c>
      <c r="L80" t="str">
        <f>IF(OR('REGIÃO 02 - RESUMO'!L34="",'REGIÃO 02 - RESUMO'!L34=0),"",'REGIÃO 02 - RESUMO'!L34)</f>
        <v>Concluída</v>
      </c>
      <c r="M80">
        <f>'REGIÃO 02 - HISTÓRICO'!J34</f>
        <v>0</v>
      </c>
      <c r="N80">
        <f>'REGIÃO 02 - HISTÓRICO'!L34</f>
        <v>0</v>
      </c>
      <c r="O80">
        <f>'REGIÃO 02 - HISTÓRICO'!N34</f>
        <v>0</v>
      </c>
      <c r="P80">
        <f>'REGIÃO 02 - HISTÓRICO'!P34</f>
        <v>0</v>
      </c>
      <c r="Q80">
        <f>'REGIÃO 02 - HISTÓRICO'!R34</f>
        <v>0</v>
      </c>
      <c r="R80">
        <f>'REGIÃO 02 - HISTÓRICO'!T34</f>
        <v>21437.360000000001</v>
      </c>
      <c r="S80">
        <f>'REGIÃO 02 - HISTÓRICO'!V34</f>
        <v>0</v>
      </c>
      <c r="T80">
        <f>'REGIÃO 02 - HISTÓRICO'!X34</f>
        <v>0</v>
      </c>
      <c r="U80">
        <f>'REGIÃO 02 - HISTÓRICO'!Z34</f>
        <v>0</v>
      </c>
      <c r="V80">
        <f>'REGIÃO 02 - HISTÓRICO'!AB34</f>
        <v>0</v>
      </c>
      <c r="W80">
        <f>'REGIÃO 02 - HISTÓRICO'!AD34</f>
        <v>0</v>
      </c>
      <c r="X80">
        <f>'REGIÃO 02 - HISTÓRICO'!AF34</f>
        <v>0</v>
      </c>
      <c r="AF80" s="91" t="str">
        <f t="shared" si="18"/>
        <v>R02</v>
      </c>
      <c r="AG80" t="str">
        <f t="shared" si="19"/>
        <v>014.2025.0116</v>
      </c>
      <c r="AH80">
        <f t="shared" si="20"/>
        <v>216295.34</v>
      </c>
      <c r="AI80">
        <f t="shared" si="21"/>
        <v>216295.33992</v>
      </c>
      <c r="AJ80">
        <f t="shared" si="22"/>
        <v>51</v>
      </c>
    </row>
    <row r="81" spans="2:36" x14ac:dyDescent="0.3">
      <c r="B81" s="91" t="str">
        <f>'REGIÃO 02 - RESUMO'!C35</f>
        <v>R02</v>
      </c>
      <c r="C81" t="str">
        <f>'REGIÃO 02 - RESUMO'!D35</f>
        <v>014.2025</v>
      </c>
      <c r="D81" s="92">
        <f>'REGIÃO 02 - RESUMO'!E35</f>
        <v>117</v>
      </c>
      <c r="E81" t="str">
        <f>'REGIÃO 02 - RESUMO'!F35</f>
        <v>Abril</v>
      </c>
      <c r="F81" s="93">
        <f>'REGIÃO 02 - RESUMO'!H35</f>
        <v>48</v>
      </c>
      <c r="G81" t="str">
        <f>'REGIÃO 02 - RESUMO'!I35</f>
        <v>RODOVIA TO-165 - TRECHO SANTA FÉ DO ARAGUAIA - ENTR. TO-226 - ARAPOEMA</v>
      </c>
      <c r="H81" s="91" t="str">
        <f>'REGIÃO 02 - RESUMO'!J35</f>
        <v>Enrocamento de pedra arrumada / Enrocamento de pedra jogada / Terraplenagem / Execução de BSTC 100 / Reconformação da plataforma / Recomposição do revestimento primário</v>
      </c>
      <c r="I81">
        <f>'REGIÃO 02 - RESUMO'!K35</f>
        <v>1066110.3700000001</v>
      </c>
      <c r="J81">
        <f>'REGIÃO 02 - HISTÓRICO'!F35</f>
        <v>0</v>
      </c>
      <c r="K81">
        <f>'REGIÃO 02 - HISTÓRICO'!G35</f>
        <v>1066110.3700000001</v>
      </c>
      <c r="L81" t="str">
        <f>IF(OR('REGIÃO 02 - RESUMO'!L35="",'REGIÃO 02 - RESUMO'!L35=0),"",'REGIÃO 02 - RESUMO'!L35)</f>
        <v>Cancelada</v>
      </c>
      <c r="M81">
        <f>'REGIÃO 02 - HISTÓRICO'!J35</f>
        <v>0</v>
      </c>
      <c r="N81">
        <f>'REGIÃO 02 - HISTÓRICO'!L35</f>
        <v>0</v>
      </c>
      <c r="O81">
        <f>'REGIÃO 02 - HISTÓRICO'!N35</f>
        <v>0</v>
      </c>
      <c r="P81">
        <f>'REGIÃO 02 - HISTÓRICO'!P35</f>
        <v>0</v>
      </c>
      <c r="Q81">
        <f>'REGIÃO 02 - HISTÓRICO'!R35</f>
        <v>0</v>
      </c>
      <c r="R81">
        <f>'REGIÃO 02 - HISTÓRICO'!T35</f>
        <v>0</v>
      </c>
      <c r="S81">
        <f>'REGIÃO 02 - HISTÓRICO'!V35</f>
        <v>0</v>
      </c>
      <c r="T81">
        <f>'REGIÃO 02 - HISTÓRICO'!X35</f>
        <v>0</v>
      </c>
      <c r="U81">
        <f>'REGIÃO 02 - HISTÓRICO'!Z35</f>
        <v>0</v>
      </c>
      <c r="V81">
        <f>'REGIÃO 02 - HISTÓRICO'!AB35</f>
        <v>0</v>
      </c>
      <c r="W81">
        <f>'REGIÃO 02 - HISTÓRICO'!AD35</f>
        <v>0</v>
      </c>
      <c r="X81">
        <f>'REGIÃO 02 - HISTÓRICO'!AF35</f>
        <v>0</v>
      </c>
      <c r="AF81" s="91" t="str">
        <f t="shared" si="18"/>
        <v>R02</v>
      </c>
      <c r="AG81" t="str">
        <f t="shared" si="19"/>
        <v>014.2025.0117</v>
      </c>
      <c r="AH81">
        <f t="shared" si="20"/>
        <v>1066110.3700000001</v>
      </c>
      <c r="AI81">
        <f t="shared" si="21"/>
        <v>1066110.3699190002</v>
      </c>
      <c r="AJ81">
        <f t="shared" si="22"/>
        <v>16</v>
      </c>
    </row>
    <row r="82" spans="2:36" x14ac:dyDescent="0.3">
      <c r="B82" s="91" t="str">
        <f>'REGIÃO 02 - RESUMO'!C36</f>
        <v>R02</v>
      </c>
      <c r="C82" t="str">
        <f>'REGIÃO 02 - RESUMO'!D36</f>
        <v>014.2025</v>
      </c>
      <c r="D82" s="92">
        <f>'REGIÃO 02 - RESUMO'!E36</f>
        <v>118</v>
      </c>
      <c r="E82" t="str">
        <f>'REGIÃO 02 - RESUMO'!F36</f>
        <v>Abril</v>
      </c>
      <c r="F82" s="93">
        <f>'REGIÃO 02 - RESUMO'!H36</f>
        <v>43</v>
      </c>
      <c r="G82" t="str">
        <f>'REGIÃO 02 - RESUMO'!I36</f>
        <v>RODOVIA TO-164 - TRECHO ARAGOMINAS - MURICILÂNDIA</v>
      </c>
      <c r="H82" s="91" t="str">
        <f>'REGIÃO 02 - RESUMO'!J36</f>
        <v xml:space="preserve"> Roçada / Tapa-Buraco CAE</v>
      </c>
      <c r="I82">
        <f>'REGIÃO 02 - RESUMO'!K36</f>
        <v>169859.47</v>
      </c>
      <c r="J82">
        <f>'REGIÃO 02 - HISTÓRICO'!F36</f>
        <v>169632.4</v>
      </c>
      <c r="K82">
        <f>'REGIÃO 02 - HISTÓRICO'!G36</f>
        <v>227.07000000000698</v>
      </c>
      <c r="L82" t="str">
        <f>IF(OR('REGIÃO 02 - RESUMO'!L36="",'REGIÃO 02 - RESUMO'!L36=0),"",'REGIÃO 02 - RESUMO'!L36)</f>
        <v>Concluída</v>
      </c>
      <c r="M82">
        <f>'REGIÃO 02 - HISTÓRICO'!J36</f>
        <v>0</v>
      </c>
      <c r="N82">
        <f>'REGIÃO 02 - HISTÓRICO'!L36</f>
        <v>0</v>
      </c>
      <c r="O82">
        <f>'REGIÃO 02 - HISTÓRICO'!N36</f>
        <v>0</v>
      </c>
      <c r="P82">
        <f>'REGIÃO 02 - HISTÓRICO'!P36</f>
        <v>7805.74</v>
      </c>
      <c r="Q82">
        <f>'REGIÃO 02 - HISTÓRICO'!R36</f>
        <v>161826.66</v>
      </c>
      <c r="R82">
        <f>'REGIÃO 02 - HISTÓRICO'!T36</f>
        <v>0</v>
      </c>
      <c r="S82">
        <f>'REGIÃO 02 - HISTÓRICO'!V36</f>
        <v>0</v>
      </c>
      <c r="T82">
        <f>'REGIÃO 02 - HISTÓRICO'!X36</f>
        <v>0</v>
      </c>
      <c r="U82">
        <f>'REGIÃO 02 - HISTÓRICO'!Z36</f>
        <v>0</v>
      </c>
      <c r="V82">
        <f>'REGIÃO 02 - HISTÓRICO'!AB36</f>
        <v>0</v>
      </c>
      <c r="W82">
        <f>'REGIÃO 02 - HISTÓRICO'!AD36</f>
        <v>0</v>
      </c>
      <c r="X82">
        <f>'REGIÃO 02 - HISTÓRICO'!AF36</f>
        <v>0</v>
      </c>
      <c r="AF82" s="91" t="str">
        <f t="shared" si="18"/>
        <v>R02</v>
      </c>
      <c r="AG82" t="str">
        <f t="shared" si="19"/>
        <v>014.2025.0118</v>
      </c>
      <c r="AH82">
        <f t="shared" si="20"/>
        <v>169859.47</v>
      </c>
      <c r="AI82">
        <f t="shared" si="21"/>
        <v>169859.46991799999</v>
      </c>
      <c r="AJ82">
        <f t="shared" si="22"/>
        <v>56</v>
      </c>
    </row>
    <row r="83" spans="2:36" x14ac:dyDescent="0.3">
      <c r="B83" s="91" t="str">
        <f>'REGIÃO 02 - RESUMO'!C37</f>
        <v>R02</v>
      </c>
      <c r="C83" t="str">
        <f>'REGIÃO 02 - RESUMO'!D37</f>
        <v>014.2025</v>
      </c>
      <c r="D83" s="92">
        <f>'REGIÃO 02 - RESUMO'!E37</f>
        <v>119</v>
      </c>
      <c r="E83" t="str">
        <f>'REGIÃO 02 - RESUMO'!F37</f>
        <v>Abril</v>
      </c>
      <c r="F83" s="93">
        <f>'REGIÃO 02 - RESUMO'!H37</f>
        <v>65</v>
      </c>
      <c r="G83" t="str">
        <f>'REGIÃO 02 - RESUMO'!I37</f>
        <v>RODOVIA TO-430 - TRECHO POVOADO CORIOLANDO (ENTR. TO-230 - ARAPOEMA) - ENTR. TO-164</v>
      </c>
      <c r="H83" s="91" t="str">
        <f>'REGIÃO 02 - RESUMO'!J37</f>
        <v>Enrocamento de pedra arrumada / Enrocamento de pedra jogada / Terraplenagem / Reconformação da plataforma / Recomposição do revestimento primário</v>
      </c>
      <c r="I83">
        <f>'REGIÃO 02 - RESUMO'!K37</f>
        <v>499747.93</v>
      </c>
      <c r="J83">
        <f>'REGIÃO 02 - HISTÓRICO'!F37</f>
        <v>417072.01</v>
      </c>
      <c r="K83">
        <f>'REGIÃO 02 - HISTÓRICO'!G37</f>
        <v>82675.919999999984</v>
      </c>
      <c r="L83" t="str">
        <f>IF(OR('REGIÃO 02 - RESUMO'!L37="",'REGIÃO 02 - RESUMO'!L37=0),"",'REGIÃO 02 - RESUMO'!L37)</f>
        <v>Concluída</v>
      </c>
      <c r="M83">
        <f>'REGIÃO 02 - HISTÓRICO'!J37</f>
        <v>0</v>
      </c>
      <c r="N83">
        <f>'REGIÃO 02 - HISTÓRICO'!L37</f>
        <v>0</v>
      </c>
      <c r="O83">
        <f>'REGIÃO 02 - HISTÓRICO'!N37</f>
        <v>0</v>
      </c>
      <c r="P83">
        <f>'REGIÃO 02 - HISTÓRICO'!P37</f>
        <v>0</v>
      </c>
      <c r="Q83">
        <f>'REGIÃO 02 - HISTÓRICO'!R37</f>
        <v>417072.01</v>
      </c>
      <c r="R83">
        <f>'REGIÃO 02 - HISTÓRICO'!T37</f>
        <v>0</v>
      </c>
      <c r="S83">
        <f>'REGIÃO 02 - HISTÓRICO'!V37</f>
        <v>0</v>
      </c>
      <c r="T83">
        <f>'REGIÃO 02 - HISTÓRICO'!X37</f>
        <v>0</v>
      </c>
      <c r="U83">
        <f>'REGIÃO 02 - HISTÓRICO'!Z37</f>
        <v>0</v>
      </c>
      <c r="V83">
        <f>'REGIÃO 02 - HISTÓRICO'!AB37</f>
        <v>0</v>
      </c>
      <c r="W83">
        <f>'REGIÃO 02 - HISTÓRICO'!AD37</f>
        <v>0</v>
      </c>
      <c r="X83">
        <f>'REGIÃO 02 - HISTÓRICO'!AF37</f>
        <v>0</v>
      </c>
      <c r="AF83" s="91" t="str">
        <f t="shared" si="18"/>
        <v>R02</v>
      </c>
      <c r="AG83" t="str">
        <f t="shared" si="19"/>
        <v>014.2025.0119</v>
      </c>
      <c r="AH83">
        <f t="shared" si="20"/>
        <v>499747.93</v>
      </c>
      <c r="AI83">
        <f t="shared" si="21"/>
        <v>499747.929917</v>
      </c>
      <c r="AJ83">
        <f t="shared" si="22"/>
        <v>26</v>
      </c>
    </row>
    <row r="84" spans="2:36" x14ac:dyDescent="0.3">
      <c r="B84" s="91" t="str">
        <f>'REGIÃO 02 - RESUMO'!C38</f>
        <v>R02</v>
      </c>
      <c r="C84" t="str">
        <f>'REGIÃO 02 - RESUMO'!D38</f>
        <v>014.2025</v>
      </c>
      <c r="D84" s="92">
        <f>'REGIÃO 02 - RESUMO'!E38</f>
        <v>120</v>
      </c>
      <c r="E84" s="91" t="str">
        <f>'REGIÃO 02 - RESUMO'!F38</f>
        <v>Maio</v>
      </c>
      <c r="F84" s="93">
        <f>'REGIÃO 02 - RESUMO'!H38</f>
        <v>44</v>
      </c>
      <c r="G84" t="str">
        <f>'REGIÃO 02 - RESUMO'!I38</f>
        <v>RODOVIA TO-164 - TRECHO ARAGUANÃ - CARMOLÂNDIA</v>
      </c>
      <c r="H84" s="91" t="str">
        <f>'REGIÃO 02 - RESUMO'!J38</f>
        <v>Tapa-Buraco CAE / Enrocamento de pedra arrumada / Enrocamento de pedra jogada / Recomposição de BDTC 100 / Reparo EDS / Remendo Profundo</v>
      </c>
      <c r="I84">
        <f>'REGIÃO 02 - RESUMO'!K38</f>
        <v>69593</v>
      </c>
      <c r="J84">
        <f>'REGIÃO 02 - HISTÓRICO'!F38</f>
        <v>0</v>
      </c>
      <c r="K84">
        <f>'REGIÃO 02 - HISTÓRICO'!G38</f>
        <v>69593</v>
      </c>
      <c r="L84" t="str">
        <f>IF(OR('REGIÃO 02 - RESUMO'!L38="",'REGIÃO 02 - RESUMO'!L38=0),"",'REGIÃO 02 - RESUMO'!L38)</f>
        <v>Cancelada</v>
      </c>
      <c r="M84">
        <f>'REGIÃO 02 - HISTÓRICO'!J38</f>
        <v>0</v>
      </c>
      <c r="N84">
        <f>'REGIÃO 02 - HISTÓRICO'!L38</f>
        <v>0</v>
      </c>
      <c r="O84">
        <f>'REGIÃO 02 - HISTÓRICO'!N38</f>
        <v>0</v>
      </c>
      <c r="P84">
        <f>'REGIÃO 02 - HISTÓRICO'!P38</f>
        <v>0</v>
      </c>
      <c r="Q84">
        <f>'REGIÃO 02 - HISTÓRICO'!R38</f>
        <v>0</v>
      </c>
      <c r="R84">
        <f>'REGIÃO 02 - HISTÓRICO'!T38</f>
        <v>0</v>
      </c>
      <c r="S84">
        <f>'REGIÃO 02 - HISTÓRICO'!V38</f>
        <v>0</v>
      </c>
      <c r="T84">
        <f>'REGIÃO 02 - HISTÓRICO'!X38</f>
        <v>0</v>
      </c>
      <c r="U84">
        <f>'REGIÃO 02 - HISTÓRICO'!Z38</f>
        <v>0</v>
      </c>
      <c r="V84">
        <f>'REGIÃO 02 - HISTÓRICO'!AB38</f>
        <v>0</v>
      </c>
      <c r="W84">
        <f>'REGIÃO 02 - HISTÓRICO'!AD38</f>
        <v>0</v>
      </c>
      <c r="X84">
        <f>'REGIÃO 02 - HISTÓRICO'!AF38</f>
        <v>0</v>
      </c>
      <c r="AF84" s="91" t="str">
        <f t="shared" si="18"/>
        <v>R02</v>
      </c>
      <c r="AG84" t="str">
        <f t="shared" si="19"/>
        <v>014.2025.0120</v>
      </c>
      <c r="AH84">
        <f t="shared" si="20"/>
        <v>69593</v>
      </c>
      <c r="AI84">
        <f t="shared" si="21"/>
        <v>69592.999916000001</v>
      </c>
      <c r="AJ84">
        <f t="shared" si="22"/>
        <v>82</v>
      </c>
    </row>
    <row r="85" spans="2:36" x14ac:dyDescent="0.3">
      <c r="B85" t="str">
        <f>'REGIÃO 02 - RESUMO'!C39</f>
        <v>R02</v>
      </c>
      <c r="C85" t="str">
        <f>'REGIÃO 02 - RESUMO'!D39</f>
        <v>014.2025</v>
      </c>
      <c r="D85" s="92">
        <f>'REGIÃO 02 - RESUMO'!E39</f>
        <v>121</v>
      </c>
      <c r="E85" t="str">
        <f>'REGIÃO 02 - RESUMO'!F39</f>
        <v>Junho</v>
      </c>
      <c r="F85" s="93">
        <f>'REGIÃO 02 - RESUMO'!H39</f>
        <v>64</v>
      </c>
      <c r="G85" t="str">
        <f>'REGIÃO 02 - RESUMO'!I39</f>
        <v>RODOVIA TO-429 - TRECHO ENTR. TO-230 (ARAPOEMA) - POVOADO ARACAJI</v>
      </c>
      <c r="H85" t="str">
        <f>'REGIÃO 02 - RESUMO'!J39</f>
        <v>Terraplenagem / Reconformação da plataforma / Recomposição do revestimento primário</v>
      </c>
      <c r="I85">
        <f>'REGIÃO 02 - RESUMO'!K39</f>
        <v>373995.13</v>
      </c>
      <c r="J85">
        <f>'REGIÃO 02 - HISTÓRICO'!F39</f>
        <v>373995.13</v>
      </c>
      <c r="K85">
        <f>'REGIÃO 02 - HISTÓRICO'!G39</f>
        <v>0</v>
      </c>
      <c r="L85" s="93" t="str">
        <f>IF(OR('REGIÃO 02 - RESUMO'!L39="",'REGIÃO 02 - RESUMO'!L39=0),"",'REGIÃO 02 - RESUMO'!L39)</f>
        <v>Concluída</v>
      </c>
      <c r="M85">
        <f>'REGIÃO 02 - HISTÓRICO'!J39</f>
        <v>0</v>
      </c>
      <c r="N85">
        <f>'REGIÃO 02 - HISTÓRICO'!L39</f>
        <v>0</v>
      </c>
      <c r="O85">
        <f>'REGIÃO 02 - HISTÓRICO'!N39</f>
        <v>0</v>
      </c>
      <c r="P85">
        <f>'REGIÃO 02 - HISTÓRICO'!P39</f>
        <v>0</v>
      </c>
      <c r="Q85">
        <f>'REGIÃO 02 - HISTÓRICO'!R39</f>
        <v>0</v>
      </c>
      <c r="R85">
        <f>'REGIÃO 02 - HISTÓRICO'!T39</f>
        <v>373995.13</v>
      </c>
      <c r="S85">
        <f>'REGIÃO 02 - HISTÓRICO'!V39</f>
        <v>0</v>
      </c>
      <c r="T85">
        <f>'REGIÃO 02 - HISTÓRICO'!X39</f>
        <v>0</v>
      </c>
      <c r="U85">
        <f>'REGIÃO 02 - HISTÓRICO'!Z39</f>
        <v>0</v>
      </c>
      <c r="V85">
        <f>'REGIÃO 02 - HISTÓRICO'!AB39</f>
        <v>0</v>
      </c>
      <c r="W85">
        <f>'REGIÃO 02 - HISTÓRICO'!AD39</f>
        <v>0</v>
      </c>
      <c r="X85">
        <f>'REGIÃO 02 - HISTÓRICO'!AF39</f>
        <v>0</v>
      </c>
      <c r="AF85" t="str">
        <f t="shared" si="18"/>
        <v>R02</v>
      </c>
      <c r="AG85" t="str">
        <f t="shared" si="19"/>
        <v>014.2025.0121</v>
      </c>
      <c r="AH85">
        <f t="shared" si="20"/>
        <v>373995.13</v>
      </c>
      <c r="AI85">
        <f t="shared" si="21"/>
        <v>373995.129915</v>
      </c>
      <c r="AJ85">
        <f t="shared" si="22"/>
        <v>40</v>
      </c>
    </row>
    <row r="86" spans="2:36" x14ac:dyDescent="0.3">
      <c r="B86" s="91" t="str">
        <f>'REGIÃO 02 - RESUMO'!C40</f>
        <v>R02</v>
      </c>
      <c r="C86" t="str">
        <f>'REGIÃO 02 - RESUMO'!D40</f>
        <v>014.2025</v>
      </c>
      <c r="D86" s="92">
        <f>'REGIÃO 02 - RESUMO'!E40</f>
        <v>122</v>
      </c>
      <c r="E86" s="91" t="str">
        <f>'REGIÃO 02 - RESUMO'!F40</f>
        <v>Junho</v>
      </c>
      <c r="F86" s="93">
        <f>'REGIÃO 02 - RESUMO'!H40</f>
        <v>56</v>
      </c>
      <c r="G86" t="str">
        <f>'REGIÃO 02 - RESUMO'!I40</f>
        <v>RODOVIA TO-230 - TRECHO ENTR. BR-153 - BANDEIRANTES DO TOCANTINS</v>
      </c>
      <c r="H86" s="91" t="str">
        <f>'REGIÃO 02 - RESUMO'!J40</f>
        <v>Tapa-Buraco CAE / Enrocamento de pedra arrumada / Enrocamento de pedra jogada / Reparo EDS / Remendo Profundo</v>
      </c>
      <c r="I86">
        <f>'REGIÃO 02 - RESUMO'!K40</f>
        <v>39329.910000000003</v>
      </c>
      <c r="J86">
        <f>'REGIÃO 02 - HISTÓRICO'!F40</f>
        <v>0</v>
      </c>
      <c r="K86">
        <f>'REGIÃO 02 - HISTÓRICO'!G40</f>
        <v>39329.910000000003</v>
      </c>
      <c r="L86" t="str">
        <f>IF(OR('REGIÃO 02 - RESUMO'!L40="",'REGIÃO 02 - RESUMO'!L40=0),"",'REGIÃO 02 - RESUMO'!L40)</f>
        <v>Cancelada</v>
      </c>
      <c r="M86">
        <f>'REGIÃO 02 - HISTÓRICO'!J40</f>
        <v>0</v>
      </c>
      <c r="N86">
        <f>'REGIÃO 02 - HISTÓRICO'!L40</f>
        <v>0</v>
      </c>
      <c r="O86">
        <f>'REGIÃO 02 - HISTÓRICO'!N40</f>
        <v>0</v>
      </c>
      <c r="P86">
        <f>'REGIÃO 02 - HISTÓRICO'!P40</f>
        <v>0</v>
      </c>
      <c r="Q86">
        <f>'REGIÃO 02 - HISTÓRICO'!R40</f>
        <v>0</v>
      </c>
      <c r="R86">
        <f>'REGIÃO 02 - HISTÓRICO'!T40</f>
        <v>0</v>
      </c>
      <c r="S86">
        <f>'REGIÃO 02 - HISTÓRICO'!V40</f>
        <v>0</v>
      </c>
      <c r="T86">
        <f>'REGIÃO 02 - HISTÓRICO'!X40</f>
        <v>0</v>
      </c>
      <c r="U86">
        <f>'REGIÃO 02 - HISTÓRICO'!Z40</f>
        <v>0</v>
      </c>
      <c r="V86">
        <f>'REGIÃO 02 - HISTÓRICO'!AB40</f>
        <v>0</v>
      </c>
      <c r="W86">
        <f>'REGIÃO 02 - HISTÓRICO'!AD40</f>
        <v>0</v>
      </c>
      <c r="X86">
        <f>'REGIÃO 02 - HISTÓRICO'!AF40</f>
        <v>0</v>
      </c>
      <c r="AF86" s="91" t="str">
        <f t="shared" si="18"/>
        <v>R02</v>
      </c>
      <c r="AG86" t="str">
        <f t="shared" si="19"/>
        <v>014.2025.0122</v>
      </c>
      <c r="AH86">
        <f t="shared" si="20"/>
        <v>39329.910000000003</v>
      </c>
      <c r="AI86">
        <f t="shared" si="21"/>
        <v>39329.909914000003</v>
      </c>
      <c r="AJ86">
        <f t="shared" si="22"/>
        <v>95</v>
      </c>
    </row>
    <row r="87" spans="2:36" x14ac:dyDescent="0.3">
      <c r="B87" s="91" t="str">
        <f>'REGIÃO 02 - RESUMO'!C41</f>
        <v>R02</v>
      </c>
      <c r="C87" t="str">
        <f>'REGIÃO 02 - RESUMO'!D41</f>
        <v>014.2025</v>
      </c>
      <c r="D87" s="92">
        <f>'REGIÃO 02 - RESUMO'!E41</f>
        <v>123</v>
      </c>
      <c r="E87" s="91" t="str">
        <f>'REGIÃO 02 - RESUMO'!F41</f>
        <v>Junho</v>
      </c>
      <c r="F87" s="93">
        <f>'REGIÃO 02 - RESUMO'!H41</f>
        <v>46</v>
      </c>
      <c r="G87" t="str">
        <f>'REGIÃO 02 - RESUMO'!I41</f>
        <v>RODOVIA TO-164 - TRECHO ENTR. TO-226 - POVOADO DEZENOVE - BERNARDO SAYÃO</v>
      </c>
      <c r="H87" s="91" t="str">
        <f>'REGIÃO 02 - RESUMO'!J41</f>
        <v>Tapa-Buraco CAE / Enrocamento de pedra arrumada / Enrocamento de pedra jogada / Recomposição de BDTC 100 / Reparo EDS / Remendo Profundo</v>
      </c>
      <c r="I87">
        <f>'REGIÃO 02 - RESUMO'!K41</f>
        <v>111749.71</v>
      </c>
      <c r="J87">
        <f>'REGIÃO 02 - HISTÓRICO'!F41</f>
        <v>0</v>
      </c>
      <c r="K87">
        <f>'REGIÃO 02 - HISTÓRICO'!G41</f>
        <v>111749.71</v>
      </c>
      <c r="L87" t="str">
        <f>IF(OR('REGIÃO 02 - RESUMO'!L41="",'REGIÃO 02 - RESUMO'!L41=0),"",'REGIÃO 02 - RESUMO'!L41)</f>
        <v>Cancelada</v>
      </c>
      <c r="M87">
        <f>'REGIÃO 02 - HISTÓRICO'!J41</f>
        <v>0</v>
      </c>
      <c r="N87">
        <f>'REGIÃO 02 - HISTÓRICO'!L41</f>
        <v>0</v>
      </c>
      <c r="O87">
        <f>'REGIÃO 02 - HISTÓRICO'!N41</f>
        <v>0</v>
      </c>
      <c r="P87">
        <f>'REGIÃO 02 - HISTÓRICO'!P41</f>
        <v>0</v>
      </c>
      <c r="Q87">
        <f>'REGIÃO 02 - HISTÓRICO'!R41</f>
        <v>0</v>
      </c>
      <c r="R87">
        <f>'REGIÃO 02 - HISTÓRICO'!T41</f>
        <v>0</v>
      </c>
      <c r="S87">
        <f>'REGIÃO 02 - HISTÓRICO'!V41</f>
        <v>0</v>
      </c>
      <c r="T87">
        <f>'REGIÃO 02 - HISTÓRICO'!X41</f>
        <v>0</v>
      </c>
      <c r="U87">
        <f>'REGIÃO 02 - HISTÓRICO'!Z41</f>
        <v>0</v>
      </c>
      <c r="V87">
        <f>'REGIÃO 02 - HISTÓRICO'!AB41</f>
        <v>0</v>
      </c>
      <c r="W87">
        <f>'REGIÃO 02 - HISTÓRICO'!AD41</f>
        <v>0</v>
      </c>
      <c r="X87">
        <f>'REGIÃO 02 - HISTÓRICO'!AF41</f>
        <v>0</v>
      </c>
      <c r="AF87" s="91" t="str">
        <f t="shared" si="18"/>
        <v>R02</v>
      </c>
      <c r="AG87" t="str">
        <f t="shared" si="19"/>
        <v>014.2025.0123</v>
      </c>
      <c r="AH87">
        <f t="shared" si="20"/>
        <v>111749.71</v>
      </c>
      <c r="AI87">
        <f t="shared" si="21"/>
        <v>111749.70991300001</v>
      </c>
      <c r="AJ87">
        <f t="shared" si="22"/>
        <v>67</v>
      </c>
    </row>
    <row r="88" spans="2:36" x14ac:dyDescent="0.3">
      <c r="B88" s="91" t="str">
        <f>'REGIÃO 02 - RESUMO'!C42</f>
        <v>R02</v>
      </c>
      <c r="C88" t="str">
        <f>'REGIÃO 02 - RESUMO'!D42</f>
        <v>014.2025</v>
      </c>
      <c r="D88" s="92">
        <f>'REGIÃO 02 - RESUMO'!E42</f>
        <v>124</v>
      </c>
      <c r="E88" s="91" t="str">
        <f>'REGIÃO 02 - RESUMO'!F42</f>
        <v>Junho</v>
      </c>
      <c r="F88" s="93">
        <f>'REGIÃO 02 - RESUMO'!H42</f>
        <v>66</v>
      </c>
      <c r="G88" t="str">
        <f>'REGIÃO 02 - RESUMO'!I42</f>
        <v>RODOVIA TO-433 - TRECHO ENTR. TO-230 (POVOADO BRASILENE) - BERNARDO SAYÃO (ENTR. TO-164)</v>
      </c>
      <c r="H88" s="91" t="str">
        <f>'REGIÃO 02 - RESUMO'!J42</f>
        <v>Reconformação da plataforma</v>
      </c>
      <c r="I88">
        <f>'REGIÃO 02 - RESUMO'!K42</f>
        <v>30161.52</v>
      </c>
      <c r="J88">
        <f>'REGIÃO 02 - HISTÓRICO'!F42</f>
        <v>0</v>
      </c>
      <c r="K88">
        <f>'REGIÃO 02 - HISTÓRICO'!G42</f>
        <v>30161.52</v>
      </c>
      <c r="L88" t="str">
        <f>IF(OR('REGIÃO 02 - RESUMO'!L42="",'REGIÃO 02 - RESUMO'!L42=0),"",'REGIÃO 02 - RESUMO'!L42)</f>
        <v>Cancelada</v>
      </c>
      <c r="M88">
        <f>'REGIÃO 02 - HISTÓRICO'!J42</f>
        <v>0</v>
      </c>
      <c r="N88">
        <f>'REGIÃO 02 - HISTÓRICO'!L42</f>
        <v>0</v>
      </c>
      <c r="O88">
        <f>'REGIÃO 02 - HISTÓRICO'!N42</f>
        <v>0</v>
      </c>
      <c r="P88">
        <f>'REGIÃO 02 - HISTÓRICO'!P42</f>
        <v>0</v>
      </c>
      <c r="Q88">
        <f>'REGIÃO 02 - HISTÓRICO'!R42</f>
        <v>0</v>
      </c>
      <c r="R88">
        <f>'REGIÃO 02 - HISTÓRICO'!T42</f>
        <v>0</v>
      </c>
      <c r="S88">
        <f>'REGIÃO 02 - HISTÓRICO'!V42</f>
        <v>0</v>
      </c>
      <c r="T88">
        <f>'REGIÃO 02 - HISTÓRICO'!X42</f>
        <v>0</v>
      </c>
      <c r="U88">
        <f>'REGIÃO 02 - HISTÓRICO'!Z42</f>
        <v>0</v>
      </c>
      <c r="V88">
        <f>'REGIÃO 02 - HISTÓRICO'!AB42</f>
        <v>0</v>
      </c>
      <c r="W88">
        <f>'REGIÃO 02 - HISTÓRICO'!AD42</f>
        <v>0</v>
      </c>
      <c r="X88">
        <f>'REGIÃO 02 - HISTÓRICO'!AF42</f>
        <v>0</v>
      </c>
      <c r="AF88" s="91" t="str">
        <f t="shared" si="18"/>
        <v>R02</v>
      </c>
      <c r="AG88" t="str">
        <f t="shared" si="19"/>
        <v>014.2025.0124</v>
      </c>
      <c r="AH88">
        <f t="shared" si="20"/>
        <v>30161.52</v>
      </c>
      <c r="AI88">
        <f t="shared" si="21"/>
        <v>30161.519912</v>
      </c>
      <c r="AJ88">
        <f t="shared" si="22"/>
        <v>106</v>
      </c>
    </row>
    <row r="89" spans="2:36" x14ac:dyDescent="0.3">
      <c r="B89" s="91" t="str">
        <f>'REGIÃO 02 - RESUMO'!C43</f>
        <v>R02</v>
      </c>
      <c r="C89" t="str">
        <f>'REGIÃO 02 - RESUMO'!D43</f>
        <v>014.2025</v>
      </c>
      <c r="D89" s="92">
        <f>'REGIÃO 02 - RESUMO'!E43</f>
        <v>125</v>
      </c>
      <c r="E89" s="91" t="str">
        <f>'REGIÃO 02 - RESUMO'!F43</f>
        <v>Junho</v>
      </c>
      <c r="F89" s="93">
        <f>'REGIÃO 02 - RESUMO'!H43</f>
        <v>65</v>
      </c>
      <c r="G89" t="str">
        <f>'REGIÃO 02 - RESUMO'!I43</f>
        <v>RODOVIA TO-430 - TRECHO POVOADO CORIOLANDO (ENTR. TO-230 - ARAPOEMA) - ENTR. TO-164</v>
      </c>
      <c r="H89" s="91" t="str">
        <f>'REGIÃO 02 - RESUMO'!J43</f>
        <v>Terraplenagem</v>
      </c>
      <c r="I89">
        <f>'REGIÃO 02 - RESUMO'!K43</f>
        <v>168695.29</v>
      </c>
      <c r="J89">
        <f>'REGIÃO 02 - HISTÓRICO'!F43</f>
        <v>0</v>
      </c>
      <c r="K89">
        <f>'REGIÃO 02 - HISTÓRICO'!G43</f>
        <v>168695.29</v>
      </c>
      <c r="L89" t="str">
        <f>IF(OR('REGIÃO 02 - RESUMO'!L43="",'REGIÃO 02 - RESUMO'!L43=0),"",'REGIÃO 02 - RESUMO'!L43)</f>
        <v>Cancelada</v>
      </c>
      <c r="M89">
        <f>'REGIÃO 02 - HISTÓRICO'!J43</f>
        <v>0</v>
      </c>
      <c r="N89">
        <f>'REGIÃO 02 - HISTÓRICO'!L43</f>
        <v>0</v>
      </c>
      <c r="O89">
        <f>'REGIÃO 02 - HISTÓRICO'!N43</f>
        <v>0</v>
      </c>
      <c r="P89">
        <f>'REGIÃO 02 - HISTÓRICO'!P43</f>
        <v>0</v>
      </c>
      <c r="Q89">
        <f>'REGIÃO 02 - HISTÓRICO'!R43</f>
        <v>0</v>
      </c>
      <c r="R89">
        <f>'REGIÃO 02 - HISTÓRICO'!T43</f>
        <v>0</v>
      </c>
      <c r="S89">
        <f>'REGIÃO 02 - HISTÓRICO'!V43</f>
        <v>0</v>
      </c>
      <c r="T89">
        <f>'REGIÃO 02 - HISTÓRICO'!X43</f>
        <v>0</v>
      </c>
      <c r="U89">
        <f>'REGIÃO 02 - HISTÓRICO'!Z43</f>
        <v>0</v>
      </c>
      <c r="V89">
        <f>'REGIÃO 02 - HISTÓRICO'!AB43</f>
        <v>0</v>
      </c>
      <c r="W89">
        <f>'REGIÃO 02 - HISTÓRICO'!AD43</f>
        <v>0</v>
      </c>
      <c r="X89">
        <f>'REGIÃO 02 - HISTÓRICO'!AF43</f>
        <v>0</v>
      </c>
      <c r="AF89" s="91" t="str">
        <f t="shared" si="18"/>
        <v>R02</v>
      </c>
      <c r="AG89" t="str">
        <f t="shared" si="19"/>
        <v>014.2025.0125</v>
      </c>
      <c r="AH89">
        <f t="shared" si="20"/>
        <v>168695.29</v>
      </c>
      <c r="AI89">
        <f t="shared" si="21"/>
        <v>168695.289911</v>
      </c>
      <c r="AJ89">
        <f t="shared" si="22"/>
        <v>57</v>
      </c>
    </row>
    <row r="90" spans="2:36" x14ac:dyDescent="0.3">
      <c r="B90" s="91" t="str">
        <f>'REGIÃO 02 - RESUMO'!C44</f>
        <v>R02</v>
      </c>
      <c r="C90" t="str">
        <f>'REGIÃO 02 - RESUMO'!D44</f>
        <v>014.2025</v>
      </c>
      <c r="D90" s="92">
        <f>'REGIÃO 02 - RESUMO'!E44</f>
        <v>126</v>
      </c>
      <c r="E90" s="91" t="str">
        <f>'REGIÃO 02 - RESUMO'!F44</f>
        <v>Junho</v>
      </c>
      <c r="F90" s="93">
        <f>'REGIÃO 02 - RESUMO'!H44</f>
        <v>57</v>
      </c>
      <c r="G90" t="str">
        <f>'REGIÃO 02 - RESUMO'!I44</f>
        <v>RODOVIA TO-416 - TRECHO ENTR. BR-153 - RIACHINHO</v>
      </c>
      <c r="H90" s="91" t="str">
        <f>'REGIÃO 02 - RESUMO'!J44</f>
        <v>Roçada</v>
      </c>
      <c r="I90">
        <f>'REGIÃO 02 - RESUMO'!K44</f>
        <v>12822.9</v>
      </c>
      <c r="J90">
        <f>'REGIÃO 02 - HISTÓRICO'!F44</f>
        <v>12822.9</v>
      </c>
      <c r="K90">
        <f>'REGIÃO 02 - HISTÓRICO'!G44</f>
        <v>0</v>
      </c>
      <c r="L90" t="str">
        <f>IF(OR('REGIÃO 02 - RESUMO'!L44="",'REGIÃO 02 - RESUMO'!L44=0),"",'REGIÃO 02 - RESUMO'!L44)</f>
        <v>Concluída</v>
      </c>
      <c r="M90">
        <f>'REGIÃO 02 - HISTÓRICO'!J44</f>
        <v>0</v>
      </c>
      <c r="N90">
        <f>'REGIÃO 02 - HISTÓRICO'!L44</f>
        <v>0</v>
      </c>
      <c r="O90">
        <f>'REGIÃO 02 - HISTÓRICO'!N44</f>
        <v>0</v>
      </c>
      <c r="P90">
        <f>'REGIÃO 02 - HISTÓRICO'!P44</f>
        <v>0</v>
      </c>
      <c r="Q90">
        <f>'REGIÃO 02 - HISTÓRICO'!R44</f>
        <v>0</v>
      </c>
      <c r="R90">
        <f>'REGIÃO 02 - HISTÓRICO'!T44</f>
        <v>12822.9</v>
      </c>
      <c r="S90">
        <f>'REGIÃO 02 - HISTÓRICO'!V44</f>
        <v>0</v>
      </c>
      <c r="T90">
        <f>'REGIÃO 02 - HISTÓRICO'!X44</f>
        <v>0</v>
      </c>
      <c r="U90">
        <f>'REGIÃO 02 - HISTÓRICO'!Z44</f>
        <v>0</v>
      </c>
      <c r="V90">
        <f>'REGIÃO 02 - HISTÓRICO'!AB44</f>
        <v>0</v>
      </c>
      <c r="W90">
        <f>'REGIÃO 02 - HISTÓRICO'!AD44</f>
        <v>0</v>
      </c>
      <c r="X90">
        <f>'REGIÃO 02 - HISTÓRICO'!AF44</f>
        <v>0</v>
      </c>
      <c r="AF90" s="91" t="str">
        <f t="shared" si="18"/>
        <v>R02</v>
      </c>
      <c r="AG90" t="str">
        <f t="shared" si="19"/>
        <v>014.2025.0126</v>
      </c>
      <c r="AH90">
        <f t="shared" si="20"/>
        <v>12822.9</v>
      </c>
      <c r="AI90">
        <f t="shared" si="21"/>
        <v>12822.89991</v>
      </c>
      <c r="AJ90">
        <f t="shared" si="22"/>
        <v>127</v>
      </c>
    </row>
    <row r="91" spans="2:36" x14ac:dyDescent="0.3">
      <c r="B91" s="91" t="str">
        <f>'REGIÃO 02 - RESUMO'!C45</f>
        <v>R02</v>
      </c>
      <c r="C91" t="str">
        <f>'REGIÃO 02 - RESUMO'!D45</f>
        <v>014.2025</v>
      </c>
      <c r="D91" s="92">
        <f>'REGIÃO 02 - RESUMO'!E45</f>
        <v>127</v>
      </c>
      <c r="E91" s="91" t="str">
        <f>'REGIÃO 02 - RESUMO'!F45</f>
        <v>Junho</v>
      </c>
      <c r="F91" s="93">
        <f>'REGIÃO 02 - RESUMO'!H45</f>
        <v>61</v>
      </c>
      <c r="G91" t="str">
        <f>'REGIÃO 02 - RESUMO'!I45</f>
        <v>RODOVIA TO-420 - TRECHO ENTR. BR-153 (POVOADO XAMBERLÂNDIA) - PIRAQUÊ - ENTR. BR-153</v>
      </c>
      <c r="H91" s="91" t="str">
        <f>'REGIÃO 02 - RESUMO'!J45</f>
        <v>Roçada</v>
      </c>
      <c r="I91">
        <f>'REGIÃO 02 - RESUMO'!K45</f>
        <v>15129.7</v>
      </c>
      <c r="J91">
        <f>'REGIÃO 02 - HISTÓRICO'!F45</f>
        <v>15129.7</v>
      </c>
      <c r="K91">
        <f>'REGIÃO 02 - HISTÓRICO'!G45</f>
        <v>0</v>
      </c>
      <c r="L91" t="str">
        <f>IF(OR('REGIÃO 02 - RESUMO'!L45="",'REGIÃO 02 - RESUMO'!L45=0),"",'REGIÃO 02 - RESUMO'!L45)</f>
        <v>Concluída</v>
      </c>
      <c r="M91">
        <f>'REGIÃO 02 - HISTÓRICO'!J45</f>
        <v>0</v>
      </c>
      <c r="N91">
        <f>'REGIÃO 02 - HISTÓRICO'!L45</f>
        <v>0</v>
      </c>
      <c r="O91">
        <f>'REGIÃO 02 - HISTÓRICO'!N45</f>
        <v>0</v>
      </c>
      <c r="P91">
        <f>'REGIÃO 02 - HISTÓRICO'!P45</f>
        <v>0</v>
      </c>
      <c r="Q91">
        <f>'REGIÃO 02 - HISTÓRICO'!R45</f>
        <v>0</v>
      </c>
      <c r="R91">
        <f>'REGIÃO 02 - HISTÓRICO'!T45</f>
        <v>15129.7</v>
      </c>
      <c r="S91">
        <f>'REGIÃO 02 - HISTÓRICO'!V45</f>
        <v>0</v>
      </c>
      <c r="T91">
        <f>'REGIÃO 02 - HISTÓRICO'!X45</f>
        <v>0</v>
      </c>
      <c r="U91">
        <f>'REGIÃO 02 - HISTÓRICO'!Z45</f>
        <v>0</v>
      </c>
      <c r="V91">
        <f>'REGIÃO 02 - HISTÓRICO'!AB45</f>
        <v>0</v>
      </c>
      <c r="W91">
        <f>'REGIÃO 02 - HISTÓRICO'!AD45</f>
        <v>0</v>
      </c>
      <c r="X91">
        <f>'REGIÃO 02 - HISTÓRICO'!AF45</f>
        <v>0</v>
      </c>
      <c r="AF91" s="91" t="str">
        <f t="shared" si="18"/>
        <v>R02</v>
      </c>
      <c r="AG91" t="str">
        <f t="shared" si="19"/>
        <v>014.2025.0127</v>
      </c>
      <c r="AH91">
        <f t="shared" si="20"/>
        <v>15129.7</v>
      </c>
      <c r="AI91">
        <f t="shared" si="21"/>
        <v>15129.699909000001</v>
      </c>
      <c r="AJ91">
        <f t="shared" si="22"/>
        <v>125</v>
      </c>
    </row>
    <row r="92" spans="2:36" x14ac:dyDescent="0.3">
      <c r="B92" s="91" t="str">
        <f>'REGIÃO 02 - RESUMO'!C46</f>
        <v>R02</v>
      </c>
      <c r="C92" t="str">
        <f>'REGIÃO 02 - RESUMO'!D46</f>
        <v>014.2025</v>
      </c>
      <c r="D92" s="92">
        <f>'REGIÃO 02 - RESUMO'!E46</f>
        <v>128</v>
      </c>
      <c r="E92" s="91" t="str">
        <f>'REGIÃO 02 - RESUMO'!F46</f>
        <v>Junho</v>
      </c>
      <c r="F92" s="93">
        <f>'REGIÃO 02 - RESUMO'!H46</f>
        <v>40</v>
      </c>
      <c r="G92" t="str">
        <f>'REGIÃO 02 - RESUMO'!I46</f>
        <v>RODOVIA TO-010 - TRECHO WANDERLÂNDIA - RIACHINHO</v>
      </c>
      <c r="H92" s="91" t="str">
        <f>'REGIÃO 02 - RESUMO'!J46</f>
        <v>Roçada</v>
      </c>
      <c r="I92">
        <f>'REGIÃO 02 - RESUMO'!K46</f>
        <v>23378.76</v>
      </c>
      <c r="J92">
        <f>'REGIÃO 02 - HISTÓRICO'!F46</f>
        <v>23378.76</v>
      </c>
      <c r="K92">
        <f>'REGIÃO 02 - HISTÓRICO'!G46</f>
        <v>0</v>
      </c>
      <c r="L92" t="str">
        <f>IF(OR('REGIÃO 02 - RESUMO'!L46="",'REGIÃO 02 - RESUMO'!L46=0),"",'REGIÃO 02 - RESUMO'!L46)</f>
        <v>Concluída</v>
      </c>
      <c r="M92">
        <f>'REGIÃO 02 - HISTÓRICO'!J46</f>
        <v>0</v>
      </c>
      <c r="N92">
        <f>'REGIÃO 02 - HISTÓRICO'!L46</f>
        <v>0</v>
      </c>
      <c r="O92">
        <f>'REGIÃO 02 - HISTÓRICO'!N46</f>
        <v>0</v>
      </c>
      <c r="P92">
        <f>'REGIÃO 02 - HISTÓRICO'!P46</f>
        <v>0</v>
      </c>
      <c r="Q92">
        <f>'REGIÃO 02 - HISTÓRICO'!R46</f>
        <v>0</v>
      </c>
      <c r="R92">
        <f>'REGIÃO 02 - HISTÓRICO'!T46</f>
        <v>23378.76</v>
      </c>
      <c r="S92">
        <f>'REGIÃO 02 - HISTÓRICO'!V46</f>
        <v>0</v>
      </c>
      <c r="T92">
        <f>'REGIÃO 02 - HISTÓRICO'!X46</f>
        <v>0</v>
      </c>
      <c r="U92">
        <f>'REGIÃO 02 - HISTÓRICO'!Z46</f>
        <v>0</v>
      </c>
      <c r="V92">
        <f>'REGIÃO 02 - HISTÓRICO'!AB46</f>
        <v>0</v>
      </c>
      <c r="W92">
        <f>'REGIÃO 02 - HISTÓRICO'!AD46</f>
        <v>0</v>
      </c>
      <c r="X92">
        <f>'REGIÃO 02 - HISTÓRICO'!AF46</f>
        <v>0</v>
      </c>
      <c r="AF92" s="91" t="str">
        <f t="shared" si="18"/>
        <v>R02</v>
      </c>
      <c r="AG92" t="str">
        <f t="shared" si="19"/>
        <v>014.2025.0128</v>
      </c>
      <c r="AH92">
        <f t="shared" si="20"/>
        <v>23378.76</v>
      </c>
      <c r="AI92">
        <f t="shared" si="21"/>
        <v>23378.759908</v>
      </c>
      <c r="AJ92">
        <f t="shared" si="22"/>
        <v>115</v>
      </c>
    </row>
    <row r="93" spans="2:36" x14ac:dyDescent="0.3">
      <c r="B93" s="91" t="str">
        <f>'REGIÃO 02 - RESUMO'!C47</f>
        <v>R02</v>
      </c>
      <c r="C93" t="str">
        <f>'REGIÃO 02 - RESUMO'!D47</f>
        <v>014.2025</v>
      </c>
      <c r="D93" s="92">
        <f>'REGIÃO 02 - RESUMO'!E47</f>
        <v>129</v>
      </c>
      <c r="E93" s="91" t="str">
        <f>'REGIÃO 02 - RESUMO'!F47</f>
        <v>Junho</v>
      </c>
      <c r="F93" s="93">
        <f>'REGIÃO 02 - RESUMO'!H47</f>
        <v>39</v>
      </c>
      <c r="G93" t="str">
        <f>'REGIÃO 02 - RESUMO'!I47</f>
        <v>RODOVIA TO-010 - TRECHO RIACHINHO - ANANÁS</v>
      </c>
      <c r="H93" s="91" t="str">
        <f>'REGIÃO 02 - RESUMO'!J47</f>
        <v xml:space="preserve"> Roçada / Tapa-Buraco PMF</v>
      </c>
      <c r="I93">
        <f>'REGIÃO 02 - RESUMO'!K47</f>
        <v>273539.46999999997</v>
      </c>
      <c r="J93">
        <f>'REGIÃO 02 - HISTÓRICO'!F47</f>
        <v>271574.64</v>
      </c>
      <c r="K93">
        <f>'REGIÃO 02 - HISTÓRICO'!G47</f>
        <v>1964.8299999999581</v>
      </c>
      <c r="L93" t="str">
        <f>IF(OR('REGIÃO 02 - RESUMO'!L47="",'REGIÃO 02 - RESUMO'!L47=0),"",'REGIÃO 02 - RESUMO'!L47)</f>
        <v>Concluída</v>
      </c>
      <c r="M93">
        <f>'REGIÃO 02 - HISTÓRICO'!J47</f>
        <v>0</v>
      </c>
      <c r="N93">
        <f>'REGIÃO 02 - HISTÓRICO'!L47</f>
        <v>0</v>
      </c>
      <c r="O93">
        <f>'REGIÃO 02 - HISTÓRICO'!N47</f>
        <v>0</v>
      </c>
      <c r="P93">
        <f>'REGIÃO 02 - HISTÓRICO'!P47</f>
        <v>0</v>
      </c>
      <c r="Q93">
        <f>'REGIÃO 02 - HISTÓRICO'!R47</f>
        <v>0</v>
      </c>
      <c r="R93">
        <f>'REGIÃO 02 - HISTÓRICO'!T47</f>
        <v>271574.64</v>
      </c>
      <c r="S93">
        <f>'REGIÃO 02 - HISTÓRICO'!V47</f>
        <v>0</v>
      </c>
      <c r="T93">
        <f>'REGIÃO 02 - HISTÓRICO'!X47</f>
        <v>0</v>
      </c>
      <c r="U93">
        <f>'REGIÃO 02 - HISTÓRICO'!Z47</f>
        <v>0</v>
      </c>
      <c r="V93">
        <f>'REGIÃO 02 - HISTÓRICO'!AB47</f>
        <v>0</v>
      </c>
      <c r="W93">
        <f>'REGIÃO 02 - HISTÓRICO'!AD47</f>
        <v>0</v>
      </c>
      <c r="X93">
        <f>'REGIÃO 02 - HISTÓRICO'!AF47</f>
        <v>0</v>
      </c>
      <c r="AF93" s="91" t="str">
        <f t="shared" si="18"/>
        <v>R02</v>
      </c>
      <c r="AG93" t="str">
        <f t="shared" si="19"/>
        <v>014.2025.0129</v>
      </c>
      <c r="AH93">
        <f t="shared" si="20"/>
        <v>273539.46999999997</v>
      </c>
      <c r="AI93">
        <f t="shared" si="21"/>
        <v>273539.46990699996</v>
      </c>
      <c r="AJ93">
        <f t="shared" si="22"/>
        <v>48</v>
      </c>
    </row>
    <row r="94" spans="2:36" x14ac:dyDescent="0.3">
      <c r="B94" s="91" t="str">
        <f>'REGIÃO 02 - RESUMO'!C48</f>
        <v>R02</v>
      </c>
      <c r="C94" t="str">
        <f>'REGIÃO 02 - RESUMO'!D48</f>
        <v>014.2025</v>
      </c>
      <c r="D94" s="92">
        <f>'REGIÃO 02 - RESUMO'!E48</f>
        <v>130</v>
      </c>
      <c r="E94" s="91" t="str">
        <f>'REGIÃO 02 - RESUMO'!F48</f>
        <v>Julho</v>
      </c>
      <c r="F94" s="93">
        <f>'REGIÃO 02 - RESUMO'!H48</f>
        <v>53</v>
      </c>
      <c r="G94" t="str">
        <f>'REGIÃO 02 - RESUMO'!I48</f>
        <v>RODOVIA TO-226 - TRECHO ENTR. BR-153 (POVOADO RIO PRETO) - DIVISA TO-PA (POVOADO GARIMPINHO)</v>
      </c>
      <c r="H94" s="91" t="str">
        <f>'REGIÃO 02 - RESUMO'!J48</f>
        <v xml:space="preserve"> Roçada / Tapa-Buraco PMF / Caiação de EDS e pontes</v>
      </c>
      <c r="I94">
        <f>'REGIÃO 02 - RESUMO'!K48</f>
        <v>563007</v>
      </c>
      <c r="J94">
        <f>'REGIÃO 02 - HISTÓRICO'!F48</f>
        <v>560042.31000000006</v>
      </c>
      <c r="K94">
        <f>'REGIÃO 02 - HISTÓRICO'!G48</f>
        <v>2964.6899999999441</v>
      </c>
      <c r="L94" t="str">
        <f>IF(OR('REGIÃO 02 - RESUMO'!L48="",'REGIÃO 02 - RESUMO'!L48=0),"",'REGIÃO 02 - RESUMO'!L48)</f>
        <v>Concluída</v>
      </c>
      <c r="M94">
        <f>'REGIÃO 02 - HISTÓRICO'!J48</f>
        <v>0</v>
      </c>
      <c r="N94">
        <f>'REGIÃO 02 - HISTÓRICO'!L48</f>
        <v>0</v>
      </c>
      <c r="O94">
        <f>'REGIÃO 02 - HISTÓRICO'!N48</f>
        <v>0</v>
      </c>
      <c r="P94">
        <f>'REGIÃO 02 - HISTÓRICO'!P48</f>
        <v>0</v>
      </c>
      <c r="Q94">
        <f>'REGIÃO 02 - HISTÓRICO'!R48</f>
        <v>0</v>
      </c>
      <c r="R94">
        <f>'REGIÃO 02 - HISTÓRICO'!T48</f>
        <v>0</v>
      </c>
      <c r="S94">
        <f>'REGIÃO 02 - HISTÓRICO'!V48</f>
        <v>560042.31000000006</v>
      </c>
      <c r="T94">
        <f>'REGIÃO 02 - HISTÓRICO'!X48</f>
        <v>0</v>
      </c>
      <c r="U94">
        <f>'REGIÃO 02 - HISTÓRICO'!Z48</f>
        <v>0</v>
      </c>
      <c r="V94">
        <f>'REGIÃO 02 - HISTÓRICO'!AB48</f>
        <v>0</v>
      </c>
      <c r="W94">
        <f>'REGIÃO 02 - HISTÓRICO'!AD48</f>
        <v>0</v>
      </c>
      <c r="X94">
        <f>'REGIÃO 02 - HISTÓRICO'!AF48</f>
        <v>0</v>
      </c>
      <c r="AF94" s="91" t="str">
        <f t="shared" si="18"/>
        <v>R02</v>
      </c>
      <c r="AG94" t="str">
        <f t="shared" si="19"/>
        <v>014.2025.0130</v>
      </c>
      <c r="AH94">
        <f t="shared" si="20"/>
        <v>563007</v>
      </c>
      <c r="AI94">
        <f t="shared" si="21"/>
        <v>563006.99990599998</v>
      </c>
      <c r="AJ94">
        <f t="shared" si="22"/>
        <v>24</v>
      </c>
    </row>
    <row r="95" spans="2:36" x14ac:dyDescent="0.3">
      <c r="B95" s="91" t="str">
        <f>'REGIÃO 02 - RESUMO'!C49</f>
        <v>R02</v>
      </c>
      <c r="C95" t="str">
        <f>'REGIÃO 02 - RESUMO'!D49</f>
        <v>014.2025</v>
      </c>
      <c r="D95" s="92">
        <f>'REGIÃO 02 - RESUMO'!E49</f>
        <v>131</v>
      </c>
      <c r="E95" s="91" t="str">
        <f>'REGIÃO 02 - RESUMO'!F49</f>
        <v>Julho</v>
      </c>
      <c r="F95" s="93">
        <f>'REGIÃO 02 - RESUMO'!H49</f>
        <v>54</v>
      </c>
      <c r="G95" t="str">
        <f>'REGIÃO 02 - RESUMO'!I49</f>
        <v>RODOVIA TO-230 - TRECHO ARAPOEMA - PAU D'ARCO (DIVISA TO-PA)</v>
      </c>
      <c r="H95" s="91" t="str">
        <f>'REGIÃO 02 - RESUMO'!J49</f>
        <v>Tapa-Buraco PMF</v>
      </c>
      <c r="I95">
        <f>'REGIÃO 02 - RESUMO'!K49</f>
        <v>418467.93</v>
      </c>
      <c r="J95">
        <f>'REGIÃO 02 - HISTÓRICO'!F49</f>
        <v>417060.21</v>
      </c>
      <c r="K95">
        <f>'REGIÃO 02 - HISTÓRICO'!G49</f>
        <v>1407.7199999999721</v>
      </c>
      <c r="L95" t="str">
        <f>IF(OR('REGIÃO 02 - RESUMO'!L49="",'REGIÃO 02 - RESUMO'!L49=0),"",'REGIÃO 02 - RESUMO'!L49)</f>
        <v>Concluída</v>
      </c>
      <c r="M95">
        <f>'REGIÃO 02 - HISTÓRICO'!J49</f>
        <v>0</v>
      </c>
      <c r="N95">
        <f>'REGIÃO 02 - HISTÓRICO'!L49</f>
        <v>0</v>
      </c>
      <c r="O95">
        <f>'REGIÃO 02 - HISTÓRICO'!N49</f>
        <v>0</v>
      </c>
      <c r="P95">
        <f>'REGIÃO 02 - HISTÓRICO'!P49</f>
        <v>0</v>
      </c>
      <c r="Q95">
        <f>'REGIÃO 02 - HISTÓRICO'!R49</f>
        <v>0</v>
      </c>
      <c r="R95">
        <f>'REGIÃO 02 - HISTÓRICO'!T49</f>
        <v>0</v>
      </c>
      <c r="S95">
        <f>'REGIÃO 02 - HISTÓRICO'!V49</f>
        <v>0</v>
      </c>
      <c r="T95">
        <f>'REGIÃO 02 - HISTÓRICO'!X49</f>
        <v>417060.21</v>
      </c>
      <c r="U95">
        <f>'REGIÃO 02 - HISTÓRICO'!Z49</f>
        <v>0</v>
      </c>
      <c r="V95">
        <f>'REGIÃO 02 - HISTÓRICO'!AB49</f>
        <v>0</v>
      </c>
      <c r="W95">
        <f>'REGIÃO 02 - HISTÓRICO'!AD49</f>
        <v>0</v>
      </c>
      <c r="X95">
        <f>'REGIÃO 02 - HISTÓRICO'!AF49</f>
        <v>0</v>
      </c>
      <c r="AF95" s="91" t="str">
        <f t="shared" si="18"/>
        <v>R02</v>
      </c>
      <c r="AG95" t="str">
        <f t="shared" si="19"/>
        <v>014.2025.0131</v>
      </c>
      <c r="AH95">
        <f t="shared" si="20"/>
        <v>418467.93</v>
      </c>
      <c r="AI95">
        <f t="shared" si="21"/>
        <v>418467.92990499997</v>
      </c>
      <c r="AJ95">
        <f t="shared" si="22"/>
        <v>34</v>
      </c>
    </row>
    <row r="96" spans="2:36" x14ac:dyDescent="0.3">
      <c r="B96" s="91" t="str">
        <f>'REGIÃO 02 - RESUMO'!C50</f>
        <v>R02</v>
      </c>
      <c r="C96" t="str">
        <f>'REGIÃO 02 - RESUMO'!D50</f>
        <v>014.2025</v>
      </c>
      <c r="D96" s="92">
        <f>'REGIÃO 02 - RESUMO'!E50</f>
        <v>132</v>
      </c>
      <c r="E96" s="91" t="str">
        <f>'REGIÃO 02 - RESUMO'!F50</f>
        <v>Agosto</v>
      </c>
      <c r="F96" s="93">
        <f>'REGIÃO 02 - RESUMO'!H50</f>
        <v>57</v>
      </c>
      <c r="G96" t="str">
        <f>'REGIÃO 02 - RESUMO'!I50</f>
        <v>RODOVIA TO-416 - TRECHO ENTR. BR-153 - RIACHINHO</v>
      </c>
      <c r="H96" s="91" t="str">
        <f>'REGIÃO 02 - RESUMO'!J50</f>
        <v xml:space="preserve"> Roçada / Tapa-Buraco PMF / Caiação de EDS e pontes</v>
      </c>
      <c r="I96">
        <f>'REGIÃO 02 - RESUMO'!K50</f>
        <v>406009.27</v>
      </c>
      <c r="J96">
        <f>'REGIÃO 02 - HISTÓRICO'!F50</f>
        <v>0</v>
      </c>
      <c r="K96">
        <f>'REGIÃO 02 - HISTÓRICO'!G50</f>
        <v>406009.27</v>
      </c>
      <c r="L96" t="str">
        <f>IF(OR('REGIÃO 02 - RESUMO'!L50="",'REGIÃO 02 - RESUMO'!L50=0),"",'REGIÃO 02 - RESUMO'!L50)</f>
        <v>Justificada</v>
      </c>
      <c r="M96">
        <f>'REGIÃO 02 - HISTÓRICO'!J50</f>
        <v>0</v>
      </c>
      <c r="N96">
        <f>'REGIÃO 02 - HISTÓRICO'!L50</f>
        <v>0</v>
      </c>
      <c r="O96">
        <f>'REGIÃO 02 - HISTÓRICO'!N50</f>
        <v>0</v>
      </c>
      <c r="P96">
        <f>'REGIÃO 02 - HISTÓRICO'!P50</f>
        <v>0</v>
      </c>
      <c r="Q96">
        <f>'REGIÃO 02 - HISTÓRICO'!R50</f>
        <v>0</v>
      </c>
      <c r="R96">
        <f>'REGIÃO 02 - HISTÓRICO'!T50</f>
        <v>0</v>
      </c>
      <c r="S96">
        <f>'REGIÃO 02 - HISTÓRICO'!V50</f>
        <v>0</v>
      </c>
      <c r="T96">
        <f>'REGIÃO 02 - HISTÓRICO'!X50</f>
        <v>0</v>
      </c>
      <c r="U96">
        <f>'REGIÃO 02 - HISTÓRICO'!Z50</f>
        <v>0</v>
      </c>
      <c r="V96">
        <f>'REGIÃO 02 - HISTÓRICO'!AB50</f>
        <v>0</v>
      </c>
      <c r="W96">
        <f>'REGIÃO 02 - HISTÓRICO'!AD50</f>
        <v>0</v>
      </c>
      <c r="X96">
        <f>'REGIÃO 02 - HISTÓRICO'!AF50</f>
        <v>0</v>
      </c>
      <c r="AF96" s="91" t="str">
        <f t="shared" si="18"/>
        <v>R02</v>
      </c>
      <c r="AG96" t="str">
        <f t="shared" si="19"/>
        <v>014.2025.0132</v>
      </c>
      <c r="AH96">
        <f t="shared" si="20"/>
        <v>406009.27</v>
      </c>
      <c r="AI96">
        <f t="shared" si="21"/>
        <v>406009.26990400004</v>
      </c>
      <c r="AJ96">
        <f t="shared" si="22"/>
        <v>38</v>
      </c>
    </row>
    <row r="97" spans="2:36" x14ac:dyDescent="0.3">
      <c r="B97" s="91" t="str">
        <f>'REGIÃO 02 - RESUMO'!C51</f>
        <v>R02</v>
      </c>
      <c r="C97" t="str">
        <f>'REGIÃO 02 - RESUMO'!D51</f>
        <v>014.2025</v>
      </c>
      <c r="D97" s="92">
        <f>'REGIÃO 02 - RESUMO'!E51</f>
        <v>133</v>
      </c>
      <c r="E97" s="91" t="str">
        <f>'REGIÃO 02 - RESUMO'!F51</f>
        <v>Julho</v>
      </c>
      <c r="F97" s="93">
        <f>'REGIÃO 02 - RESUMO'!H51</f>
        <v>48</v>
      </c>
      <c r="G97" t="str">
        <f>'REGIÃO 02 - RESUMO'!I51</f>
        <v>RODOVIA TO-165 - TRECHO SANTA FÉ DO ARAGUAIA - ENTR. TO-226 - ARAPOEMA</v>
      </c>
      <c r="H97" s="91" t="str">
        <f>'REGIÃO 02 - RESUMO'!J51</f>
        <v>Enrocamento de pedra jogada / Terraplenagem / Execução de BSTC 100 / Execução de BDTC 100 / Reconformação da plataforma / Recomposição do revestimento primário</v>
      </c>
      <c r="I97">
        <f>'REGIÃO 02 - RESUMO'!K51</f>
        <v>642128</v>
      </c>
      <c r="J97">
        <f>'REGIÃO 02 - HISTÓRICO'!F51</f>
        <v>0</v>
      </c>
      <c r="K97">
        <f>'REGIÃO 02 - HISTÓRICO'!G51</f>
        <v>642128</v>
      </c>
      <c r="L97" t="str">
        <f>IF(OR('REGIÃO 02 - RESUMO'!L51="",'REGIÃO 02 - RESUMO'!L51=0),"",'REGIÃO 02 - RESUMO'!L51)</f>
        <v>Em elaboração</v>
      </c>
      <c r="M97">
        <f>'REGIÃO 02 - HISTÓRICO'!J51</f>
        <v>0</v>
      </c>
      <c r="N97">
        <f>'REGIÃO 02 - HISTÓRICO'!L51</f>
        <v>0</v>
      </c>
      <c r="O97">
        <f>'REGIÃO 02 - HISTÓRICO'!N51</f>
        <v>0</v>
      </c>
      <c r="P97">
        <f>'REGIÃO 02 - HISTÓRICO'!P51</f>
        <v>0</v>
      </c>
      <c r="Q97">
        <f>'REGIÃO 02 - HISTÓRICO'!R51</f>
        <v>0</v>
      </c>
      <c r="R97">
        <f>'REGIÃO 02 - HISTÓRICO'!T51</f>
        <v>0</v>
      </c>
      <c r="S97">
        <f>'REGIÃO 02 - HISTÓRICO'!V51</f>
        <v>0</v>
      </c>
      <c r="T97">
        <f>'REGIÃO 02 - HISTÓRICO'!X51</f>
        <v>0</v>
      </c>
      <c r="U97">
        <f>'REGIÃO 02 - HISTÓRICO'!Z51</f>
        <v>0</v>
      </c>
      <c r="V97">
        <f>'REGIÃO 02 - HISTÓRICO'!AB51</f>
        <v>0</v>
      </c>
      <c r="W97">
        <f>'REGIÃO 02 - HISTÓRICO'!AD51</f>
        <v>0</v>
      </c>
      <c r="X97">
        <f>'REGIÃO 02 - HISTÓRICO'!AF51</f>
        <v>0</v>
      </c>
      <c r="AF97" s="91" t="str">
        <f t="shared" si="18"/>
        <v>R02</v>
      </c>
      <c r="AG97" t="str">
        <f t="shared" si="19"/>
        <v>014.2025.0133</v>
      </c>
      <c r="AH97">
        <f t="shared" si="20"/>
        <v>642128</v>
      </c>
      <c r="AI97">
        <f t="shared" si="21"/>
        <v>642127.99990299996</v>
      </c>
      <c r="AJ97">
        <f t="shared" si="22"/>
        <v>23</v>
      </c>
    </row>
    <row r="98" spans="2:36" x14ac:dyDescent="0.3">
      <c r="B98" s="91" t="str">
        <f>'REGIÃO 02 - RESUMO'!C52</f>
        <v>R02</v>
      </c>
      <c r="C98" t="str">
        <f>'REGIÃO 02 - RESUMO'!D52</f>
        <v>014.2025</v>
      </c>
      <c r="D98" s="92">
        <f>'REGIÃO 02 - RESUMO'!E52</f>
        <v>134</v>
      </c>
      <c r="E98" s="91" t="str">
        <f>'REGIÃO 02 - RESUMO'!F52</f>
        <v>Julho</v>
      </c>
      <c r="F98" s="93">
        <f>'REGIÃO 02 - RESUMO'!H52</f>
        <v>61</v>
      </c>
      <c r="G98" t="str">
        <f>'REGIÃO 02 - RESUMO'!I52</f>
        <v>RODOVIA TO-420 - TRECHO ENTR. BR-153 (POVOADO XAMBERLÂNDIA) - PIRAQUÊ - ENTR. BR-153</v>
      </c>
      <c r="H98" s="91" t="str">
        <f>'REGIÃO 02 - RESUMO'!J52</f>
        <v>Tapa-Buraco CAE / Recomposição manual de aterro / Enrocamento de pedra arrumada / Enrocamento de pedra jogada / Reparo EDS / Remendo Profundo / Terraplenagem</v>
      </c>
      <c r="I98">
        <f>'REGIÃO 02 - RESUMO'!K52</f>
        <v>491317.48</v>
      </c>
      <c r="J98">
        <f>'REGIÃO 02 - HISTÓRICO'!F52</f>
        <v>491307.65</v>
      </c>
      <c r="K98">
        <f>'REGIÃO 02 - HISTÓRICO'!G52</f>
        <v>9.8299999999580905</v>
      </c>
      <c r="L98" t="str">
        <f>IF(OR('REGIÃO 02 - RESUMO'!L52="",'REGIÃO 02 - RESUMO'!L52=0),"",'REGIÃO 02 - RESUMO'!L52)</f>
        <v>Concluída</v>
      </c>
      <c r="M98">
        <f>'REGIÃO 02 - HISTÓRICO'!J52</f>
        <v>0</v>
      </c>
      <c r="N98">
        <f>'REGIÃO 02 - HISTÓRICO'!L52</f>
        <v>0</v>
      </c>
      <c r="O98">
        <f>'REGIÃO 02 - HISTÓRICO'!N52</f>
        <v>0</v>
      </c>
      <c r="P98">
        <f>'REGIÃO 02 - HISTÓRICO'!P52</f>
        <v>0</v>
      </c>
      <c r="Q98">
        <f>'REGIÃO 02 - HISTÓRICO'!R52</f>
        <v>0</v>
      </c>
      <c r="R98">
        <f>'REGIÃO 02 - HISTÓRICO'!T52</f>
        <v>0</v>
      </c>
      <c r="S98">
        <f>'REGIÃO 02 - HISTÓRICO'!V52</f>
        <v>491307.65</v>
      </c>
      <c r="T98">
        <f>'REGIÃO 02 - HISTÓRICO'!X52</f>
        <v>0</v>
      </c>
      <c r="U98">
        <f>'REGIÃO 02 - HISTÓRICO'!Z52</f>
        <v>0</v>
      </c>
      <c r="V98">
        <f>'REGIÃO 02 - HISTÓRICO'!AB52</f>
        <v>0</v>
      </c>
      <c r="W98">
        <f>'REGIÃO 02 - HISTÓRICO'!AD52</f>
        <v>0</v>
      </c>
      <c r="X98">
        <f>'REGIÃO 02 - HISTÓRICO'!AF52</f>
        <v>0</v>
      </c>
      <c r="AF98" s="91" t="str">
        <f t="shared" si="18"/>
        <v>R02</v>
      </c>
      <c r="AG98" t="str">
        <f t="shared" si="19"/>
        <v>014.2025.0134</v>
      </c>
      <c r="AH98">
        <f t="shared" si="20"/>
        <v>491317.48</v>
      </c>
      <c r="AI98">
        <f t="shared" si="21"/>
        <v>491317.47990199999</v>
      </c>
      <c r="AJ98">
        <f t="shared" si="22"/>
        <v>29</v>
      </c>
    </row>
    <row r="99" spans="2:36" x14ac:dyDescent="0.3">
      <c r="B99" s="91" t="str">
        <f>'REGIÃO 02 - RESUMO'!C53</f>
        <v>R02</v>
      </c>
      <c r="C99" t="str">
        <f>'REGIÃO 02 - RESUMO'!D53</f>
        <v>014.2025</v>
      </c>
      <c r="D99" s="92">
        <f>'REGIÃO 02 - RESUMO'!E53</f>
        <v>135</v>
      </c>
      <c r="E99" s="91" t="str">
        <f>'REGIÃO 02 - RESUMO'!F53</f>
        <v>Julho</v>
      </c>
      <c r="F99" s="93">
        <f>'REGIÃO 02 - RESUMO'!H53</f>
        <v>54</v>
      </c>
      <c r="G99" t="str">
        <f>'REGIÃO 02 - RESUMO'!I53</f>
        <v>RODOVIA TO-230 - TRECHO ARAPOEMA - PAU D'ARCO (DIVISA TO-PA)</v>
      </c>
      <c r="H99" s="91" t="str">
        <f>'REGIÃO 02 - RESUMO'!J53</f>
        <v xml:space="preserve"> Roçada / Caiação de EDS e pontes</v>
      </c>
      <c r="I99">
        <f>'REGIÃO 02 - RESUMO'!K53</f>
        <v>15198.08</v>
      </c>
      <c r="J99">
        <f>'REGIÃO 02 - HISTÓRICO'!F53</f>
        <v>15193.04</v>
      </c>
      <c r="K99">
        <f>'REGIÃO 02 - HISTÓRICO'!G53</f>
        <v>5.0399999999990541</v>
      </c>
      <c r="L99" t="str">
        <f>IF(OR('REGIÃO 02 - RESUMO'!L53="",'REGIÃO 02 - RESUMO'!L53=0),"",'REGIÃO 02 - RESUMO'!L53)</f>
        <v>Concluída</v>
      </c>
      <c r="M99">
        <f>'REGIÃO 02 - HISTÓRICO'!J53</f>
        <v>0</v>
      </c>
      <c r="N99">
        <f>'REGIÃO 02 - HISTÓRICO'!L53</f>
        <v>0</v>
      </c>
      <c r="O99">
        <f>'REGIÃO 02 - HISTÓRICO'!N53</f>
        <v>0</v>
      </c>
      <c r="P99">
        <f>'REGIÃO 02 - HISTÓRICO'!P53</f>
        <v>0</v>
      </c>
      <c r="Q99">
        <f>'REGIÃO 02 - HISTÓRICO'!R53</f>
        <v>0</v>
      </c>
      <c r="R99">
        <f>'REGIÃO 02 - HISTÓRICO'!T53</f>
        <v>0</v>
      </c>
      <c r="S99">
        <f>'REGIÃO 02 - HISTÓRICO'!V53</f>
        <v>0</v>
      </c>
      <c r="T99">
        <f>'REGIÃO 02 - HISTÓRICO'!X53</f>
        <v>15193.04</v>
      </c>
      <c r="U99">
        <f>'REGIÃO 02 - HISTÓRICO'!Z53</f>
        <v>0</v>
      </c>
      <c r="V99">
        <f>'REGIÃO 02 - HISTÓRICO'!AB53</f>
        <v>0</v>
      </c>
      <c r="W99">
        <f>'REGIÃO 02 - HISTÓRICO'!AD53</f>
        <v>0</v>
      </c>
      <c r="X99">
        <f>'REGIÃO 02 - HISTÓRICO'!AF53</f>
        <v>0</v>
      </c>
      <c r="AF99" s="91" t="str">
        <f t="shared" si="18"/>
        <v>R02</v>
      </c>
      <c r="AG99" t="str">
        <f t="shared" si="19"/>
        <v>014.2025.0135</v>
      </c>
      <c r="AH99">
        <f t="shared" si="20"/>
        <v>15198.08</v>
      </c>
      <c r="AI99">
        <f t="shared" si="21"/>
        <v>15198.079900999999</v>
      </c>
      <c r="AJ99">
        <f t="shared" si="22"/>
        <v>124</v>
      </c>
    </row>
    <row r="100" spans="2:36" x14ac:dyDescent="0.3">
      <c r="B100" s="91" t="str">
        <f>'REGIÃO 02 - RESUMO'!C54</f>
        <v>R02</v>
      </c>
      <c r="C100" t="str">
        <f>'REGIÃO 02 - RESUMO'!D54</f>
        <v>014.2025</v>
      </c>
      <c r="D100" s="92">
        <f>'REGIÃO 02 - RESUMO'!E54</f>
        <v>136</v>
      </c>
      <c r="E100" s="91" t="str">
        <f>'REGIÃO 02 - RESUMO'!F54</f>
        <v>Julho</v>
      </c>
      <c r="F100" s="93">
        <f>'REGIÃO 02 - RESUMO'!H54</f>
        <v>55</v>
      </c>
      <c r="G100" t="str">
        <f>'REGIÃO 02 - RESUMO'!I54</f>
        <v>RODOVIA TO-230 - TRECHO BANDEIRANTES DO TOCANTINS - ARAPOEMA</v>
      </c>
      <c r="H100" s="91" t="str">
        <f>'REGIÃO 02 - RESUMO'!J54</f>
        <v>Roçada</v>
      </c>
      <c r="I100">
        <f>'REGIÃO 02 - RESUMO'!K54</f>
        <v>24522.69</v>
      </c>
      <c r="J100">
        <f>'REGIÃO 02 - HISTÓRICO'!F54</f>
        <v>24517.65</v>
      </c>
      <c r="K100">
        <f>'REGIÃO 02 - HISTÓRICO'!G54</f>
        <v>5.0399999999972351</v>
      </c>
      <c r="L100" t="str">
        <f>IF(OR('REGIÃO 02 - RESUMO'!L54="",'REGIÃO 02 - RESUMO'!L54=0),"",'REGIÃO 02 - RESUMO'!L54)</f>
        <v>Concluída</v>
      </c>
      <c r="M100">
        <f>'REGIÃO 02 - HISTÓRICO'!J54</f>
        <v>0</v>
      </c>
      <c r="N100">
        <f>'REGIÃO 02 - HISTÓRICO'!L54</f>
        <v>0</v>
      </c>
      <c r="O100">
        <f>'REGIÃO 02 - HISTÓRICO'!N54</f>
        <v>0</v>
      </c>
      <c r="P100">
        <f>'REGIÃO 02 - HISTÓRICO'!P54</f>
        <v>0</v>
      </c>
      <c r="Q100">
        <f>'REGIÃO 02 - HISTÓRICO'!R54</f>
        <v>0</v>
      </c>
      <c r="R100">
        <f>'REGIÃO 02 - HISTÓRICO'!T54</f>
        <v>0</v>
      </c>
      <c r="S100">
        <f>'REGIÃO 02 - HISTÓRICO'!V54</f>
        <v>0</v>
      </c>
      <c r="T100">
        <f>'REGIÃO 02 - HISTÓRICO'!X54</f>
        <v>24517.65</v>
      </c>
      <c r="U100">
        <f>'REGIÃO 02 - HISTÓRICO'!Z54</f>
        <v>0</v>
      </c>
      <c r="V100">
        <f>'REGIÃO 02 - HISTÓRICO'!AB54</f>
        <v>0</v>
      </c>
      <c r="W100">
        <f>'REGIÃO 02 - HISTÓRICO'!AD54</f>
        <v>0</v>
      </c>
      <c r="X100">
        <f>'REGIÃO 02 - HISTÓRICO'!AF54</f>
        <v>0</v>
      </c>
      <c r="AF100" s="91" t="str">
        <f t="shared" ref="AF100:AF131" si="23">$B100</f>
        <v>R02</v>
      </c>
      <c r="AG100" t="str">
        <f t="shared" ref="AG100:AG131" si="24">$C100&amp;"."&amp;TEXT($D100,"0000")</f>
        <v>014.2025.0136</v>
      </c>
      <c r="AH100">
        <f t="shared" ref="AH100:AH131" si="25">IF(OR($Z$1="*",COUNTIF($B100,$Z$1)=1),$I100,-1)</f>
        <v>24522.69</v>
      </c>
      <c r="AI100">
        <f t="shared" ref="AI100:AI131" si="26">IF($AH100&lt;0,"",$AH100-ROW()/1000000)</f>
        <v>24522.689899999998</v>
      </c>
      <c r="AJ100">
        <f t="shared" ref="AJ100:AJ131" si="27">IFERROR(RANK($AI100,$AI$4:$AI$166),"")</f>
        <v>111</v>
      </c>
    </row>
    <row r="101" spans="2:36" x14ac:dyDescent="0.3">
      <c r="B101" s="91" t="str">
        <f>'REGIÃO 02 - RESUMO'!C55</f>
        <v>R02</v>
      </c>
      <c r="C101" t="str">
        <f>'REGIÃO 02 - RESUMO'!D55</f>
        <v>014.2025</v>
      </c>
      <c r="D101" s="92">
        <f>'REGIÃO 02 - RESUMO'!E55</f>
        <v>137</v>
      </c>
      <c r="E101" s="91" t="str">
        <f>'REGIÃO 02 - RESUMO'!F55</f>
        <v>Julho</v>
      </c>
      <c r="F101" s="93">
        <f>'REGIÃO 02 - RESUMO'!H55</f>
        <v>56</v>
      </c>
      <c r="G101" t="str">
        <f>'REGIÃO 02 - RESUMO'!I55</f>
        <v>RODOVIA TO-230 - TRECHO ENTR. BR-153 - BANDEIRANTES DO TOCANTINS</v>
      </c>
      <c r="H101" s="91" t="str">
        <f>'REGIÃO 02 - RESUMO'!J55</f>
        <v>Roçada</v>
      </c>
      <c r="I101">
        <f>'REGIÃO 02 - RESUMO'!K55</f>
        <v>6270.18</v>
      </c>
      <c r="J101">
        <f>'REGIÃO 02 - HISTÓRICO'!F55</f>
        <v>6270.18</v>
      </c>
      <c r="K101">
        <f>'REGIÃO 02 - HISTÓRICO'!G55</f>
        <v>0</v>
      </c>
      <c r="L101" t="str">
        <f>IF(OR('REGIÃO 02 - RESUMO'!L55="",'REGIÃO 02 - RESUMO'!L55=0),"",'REGIÃO 02 - RESUMO'!L55)</f>
        <v>Concluída</v>
      </c>
      <c r="M101">
        <f>'REGIÃO 02 - HISTÓRICO'!J55</f>
        <v>0</v>
      </c>
      <c r="N101">
        <f>'REGIÃO 02 - HISTÓRICO'!L55</f>
        <v>0</v>
      </c>
      <c r="O101">
        <f>'REGIÃO 02 - HISTÓRICO'!N55</f>
        <v>0</v>
      </c>
      <c r="P101">
        <f>'REGIÃO 02 - HISTÓRICO'!P55</f>
        <v>0</v>
      </c>
      <c r="Q101">
        <f>'REGIÃO 02 - HISTÓRICO'!R55</f>
        <v>0</v>
      </c>
      <c r="R101">
        <f>'REGIÃO 02 - HISTÓRICO'!T55</f>
        <v>0</v>
      </c>
      <c r="S101">
        <f>'REGIÃO 02 - HISTÓRICO'!V55</f>
        <v>0</v>
      </c>
      <c r="T101">
        <f>'REGIÃO 02 - HISTÓRICO'!X55</f>
        <v>6270.18</v>
      </c>
      <c r="U101">
        <f>'REGIÃO 02 - HISTÓRICO'!Z55</f>
        <v>0</v>
      </c>
      <c r="V101">
        <f>'REGIÃO 02 - HISTÓRICO'!AB55</f>
        <v>0</v>
      </c>
      <c r="W101">
        <f>'REGIÃO 02 - HISTÓRICO'!AD55</f>
        <v>0</v>
      </c>
      <c r="X101">
        <f>'REGIÃO 02 - HISTÓRICO'!AF55</f>
        <v>0</v>
      </c>
      <c r="AF101" s="91" t="str">
        <f t="shared" si="23"/>
        <v>R02</v>
      </c>
      <c r="AG101" t="str">
        <f t="shared" si="24"/>
        <v>014.2025.0137</v>
      </c>
      <c r="AH101">
        <f t="shared" si="25"/>
        <v>6270.18</v>
      </c>
      <c r="AI101">
        <f t="shared" si="26"/>
        <v>6270.1798990000007</v>
      </c>
      <c r="AJ101">
        <f t="shared" si="27"/>
        <v>139</v>
      </c>
    </row>
    <row r="102" spans="2:36" x14ac:dyDescent="0.3">
      <c r="B102" s="91" t="str">
        <f>'REGIÃO 02 - RESUMO'!C56</f>
        <v>R02</v>
      </c>
      <c r="C102" t="str">
        <f>'REGIÃO 02 - RESUMO'!D56</f>
        <v>014.2025</v>
      </c>
      <c r="D102" s="92">
        <f>'REGIÃO 02 - RESUMO'!E56</f>
        <v>138</v>
      </c>
      <c r="E102" s="91" t="str">
        <f>'REGIÃO 02 - RESUMO'!F56</f>
        <v>Agosto</v>
      </c>
      <c r="F102" s="93">
        <f>'REGIÃO 02 - RESUMO'!H56</f>
        <v>47</v>
      </c>
      <c r="G102" t="str">
        <f>'REGIÃO 02 - RESUMO'!I56</f>
        <v>RODOVIA TO-164 - TRECHO MURICILÂNDIA - ENTR. TO-226</v>
      </c>
      <c r="H102" s="91" t="str">
        <f>'REGIÃO 02 - RESUMO'!J56</f>
        <v>Terraplenagem / Reconformação da plataforma</v>
      </c>
      <c r="I102">
        <f>'REGIÃO 02 - RESUMO'!K56</f>
        <v>81472.100000000006</v>
      </c>
      <c r="J102">
        <f>'REGIÃO 02 - HISTÓRICO'!F56</f>
        <v>0</v>
      </c>
      <c r="K102">
        <f>'REGIÃO 02 - HISTÓRICO'!G56</f>
        <v>81472.100000000006</v>
      </c>
      <c r="L102" t="str">
        <f>IF(OR('REGIÃO 02 - RESUMO'!L56="",'REGIÃO 02 - RESUMO'!L56=0),"",'REGIÃO 02 - RESUMO'!L56)</f>
        <v>Justificada</v>
      </c>
      <c r="M102">
        <f>'REGIÃO 02 - HISTÓRICO'!J56</f>
        <v>0</v>
      </c>
      <c r="N102">
        <f>'REGIÃO 02 - HISTÓRICO'!L56</f>
        <v>0</v>
      </c>
      <c r="O102">
        <f>'REGIÃO 02 - HISTÓRICO'!N56</f>
        <v>0</v>
      </c>
      <c r="P102">
        <f>'REGIÃO 02 - HISTÓRICO'!P56</f>
        <v>0</v>
      </c>
      <c r="Q102">
        <f>'REGIÃO 02 - HISTÓRICO'!R56</f>
        <v>0</v>
      </c>
      <c r="R102">
        <f>'REGIÃO 02 - HISTÓRICO'!T56</f>
        <v>0</v>
      </c>
      <c r="S102">
        <f>'REGIÃO 02 - HISTÓRICO'!V56</f>
        <v>0</v>
      </c>
      <c r="T102">
        <f>'REGIÃO 02 - HISTÓRICO'!X56</f>
        <v>0</v>
      </c>
      <c r="U102">
        <f>'REGIÃO 02 - HISTÓRICO'!Z56</f>
        <v>0</v>
      </c>
      <c r="V102">
        <f>'REGIÃO 02 - HISTÓRICO'!AB56</f>
        <v>0</v>
      </c>
      <c r="W102">
        <f>'REGIÃO 02 - HISTÓRICO'!AD56</f>
        <v>0</v>
      </c>
      <c r="X102">
        <f>'REGIÃO 02 - HISTÓRICO'!AF56</f>
        <v>0</v>
      </c>
      <c r="AF102" s="91" t="str">
        <f t="shared" si="23"/>
        <v>R02</v>
      </c>
      <c r="AG102" t="str">
        <f t="shared" si="24"/>
        <v>014.2025.0138</v>
      </c>
      <c r="AH102">
        <f t="shared" si="25"/>
        <v>81472.100000000006</v>
      </c>
      <c r="AI102">
        <f t="shared" si="26"/>
        <v>81472.099898</v>
      </c>
      <c r="AJ102">
        <f t="shared" si="27"/>
        <v>74</v>
      </c>
    </row>
    <row r="103" spans="2:36" x14ac:dyDescent="0.3">
      <c r="B103" s="91" t="str">
        <f>'REGIÃO 02 - RESUMO'!C57</f>
        <v>R02</v>
      </c>
      <c r="C103" t="str">
        <f>'REGIÃO 02 - RESUMO'!D57</f>
        <v>014.2025</v>
      </c>
      <c r="D103" s="92">
        <f>'REGIÃO 02 - RESUMO'!E57</f>
        <v>139</v>
      </c>
      <c r="E103" s="91" t="str">
        <f>'REGIÃO 02 - RESUMO'!F57</f>
        <v>Julho</v>
      </c>
      <c r="F103" s="93">
        <f>'REGIÃO 02 - RESUMO'!H57</f>
        <v>49</v>
      </c>
      <c r="G103" t="str">
        <f>'REGIÃO 02 - RESUMO'!I57</f>
        <v>RODOVIA TO-166 - TRECHO ENTR. TO-222 - ENTR. TO-226 - ARAPOEMA</v>
      </c>
      <c r="H103" s="91" t="str">
        <f>'REGIÃO 02 - RESUMO'!J57</f>
        <v>Terraplenagem / Reconformação da plataforma / Recomposição do revestimento primário</v>
      </c>
      <c r="I103">
        <f>'REGIÃO 02 - RESUMO'!K57</f>
        <v>1088713.07</v>
      </c>
      <c r="J103">
        <f>'REGIÃO 02 - HISTÓRICO'!F57</f>
        <v>789038.84</v>
      </c>
      <c r="K103">
        <f>'REGIÃO 02 - HISTÓRICO'!G57</f>
        <v>299674.2300000001</v>
      </c>
      <c r="L103" t="str">
        <f>IF(OR('REGIÃO 02 - RESUMO'!L57="",'REGIÃO 02 - RESUMO'!L57=0),"",'REGIÃO 02 - RESUMO'!L57)</f>
        <v>Em andamento</v>
      </c>
      <c r="M103">
        <f>'REGIÃO 02 - HISTÓRICO'!J57</f>
        <v>0</v>
      </c>
      <c r="N103">
        <f>'REGIÃO 02 - HISTÓRICO'!L57</f>
        <v>0</v>
      </c>
      <c r="O103">
        <f>'REGIÃO 02 - HISTÓRICO'!N57</f>
        <v>0</v>
      </c>
      <c r="P103">
        <f>'REGIÃO 02 - HISTÓRICO'!P57</f>
        <v>0</v>
      </c>
      <c r="Q103">
        <f>'REGIÃO 02 - HISTÓRICO'!R57</f>
        <v>0</v>
      </c>
      <c r="R103">
        <f>'REGIÃO 02 - HISTÓRICO'!T57</f>
        <v>0</v>
      </c>
      <c r="S103">
        <f>'REGIÃO 02 - HISTÓRICO'!V57</f>
        <v>626171.61</v>
      </c>
      <c r="T103">
        <f>'REGIÃO 02 - HISTÓRICO'!X57</f>
        <v>162867.23000000001</v>
      </c>
      <c r="U103">
        <f>'REGIÃO 02 - HISTÓRICO'!Z57</f>
        <v>0</v>
      </c>
      <c r="V103">
        <f>'REGIÃO 02 - HISTÓRICO'!AB57</f>
        <v>0</v>
      </c>
      <c r="W103">
        <f>'REGIÃO 02 - HISTÓRICO'!AD57</f>
        <v>0</v>
      </c>
      <c r="X103">
        <f>'REGIÃO 02 - HISTÓRICO'!AF57</f>
        <v>0</v>
      </c>
      <c r="AF103" s="91" t="str">
        <f t="shared" si="23"/>
        <v>R02</v>
      </c>
      <c r="AG103" t="str">
        <f t="shared" si="24"/>
        <v>014.2025.0139</v>
      </c>
      <c r="AH103">
        <f t="shared" si="25"/>
        <v>1088713.07</v>
      </c>
      <c r="AI103">
        <f t="shared" si="26"/>
        <v>1088713.069897</v>
      </c>
      <c r="AJ103">
        <f t="shared" si="27"/>
        <v>14</v>
      </c>
    </row>
    <row r="104" spans="2:36" x14ac:dyDescent="0.3">
      <c r="B104" s="91" t="str">
        <f>'REGIÃO 02 - RESUMO'!C58</f>
        <v>R02</v>
      </c>
      <c r="C104" t="str">
        <f>'REGIÃO 02 - RESUMO'!D58</f>
        <v>014.2025</v>
      </c>
      <c r="D104" s="92">
        <f>'REGIÃO 02 - RESUMO'!E58</f>
        <v>140</v>
      </c>
      <c r="E104" s="91" t="str">
        <f>'REGIÃO 02 - RESUMO'!F58</f>
        <v>Julho</v>
      </c>
      <c r="F104" s="93">
        <f>'REGIÃO 02 - RESUMO'!H58</f>
        <v>39</v>
      </c>
      <c r="G104" t="str">
        <f>'REGIÃO 02 - RESUMO'!I58</f>
        <v>RODOVIA TO-010 - TRECHO RIACHINHO - ANANÁS</v>
      </c>
      <c r="H104" s="91" t="str">
        <f>'REGIÃO 02 - RESUMO'!J58</f>
        <v>Tapa-Buraco PMF</v>
      </c>
      <c r="I104">
        <f>'REGIÃO 02 - RESUMO'!K58</f>
        <v>193097.45</v>
      </c>
      <c r="J104">
        <f>'REGIÃO 02 - HISTÓRICO'!F58</f>
        <v>167350.28</v>
      </c>
      <c r="K104">
        <f>'REGIÃO 02 - HISTÓRICO'!G58</f>
        <v>25747.170000000013</v>
      </c>
      <c r="L104" t="str">
        <f>IF(OR('REGIÃO 02 - RESUMO'!L58="",'REGIÃO 02 - RESUMO'!L58=0),"",'REGIÃO 02 - RESUMO'!L58)</f>
        <v>Concluída</v>
      </c>
      <c r="M104">
        <f>'REGIÃO 02 - HISTÓRICO'!J58</f>
        <v>0</v>
      </c>
      <c r="N104">
        <f>'REGIÃO 02 - HISTÓRICO'!L58</f>
        <v>0</v>
      </c>
      <c r="O104">
        <f>'REGIÃO 02 - HISTÓRICO'!N58</f>
        <v>0</v>
      </c>
      <c r="P104">
        <f>'REGIÃO 02 - HISTÓRICO'!P58</f>
        <v>0</v>
      </c>
      <c r="Q104">
        <f>'REGIÃO 02 - HISTÓRICO'!R58</f>
        <v>0</v>
      </c>
      <c r="R104">
        <f>'REGIÃO 02 - HISTÓRICO'!T58</f>
        <v>0</v>
      </c>
      <c r="S104">
        <f>'REGIÃO 02 - HISTÓRICO'!V58</f>
        <v>167350.28</v>
      </c>
      <c r="T104">
        <f>'REGIÃO 02 - HISTÓRICO'!X58</f>
        <v>0</v>
      </c>
      <c r="U104">
        <f>'REGIÃO 02 - HISTÓRICO'!Z58</f>
        <v>0</v>
      </c>
      <c r="V104">
        <f>'REGIÃO 02 - HISTÓRICO'!AB58</f>
        <v>0</v>
      </c>
      <c r="W104">
        <f>'REGIÃO 02 - HISTÓRICO'!AD58</f>
        <v>0</v>
      </c>
      <c r="X104">
        <f>'REGIÃO 02 - HISTÓRICO'!AF58</f>
        <v>0</v>
      </c>
      <c r="AF104" s="91" t="str">
        <f t="shared" si="23"/>
        <v>R02</v>
      </c>
      <c r="AG104" t="str">
        <f t="shared" si="24"/>
        <v>014.2025.0140</v>
      </c>
      <c r="AH104">
        <f t="shared" si="25"/>
        <v>193097.45</v>
      </c>
      <c r="AI104">
        <f t="shared" si="26"/>
        <v>193097.44989600001</v>
      </c>
      <c r="AJ104">
        <f t="shared" si="27"/>
        <v>55</v>
      </c>
    </row>
    <row r="105" spans="2:36" x14ac:dyDescent="0.3">
      <c r="B105" s="91" t="str">
        <f>'REGIÃO 02 - RESUMO'!C59</f>
        <v>R02</v>
      </c>
      <c r="C105" t="str">
        <f>'REGIÃO 02 - RESUMO'!D59</f>
        <v>014.2025</v>
      </c>
      <c r="D105" s="92">
        <f>'REGIÃO 02 - RESUMO'!E59</f>
        <v>141</v>
      </c>
      <c r="E105" t="str">
        <f>'REGIÃO 02 - RESUMO'!F59</f>
        <v>Agosto</v>
      </c>
      <c r="F105" s="93">
        <f>'REGIÃO 02 - RESUMO'!H59</f>
        <v>44</v>
      </c>
      <c r="G105" t="str">
        <f>'REGIÃO 02 - RESUMO'!I59</f>
        <v>RODOVIA TO-164 - TRECHO ARAGUANÃ - CARMOLÂNDIA</v>
      </c>
      <c r="H105" s="91" t="str">
        <f>'REGIÃO 02 - RESUMO'!J59</f>
        <v>Roçada</v>
      </c>
      <c r="I105">
        <f>'REGIÃO 02 - RESUMO'!K59</f>
        <v>73957.52</v>
      </c>
      <c r="J105">
        <f>'REGIÃO 02 - HISTÓRICO'!F59</f>
        <v>0</v>
      </c>
      <c r="K105">
        <f>'REGIÃO 02 - HISTÓRICO'!G59</f>
        <v>73957.52</v>
      </c>
      <c r="L105" t="str">
        <f>IF(OR('REGIÃO 02 - RESUMO'!L59="",'REGIÃO 02 - RESUMO'!L59=0),"",'REGIÃO 02 - RESUMO'!L59)</f>
        <v>Correção Fiscal</v>
      </c>
      <c r="M105">
        <f>'REGIÃO 02 - HISTÓRICO'!J59</f>
        <v>0</v>
      </c>
      <c r="N105">
        <f>'REGIÃO 02 - HISTÓRICO'!L59</f>
        <v>0</v>
      </c>
      <c r="O105">
        <f>'REGIÃO 02 - HISTÓRICO'!N59</f>
        <v>0</v>
      </c>
      <c r="P105">
        <f>'REGIÃO 02 - HISTÓRICO'!P59</f>
        <v>0</v>
      </c>
      <c r="Q105">
        <f>'REGIÃO 02 - HISTÓRICO'!R59</f>
        <v>0</v>
      </c>
      <c r="R105">
        <f>'REGIÃO 02 - HISTÓRICO'!T59</f>
        <v>0</v>
      </c>
      <c r="S105">
        <f>'REGIÃO 02 - HISTÓRICO'!V59</f>
        <v>0</v>
      </c>
      <c r="T105">
        <f>'REGIÃO 02 - HISTÓRICO'!X59</f>
        <v>0</v>
      </c>
      <c r="U105">
        <f>'REGIÃO 02 - HISTÓRICO'!Z59</f>
        <v>0</v>
      </c>
      <c r="V105">
        <f>'REGIÃO 02 - HISTÓRICO'!AB59</f>
        <v>0</v>
      </c>
      <c r="W105">
        <f>'REGIÃO 02 - HISTÓRICO'!AD59</f>
        <v>0</v>
      </c>
      <c r="X105">
        <f>'REGIÃO 02 - HISTÓRICO'!AF59</f>
        <v>0</v>
      </c>
      <c r="AF105" s="91" t="str">
        <f t="shared" si="23"/>
        <v>R02</v>
      </c>
      <c r="AG105" t="str">
        <f t="shared" si="24"/>
        <v>014.2025.0141</v>
      </c>
      <c r="AH105">
        <f t="shared" si="25"/>
        <v>73957.52</v>
      </c>
      <c r="AI105">
        <f t="shared" si="26"/>
        <v>73957.519895000005</v>
      </c>
      <c r="AJ105">
        <f t="shared" si="27"/>
        <v>78</v>
      </c>
    </row>
    <row r="106" spans="2:36" x14ac:dyDescent="0.3">
      <c r="B106" s="91" t="str">
        <f>'REGIÃO 02 - RESUMO'!C60</f>
        <v>R02</v>
      </c>
      <c r="C106" t="str">
        <f>'REGIÃO 02 - RESUMO'!D60</f>
        <v>014.2025</v>
      </c>
      <c r="D106" s="92">
        <f>'REGIÃO 02 - RESUMO'!E60</f>
        <v>142</v>
      </c>
      <c r="E106" t="str">
        <f>'REGIÃO 02 - RESUMO'!F60</f>
        <v>Agosto</v>
      </c>
      <c r="F106" s="93">
        <f>'REGIÃO 02 - RESUMO'!H60</f>
        <v>56</v>
      </c>
      <c r="G106" t="str">
        <f>'REGIÃO 02 - RESUMO'!I60</f>
        <v>RODOVIA TO-230 - TRECHO ENTR. BR-153 - BANDEIRANTES DO TOCANTINS</v>
      </c>
      <c r="H106" s="91" t="str">
        <f>'REGIÃO 02 - RESUMO'!J60</f>
        <v>Roçada</v>
      </c>
      <c r="I106">
        <f>'REGIÃO 02 - RESUMO'!K60</f>
        <v>23329.32</v>
      </c>
      <c r="J106">
        <f>'REGIÃO 02 - HISTÓRICO'!F60</f>
        <v>0</v>
      </c>
      <c r="K106">
        <f>'REGIÃO 02 - HISTÓRICO'!G60</f>
        <v>23329.32</v>
      </c>
      <c r="L106" t="str">
        <f>IF(OR('REGIÃO 02 - RESUMO'!L60="",'REGIÃO 02 - RESUMO'!L60=0),"",'REGIÃO 02 - RESUMO'!L60)</f>
        <v>Correção Fiscal</v>
      </c>
      <c r="M106">
        <f>'REGIÃO 02 - HISTÓRICO'!J60</f>
        <v>0</v>
      </c>
      <c r="N106">
        <f>'REGIÃO 02 - HISTÓRICO'!L60</f>
        <v>0</v>
      </c>
      <c r="O106">
        <f>'REGIÃO 02 - HISTÓRICO'!N60</f>
        <v>0</v>
      </c>
      <c r="P106">
        <f>'REGIÃO 02 - HISTÓRICO'!P60</f>
        <v>0</v>
      </c>
      <c r="Q106">
        <f>'REGIÃO 02 - HISTÓRICO'!R60</f>
        <v>0</v>
      </c>
      <c r="R106">
        <f>'REGIÃO 02 - HISTÓRICO'!T60</f>
        <v>0</v>
      </c>
      <c r="S106">
        <f>'REGIÃO 02 - HISTÓRICO'!V60</f>
        <v>0</v>
      </c>
      <c r="T106">
        <f>'REGIÃO 02 - HISTÓRICO'!X60</f>
        <v>0</v>
      </c>
      <c r="U106">
        <f>'REGIÃO 02 - HISTÓRICO'!Z60</f>
        <v>0</v>
      </c>
      <c r="V106">
        <f>'REGIÃO 02 - HISTÓRICO'!AB60</f>
        <v>0</v>
      </c>
      <c r="W106">
        <f>'REGIÃO 02 - HISTÓRICO'!AD60</f>
        <v>0</v>
      </c>
      <c r="X106">
        <f>'REGIÃO 02 - HISTÓRICO'!AF60</f>
        <v>0</v>
      </c>
      <c r="AF106" s="91" t="str">
        <f t="shared" si="23"/>
        <v>R02</v>
      </c>
      <c r="AG106" t="str">
        <f t="shared" si="24"/>
        <v>014.2025.0142</v>
      </c>
      <c r="AH106">
        <f t="shared" si="25"/>
        <v>23329.32</v>
      </c>
      <c r="AI106">
        <f t="shared" si="26"/>
        <v>23329.319894</v>
      </c>
      <c r="AJ106">
        <f t="shared" si="27"/>
        <v>116</v>
      </c>
    </row>
    <row r="107" spans="2:36" x14ac:dyDescent="0.3">
      <c r="B107" t="str">
        <f>'REGIÃO 02 - RESUMO'!C61</f>
        <v>R02</v>
      </c>
      <c r="C107" t="str">
        <f>'REGIÃO 02 - RESUMO'!D61</f>
        <v>014.2025</v>
      </c>
      <c r="D107" s="92">
        <f>'REGIÃO 02 - RESUMO'!E61</f>
        <v>143</v>
      </c>
      <c r="E107" t="str">
        <f>'REGIÃO 02 - RESUMO'!F61</f>
        <v>Agosto</v>
      </c>
      <c r="F107" s="93">
        <f>'REGIÃO 02 - RESUMO'!H61</f>
        <v>46</v>
      </c>
      <c r="G107" t="str">
        <f>'REGIÃO 02 - RESUMO'!I61</f>
        <v>RODOVIA TO-164 - TRECHO ENTR. TO-226 - POVOADO DEZENOVE - BERNARDO SAYÃO</v>
      </c>
      <c r="H107" t="str">
        <f>'REGIÃO 02 - RESUMO'!J61</f>
        <v>Roçada</v>
      </c>
      <c r="I107">
        <f>'REGIÃO 02 - RESUMO'!K61</f>
        <v>52496.04</v>
      </c>
      <c r="J107">
        <f>'REGIÃO 02 - HISTÓRICO'!F61</f>
        <v>22711.29</v>
      </c>
      <c r="K107">
        <f>'REGIÃO 02 - HISTÓRICO'!G61</f>
        <v>29784.75</v>
      </c>
      <c r="L107" s="93" t="str">
        <f>IF(OR('REGIÃO 02 - RESUMO'!L61="",'REGIÃO 02 - RESUMO'!L61=0),"",'REGIÃO 02 - RESUMO'!L61)</f>
        <v>Em andamento</v>
      </c>
      <c r="M107">
        <f>'REGIÃO 02 - HISTÓRICO'!J61</f>
        <v>0</v>
      </c>
      <c r="N107">
        <f>'REGIÃO 02 - HISTÓRICO'!L61</f>
        <v>0</v>
      </c>
      <c r="O107">
        <f>'REGIÃO 02 - HISTÓRICO'!N61</f>
        <v>0</v>
      </c>
      <c r="P107">
        <f>'REGIÃO 02 - HISTÓRICO'!P61</f>
        <v>0</v>
      </c>
      <c r="Q107">
        <f>'REGIÃO 02 - HISTÓRICO'!R61</f>
        <v>0</v>
      </c>
      <c r="R107">
        <f>'REGIÃO 02 - HISTÓRICO'!T61</f>
        <v>0</v>
      </c>
      <c r="S107">
        <f>'REGIÃO 02 - HISTÓRICO'!V61</f>
        <v>0</v>
      </c>
      <c r="T107">
        <f>'REGIÃO 02 - HISTÓRICO'!X61</f>
        <v>22711.29</v>
      </c>
      <c r="U107">
        <f>'REGIÃO 02 - HISTÓRICO'!Z61</f>
        <v>0</v>
      </c>
      <c r="V107">
        <f>'REGIÃO 02 - HISTÓRICO'!AB61</f>
        <v>0</v>
      </c>
      <c r="W107">
        <f>'REGIÃO 02 - HISTÓRICO'!AD61</f>
        <v>0</v>
      </c>
      <c r="X107">
        <f>'REGIÃO 02 - HISTÓRICO'!AF61</f>
        <v>0</v>
      </c>
      <c r="AF107" t="str">
        <f t="shared" si="23"/>
        <v>R02</v>
      </c>
      <c r="AG107" t="str">
        <f t="shared" si="24"/>
        <v>014.2025.0143</v>
      </c>
      <c r="AH107">
        <f t="shared" si="25"/>
        <v>52496.04</v>
      </c>
      <c r="AI107">
        <f t="shared" si="26"/>
        <v>52496.039893000001</v>
      </c>
      <c r="AJ107">
        <f t="shared" si="27"/>
        <v>89</v>
      </c>
    </row>
    <row r="108" spans="2:36" x14ac:dyDescent="0.3">
      <c r="B108" s="91" t="str">
        <f>'REGIÃO 03 - RESUMO'!C4</f>
        <v>R03 L</v>
      </c>
      <c r="C108" t="str">
        <f>'REGIÃO 03 - RESUMO'!D4</f>
        <v>002.2025</v>
      </c>
      <c r="D108" s="92">
        <f>'REGIÃO 03 - RESUMO'!E4</f>
        <v>25</v>
      </c>
      <c r="E108" s="91" t="str">
        <f>'REGIÃO 03 - RESUMO'!F4</f>
        <v>Janeiro</v>
      </c>
      <c r="F108" s="93">
        <f>'REGIÃO 03 - RESUMO'!H4</f>
        <v>68</v>
      </c>
      <c r="G108" t="str">
        <f>'REGIÃO 03 - RESUMO'!I4</f>
        <v>RODOVIA TO-010 - TRECHO PALMEIRANTE - ENTR. TO-222 (POVOADO BIELÂNDIA)</v>
      </c>
      <c r="H108" s="91" t="str">
        <f>'REGIÃO 03 - RESUMO'!J4</f>
        <v>SERVIÇOS MANUTENÇÃO</v>
      </c>
      <c r="I108">
        <f>'REGIÃO 03 - RESUMO'!K4</f>
        <v>158008.29999999999</v>
      </c>
      <c r="J108">
        <f>'REGIÃO 03 - HISTÓRICO'!F4</f>
        <v>0</v>
      </c>
      <c r="K108">
        <f>'REGIÃO 03 - HISTÓRICO'!G4</f>
        <v>158008.29999999999</v>
      </c>
      <c r="L108" t="str">
        <f>IF(OR('REGIÃO 03 - RESUMO'!L4="",'REGIÃO 03 - RESUMO'!L4=0),"",'REGIÃO 03 - RESUMO'!L4)</f>
        <v>Cancelada</v>
      </c>
      <c r="M108">
        <f>'REGIÃO 03 - HISTÓRICO'!J4</f>
        <v>0</v>
      </c>
      <c r="N108">
        <f>'REGIÃO 03 - HISTÓRICO'!L4</f>
        <v>0</v>
      </c>
      <c r="O108">
        <f>'REGIÃO 03 - HISTÓRICO'!N4</f>
        <v>0</v>
      </c>
      <c r="P108">
        <f>'REGIÃO 03 - HISTÓRICO'!P4</f>
        <v>0</v>
      </c>
      <c r="Q108">
        <f>'REGIÃO 03 - HISTÓRICO'!R4</f>
        <v>0</v>
      </c>
      <c r="R108">
        <f>'REGIÃO 03 - HISTÓRICO'!T4</f>
        <v>0</v>
      </c>
      <c r="S108">
        <f>'REGIÃO 03 - HISTÓRICO'!V4</f>
        <v>0</v>
      </c>
      <c r="T108">
        <f>'REGIÃO 03 - HISTÓRICO'!X4</f>
        <v>0</v>
      </c>
      <c r="U108">
        <f>'REGIÃO 03 - HISTÓRICO'!Z4</f>
        <v>0</v>
      </c>
      <c r="V108">
        <f>'REGIÃO 03 - HISTÓRICO'!AB4</f>
        <v>0</v>
      </c>
      <c r="W108">
        <f>'REGIÃO 03 - HISTÓRICO'!AD4</f>
        <v>0</v>
      </c>
      <c r="X108">
        <f>'REGIÃO 03 - HISTÓRICO'!AF4</f>
        <v>0</v>
      </c>
      <c r="AF108" t="str">
        <f t="shared" si="23"/>
        <v>R03 L</v>
      </c>
      <c r="AG108" t="str">
        <f t="shared" si="24"/>
        <v>002.2025.0025</v>
      </c>
      <c r="AH108">
        <f t="shared" si="25"/>
        <v>158008.29999999999</v>
      </c>
      <c r="AI108">
        <f t="shared" si="26"/>
        <v>158008.29989199998</v>
      </c>
      <c r="AJ108">
        <f t="shared" si="27"/>
        <v>58</v>
      </c>
    </row>
    <row r="109" spans="2:36" x14ac:dyDescent="0.3">
      <c r="B109" t="str">
        <f>'REGIÃO 03 - RESUMO'!C5</f>
        <v>R03 L</v>
      </c>
      <c r="C109" t="str">
        <f>'REGIÃO 03 - RESUMO'!D5</f>
        <v>002.2025</v>
      </c>
      <c r="D109" s="92">
        <f>'REGIÃO 03 - RESUMO'!E5</f>
        <v>26</v>
      </c>
      <c r="E109" t="str">
        <f>'REGIÃO 03 - RESUMO'!F5</f>
        <v>Janeiro</v>
      </c>
      <c r="F109" s="93">
        <f>'REGIÃO 03 - RESUMO'!H5</f>
        <v>70</v>
      </c>
      <c r="G109" t="str">
        <f>'REGIÃO 03 - RESUMO'!I5</f>
        <v>RODOVIA TO-010 - TRECHO BABAÇULÂNDIA - WANDERLÂNDIA</v>
      </c>
      <c r="H109" t="str">
        <f>'REGIÃO 03 - RESUMO'!J5</f>
        <v>SERVIÇOS MANUTENÇÃO</v>
      </c>
      <c r="I109">
        <f>'REGIÃO 03 - RESUMO'!K5</f>
        <v>32996.15</v>
      </c>
      <c r="J109">
        <f>'REGIÃO 03 - HISTÓRICO'!F5</f>
        <v>0</v>
      </c>
      <c r="K109">
        <f>'REGIÃO 03 - HISTÓRICO'!G5</f>
        <v>32996.15</v>
      </c>
      <c r="L109" s="93" t="str">
        <f>IF(OR('REGIÃO 03 - RESUMO'!L5="",'REGIÃO 03 - RESUMO'!L5=0),"",'REGIÃO 03 - RESUMO'!L5)</f>
        <v>Cancelada</v>
      </c>
      <c r="M109">
        <f>'REGIÃO 03 - HISTÓRICO'!J5</f>
        <v>0</v>
      </c>
      <c r="N109">
        <f>'REGIÃO 03 - HISTÓRICO'!L5</f>
        <v>0</v>
      </c>
      <c r="O109">
        <f>'REGIÃO 03 - HISTÓRICO'!N5</f>
        <v>0</v>
      </c>
      <c r="P109">
        <f>'REGIÃO 03 - HISTÓRICO'!P5</f>
        <v>0</v>
      </c>
      <c r="Q109">
        <f>'REGIÃO 03 - HISTÓRICO'!R5</f>
        <v>0</v>
      </c>
      <c r="R109">
        <f>'REGIÃO 03 - HISTÓRICO'!T5</f>
        <v>0</v>
      </c>
      <c r="S109">
        <f>'REGIÃO 03 - HISTÓRICO'!V5</f>
        <v>0</v>
      </c>
      <c r="T109">
        <f>'REGIÃO 03 - HISTÓRICO'!X5</f>
        <v>0</v>
      </c>
      <c r="U109">
        <f>'REGIÃO 03 - HISTÓRICO'!Z5</f>
        <v>0</v>
      </c>
      <c r="V109">
        <f>'REGIÃO 03 - HISTÓRICO'!AB5</f>
        <v>0</v>
      </c>
      <c r="W109">
        <f>'REGIÃO 03 - HISTÓRICO'!AD5</f>
        <v>0</v>
      </c>
      <c r="X109">
        <f>'REGIÃO 03 - HISTÓRICO'!AF5</f>
        <v>0</v>
      </c>
      <c r="AF109" t="str">
        <f t="shared" si="23"/>
        <v>R03 L</v>
      </c>
      <c r="AG109" t="str">
        <f t="shared" si="24"/>
        <v>002.2025.0026</v>
      </c>
      <c r="AH109">
        <f t="shared" si="25"/>
        <v>32996.15</v>
      </c>
      <c r="AI109">
        <f t="shared" si="26"/>
        <v>32996.149891000001</v>
      </c>
      <c r="AJ109">
        <f t="shared" si="27"/>
        <v>103</v>
      </c>
    </row>
    <row r="110" spans="2:36" x14ac:dyDescent="0.3">
      <c r="B110" s="91" t="str">
        <f>'REGIÃO 03 - RESUMO'!C6</f>
        <v>R03 L</v>
      </c>
      <c r="C110" t="str">
        <f>'REGIÃO 03 - RESUMO'!D6</f>
        <v>002.2025</v>
      </c>
      <c r="D110" s="92">
        <f>'REGIÃO 03 - RESUMO'!E6</f>
        <v>27</v>
      </c>
      <c r="E110" s="91" t="str">
        <f>'REGIÃO 03 - RESUMO'!F6</f>
        <v>Janeiro</v>
      </c>
      <c r="F110" s="93">
        <f>'REGIÃO 03 - RESUMO'!H6</f>
        <v>72</v>
      </c>
      <c r="G110" t="str">
        <f>'REGIÃO 03 - RESUMO'!I6</f>
        <v>RODOVIA TO-130 - TRECHO ENTR. TO-424 - TRECHO ENTR. TO-222</v>
      </c>
      <c r="H110" s="91" t="str">
        <f>'REGIÃO 03 - RESUMO'!J6</f>
        <v>SERVIÇOS MANUTENÇÃO</v>
      </c>
      <c r="I110">
        <f>'REGIÃO 03 - RESUMO'!K6</f>
        <v>9994.4599999999991</v>
      </c>
      <c r="J110">
        <f>'REGIÃO 03 - HISTÓRICO'!F6</f>
        <v>0</v>
      </c>
      <c r="K110">
        <f>'REGIÃO 03 - HISTÓRICO'!G6</f>
        <v>9994.4599999999991</v>
      </c>
      <c r="L110" t="str">
        <f>IF(OR('REGIÃO 03 - RESUMO'!L6="",'REGIÃO 03 - RESUMO'!L6=0),"",'REGIÃO 03 - RESUMO'!L6)</f>
        <v>Cancelada</v>
      </c>
      <c r="M110">
        <f>'REGIÃO 03 - HISTÓRICO'!J6</f>
        <v>0</v>
      </c>
      <c r="N110">
        <f>'REGIÃO 03 - HISTÓRICO'!L6</f>
        <v>0</v>
      </c>
      <c r="O110">
        <f>'REGIÃO 03 - HISTÓRICO'!N6</f>
        <v>0</v>
      </c>
      <c r="P110">
        <f>'REGIÃO 03 - HISTÓRICO'!P6</f>
        <v>0</v>
      </c>
      <c r="Q110">
        <f>'REGIÃO 03 - HISTÓRICO'!R6</f>
        <v>0</v>
      </c>
      <c r="R110">
        <f>'REGIÃO 03 - HISTÓRICO'!T6</f>
        <v>0</v>
      </c>
      <c r="S110">
        <f>'REGIÃO 03 - HISTÓRICO'!V6</f>
        <v>0</v>
      </c>
      <c r="T110">
        <f>'REGIÃO 03 - HISTÓRICO'!X6</f>
        <v>0</v>
      </c>
      <c r="U110">
        <f>'REGIÃO 03 - HISTÓRICO'!Z6</f>
        <v>0</v>
      </c>
      <c r="V110">
        <f>'REGIÃO 03 - HISTÓRICO'!AB6</f>
        <v>0</v>
      </c>
      <c r="W110">
        <f>'REGIÃO 03 - HISTÓRICO'!AD6</f>
        <v>0</v>
      </c>
      <c r="X110">
        <f>'REGIÃO 03 - HISTÓRICO'!AF6</f>
        <v>0</v>
      </c>
      <c r="AF110" s="91" t="str">
        <f t="shared" si="23"/>
        <v>R03 L</v>
      </c>
      <c r="AG110" t="str">
        <f t="shared" si="24"/>
        <v>002.2025.0027</v>
      </c>
      <c r="AH110">
        <f t="shared" si="25"/>
        <v>9994.4599999999991</v>
      </c>
      <c r="AI110">
        <f t="shared" si="26"/>
        <v>9994.4598899999983</v>
      </c>
      <c r="AJ110">
        <f t="shared" si="27"/>
        <v>131</v>
      </c>
    </row>
    <row r="111" spans="2:36" x14ac:dyDescent="0.3">
      <c r="B111" t="str">
        <f>'REGIÃO 03 - RESUMO'!C7</f>
        <v>R03 L</v>
      </c>
      <c r="C111" t="str">
        <f>'REGIÃO 03 - RESUMO'!D7</f>
        <v>002.2025</v>
      </c>
      <c r="D111" s="92">
        <f>'REGIÃO 03 - RESUMO'!E7</f>
        <v>28</v>
      </c>
      <c r="E111" t="str">
        <f>'REGIÃO 03 - RESUMO'!F7</f>
        <v>Janeiro</v>
      </c>
      <c r="F111" s="93">
        <f>'REGIÃO 03 - RESUMO'!H7</f>
        <v>73</v>
      </c>
      <c r="G111" t="str">
        <f>'REGIÃO 03 - RESUMO'!I7</f>
        <v>RODOVIA TO-130 - TRECHO ENTR. TO-010 - TRECHO BARRA DO OURO - ENTR. BR-010 (POVOADO MORRO GRANDE)</v>
      </c>
      <c r="H111" t="str">
        <f>'REGIÃO 03 - RESUMO'!J7</f>
        <v>SERVIÇOS MANUTENÇÃO</v>
      </c>
      <c r="I111">
        <f>'REGIÃO 03 - RESUMO'!K7</f>
        <v>211267.39</v>
      </c>
      <c r="J111">
        <f>'REGIÃO 03 - HISTÓRICO'!F7</f>
        <v>0</v>
      </c>
      <c r="K111">
        <f>'REGIÃO 03 - HISTÓRICO'!G7</f>
        <v>211267.39</v>
      </c>
      <c r="L111" s="93" t="str">
        <f>IF(OR('REGIÃO 03 - RESUMO'!L7="",'REGIÃO 03 - RESUMO'!L7=0),"",'REGIÃO 03 - RESUMO'!L7)</f>
        <v>Cancelada</v>
      </c>
      <c r="M111">
        <f>'REGIÃO 03 - HISTÓRICO'!J7</f>
        <v>0</v>
      </c>
      <c r="N111">
        <f>'REGIÃO 03 - HISTÓRICO'!L7</f>
        <v>0</v>
      </c>
      <c r="O111">
        <f>'REGIÃO 03 - HISTÓRICO'!N7</f>
        <v>0</v>
      </c>
      <c r="P111">
        <f>'REGIÃO 03 - HISTÓRICO'!P7</f>
        <v>0</v>
      </c>
      <c r="Q111">
        <f>'REGIÃO 03 - HISTÓRICO'!R7</f>
        <v>0</v>
      </c>
      <c r="R111">
        <f>'REGIÃO 03 - HISTÓRICO'!T7</f>
        <v>0</v>
      </c>
      <c r="S111">
        <f>'REGIÃO 03 - HISTÓRICO'!V7</f>
        <v>0</v>
      </c>
      <c r="T111">
        <f>'REGIÃO 03 - HISTÓRICO'!X7</f>
        <v>0</v>
      </c>
      <c r="U111">
        <f>'REGIÃO 03 - HISTÓRICO'!Z7</f>
        <v>0</v>
      </c>
      <c r="V111">
        <f>'REGIÃO 03 - HISTÓRICO'!AB7</f>
        <v>0</v>
      </c>
      <c r="W111">
        <f>'REGIÃO 03 - HISTÓRICO'!AD7</f>
        <v>0</v>
      </c>
      <c r="X111">
        <f>'REGIÃO 03 - HISTÓRICO'!AF7</f>
        <v>0</v>
      </c>
      <c r="AF111" t="str">
        <f t="shared" si="23"/>
        <v>R03 L</v>
      </c>
      <c r="AG111" t="str">
        <f t="shared" si="24"/>
        <v>002.2025.0028</v>
      </c>
      <c r="AH111">
        <f t="shared" si="25"/>
        <v>211267.39</v>
      </c>
      <c r="AI111">
        <f t="shared" si="26"/>
        <v>211267.38988900001</v>
      </c>
      <c r="AJ111">
        <f t="shared" si="27"/>
        <v>52</v>
      </c>
    </row>
    <row r="112" spans="2:36" x14ac:dyDescent="0.3">
      <c r="B112" s="91" t="str">
        <f>'REGIÃO 03 - RESUMO'!C8</f>
        <v>R03 L</v>
      </c>
      <c r="C112" t="str">
        <f>'REGIÃO 03 - RESUMO'!D8</f>
        <v>002.2025</v>
      </c>
      <c r="D112" s="92">
        <f>'REGIÃO 03 - RESUMO'!E8</f>
        <v>29</v>
      </c>
      <c r="E112" s="91" t="str">
        <f>'REGIÃO 03 - RESUMO'!F8</f>
        <v>Janeiro</v>
      </c>
      <c r="F112" s="93">
        <f>'REGIÃO 03 - RESUMO'!H8</f>
        <v>77</v>
      </c>
      <c r="G112" t="str">
        <f>'REGIÃO 03 - RESUMO'!I8</f>
        <v>RODOVIA TO-226 - TRECHO GOIATINS - CAMPOS LINDOS - DIV TO-MA</v>
      </c>
      <c r="H112" s="91" t="str">
        <f>'REGIÃO 03 - RESUMO'!J8</f>
        <v>SERVIÇOS MANUTENÇÃO</v>
      </c>
      <c r="I112">
        <f>'REGIÃO 03 - RESUMO'!K8</f>
        <v>349500.81</v>
      </c>
      <c r="J112">
        <f>'REGIÃO 03 - HISTÓRICO'!F8</f>
        <v>0</v>
      </c>
      <c r="K112">
        <f>'REGIÃO 03 - HISTÓRICO'!G8</f>
        <v>349500.81</v>
      </c>
      <c r="L112" t="str">
        <f>IF(OR('REGIÃO 03 - RESUMO'!L8="",'REGIÃO 03 - RESUMO'!L8=0),"",'REGIÃO 03 - RESUMO'!L8)</f>
        <v>Cancelada</v>
      </c>
      <c r="M112">
        <f>'REGIÃO 03 - HISTÓRICO'!J8</f>
        <v>0</v>
      </c>
      <c r="N112">
        <f>'REGIÃO 03 - HISTÓRICO'!L8</f>
        <v>0</v>
      </c>
      <c r="O112">
        <f>'REGIÃO 03 - HISTÓRICO'!N8</f>
        <v>0</v>
      </c>
      <c r="P112">
        <f>'REGIÃO 03 - HISTÓRICO'!P8</f>
        <v>0</v>
      </c>
      <c r="Q112">
        <f>'REGIÃO 03 - HISTÓRICO'!R8</f>
        <v>0</v>
      </c>
      <c r="R112">
        <f>'REGIÃO 03 - HISTÓRICO'!T8</f>
        <v>0</v>
      </c>
      <c r="S112">
        <f>'REGIÃO 03 - HISTÓRICO'!V8</f>
        <v>0</v>
      </c>
      <c r="T112">
        <f>'REGIÃO 03 - HISTÓRICO'!X8</f>
        <v>0</v>
      </c>
      <c r="U112">
        <f>'REGIÃO 03 - HISTÓRICO'!Z8</f>
        <v>0</v>
      </c>
      <c r="V112">
        <f>'REGIÃO 03 - HISTÓRICO'!AB8</f>
        <v>0</v>
      </c>
      <c r="W112">
        <f>'REGIÃO 03 - HISTÓRICO'!AD8</f>
        <v>0</v>
      </c>
      <c r="X112">
        <f>'REGIÃO 03 - HISTÓRICO'!AF8</f>
        <v>0</v>
      </c>
      <c r="AF112" s="91" t="str">
        <f t="shared" si="23"/>
        <v>R03 L</v>
      </c>
      <c r="AG112" t="str">
        <f t="shared" si="24"/>
        <v>002.2025.0029</v>
      </c>
      <c r="AH112">
        <f t="shared" si="25"/>
        <v>349500.81</v>
      </c>
      <c r="AI112">
        <f t="shared" si="26"/>
        <v>349500.80988800002</v>
      </c>
      <c r="AJ112">
        <f t="shared" si="27"/>
        <v>45</v>
      </c>
    </row>
    <row r="113" spans="2:36" x14ac:dyDescent="0.3">
      <c r="B113" s="91" t="str">
        <f>'REGIÃO 03 - RESUMO'!C9</f>
        <v>R03 L</v>
      </c>
      <c r="C113" t="str">
        <f>'REGIÃO 03 - RESUMO'!D9</f>
        <v>002.2025</v>
      </c>
      <c r="D113" s="92">
        <f>'REGIÃO 03 - RESUMO'!E9</f>
        <v>30</v>
      </c>
      <c r="E113" s="91" t="str">
        <f>'REGIÃO 03 - RESUMO'!F9</f>
        <v>Janeiro</v>
      </c>
      <c r="F113" s="93">
        <f>'REGIÃO 03 - RESUMO'!H9</f>
        <v>78</v>
      </c>
      <c r="G113" t="str">
        <f>'REGIÃO 03 - RESUMO'!I9</f>
        <v>RODOVIA TO-422 - TRECHO ENTR. BR-153 - TRECHO DISTRITO AGROINDUSTRIAL DE ARAGUAÍNA</v>
      </c>
      <c r="H113" s="91" t="str">
        <f>'REGIÃO 03 - RESUMO'!J9</f>
        <v>SERVIÇOS MANUTENÇÃO</v>
      </c>
      <c r="I113">
        <f>'REGIÃO 03 - RESUMO'!K9</f>
        <v>4691.2299999999996</v>
      </c>
      <c r="J113">
        <f>'REGIÃO 03 - HISTÓRICO'!F9</f>
        <v>0</v>
      </c>
      <c r="K113">
        <f>'REGIÃO 03 - HISTÓRICO'!G9</f>
        <v>4691.2299999999996</v>
      </c>
      <c r="L113" t="str">
        <f>IF(OR('REGIÃO 03 - RESUMO'!L9="",'REGIÃO 03 - RESUMO'!L9=0),"",'REGIÃO 03 - RESUMO'!L9)</f>
        <v>Cancelada</v>
      </c>
      <c r="M113">
        <f>'REGIÃO 03 - HISTÓRICO'!J9</f>
        <v>0</v>
      </c>
      <c r="N113">
        <f>'REGIÃO 03 - HISTÓRICO'!L9</f>
        <v>0</v>
      </c>
      <c r="O113">
        <f>'REGIÃO 03 - HISTÓRICO'!N9</f>
        <v>0</v>
      </c>
      <c r="P113">
        <f>'REGIÃO 03 - HISTÓRICO'!P9</f>
        <v>0</v>
      </c>
      <c r="Q113">
        <f>'REGIÃO 03 - HISTÓRICO'!R9</f>
        <v>0</v>
      </c>
      <c r="R113">
        <f>'REGIÃO 03 - HISTÓRICO'!T9</f>
        <v>0</v>
      </c>
      <c r="S113">
        <f>'REGIÃO 03 - HISTÓRICO'!V9</f>
        <v>0</v>
      </c>
      <c r="T113">
        <f>'REGIÃO 03 - HISTÓRICO'!X9</f>
        <v>0</v>
      </c>
      <c r="U113">
        <f>'REGIÃO 03 - HISTÓRICO'!Z9</f>
        <v>0</v>
      </c>
      <c r="V113">
        <f>'REGIÃO 03 - HISTÓRICO'!AB9</f>
        <v>0</v>
      </c>
      <c r="W113">
        <f>'REGIÃO 03 - HISTÓRICO'!AD9</f>
        <v>0</v>
      </c>
      <c r="X113">
        <f>'REGIÃO 03 - HISTÓRICO'!AF9</f>
        <v>0</v>
      </c>
      <c r="AF113" s="91" t="str">
        <f t="shared" si="23"/>
        <v>R03 L</v>
      </c>
      <c r="AG113" t="str">
        <f t="shared" si="24"/>
        <v>002.2025.0030</v>
      </c>
      <c r="AH113">
        <f t="shared" si="25"/>
        <v>4691.2299999999996</v>
      </c>
      <c r="AI113">
        <f t="shared" si="26"/>
        <v>4691.2298869999995</v>
      </c>
      <c r="AJ113">
        <f t="shared" si="27"/>
        <v>147</v>
      </c>
    </row>
    <row r="114" spans="2:36" x14ac:dyDescent="0.3">
      <c r="B114" s="91" t="str">
        <f>'REGIÃO 03 - RESUMO'!C10</f>
        <v>R03 L</v>
      </c>
      <c r="C114" t="str">
        <f>'REGIÃO 03 - RESUMO'!D10</f>
        <v>002.2025</v>
      </c>
      <c r="D114" s="92">
        <f>'REGIÃO 03 - RESUMO'!E10</f>
        <v>31</v>
      </c>
      <c r="E114" s="91" t="str">
        <f>'REGIÃO 03 - RESUMO'!F10</f>
        <v>Janeiro</v>
      </c>
      <c r="F114" s="93">
        <f>'REGIÃO 03 - RESUMO'!H10</f>
        <v>80</v>
      </c>
      <c r="G114" t="str">
        <f>'REGIÃO 03 - RESUMO'!I10</f>
        <v>RODOVIA TO-424 - TRECHO ENTR. TO-222 (PLAT. MULTI-MODAL) - BABAÇULÂNDIA</v>
      </c>
      <c r="H114" s="91" t="str">
        <f>'REGIÃO 03 - RESUMO'!J10</f>
        <v>SERVIÇOS MANUTENÇÃO</v>
      </c>
      <c r="I114">
        <f>'REGIÃO 03 - RESUMO'!K10</f>
        <v>22662.53</v>
      </c>
      <c r="J114">
        <f>'REGIÃO 03 - HISTÓRICO'!F10</f>
        <v>0</v>
      </c>
      <c r="K114">
        <f>'REGIÃO 03 - HISTÓRICO'!G10</f>
        <v>22662.53</v>
      </c>
      <c r="L114" t="str">
        <f>IF(OR('REGIÃO 03 - RESUMO'!L10="",'REGIÃO 03 - RESUMO'!L10=0),"",'REGIÃO 03 - RESUMO'!L10)</f>
        <v>Cancelada</v>
      </c>
      <c r="M114">
        <f>'REGIÃO 03 - HISTÓRICO'!J10</f>
        <v>0</v>
      </c>
      <c r="N114">
        <f>'REGIÃO 03 - HISTÓRICO'!L10</f>
        <v>0</v>
      </c>
      <c r="O114">
        <f>'REGIÃO 03 - HISTÓRICO'!N10</f>
        <v>0</v>
      </c>
      <c r="P114">
        <f>'REGIÃO 03 - HISTÓRICO'!P10</f>
        <v>0</v>
      </c>
      <c r="Q114">
        <f>'REGIÃO 03 - HISTÓRICO'!R10</f>
        <v>0</v>
      </c>
      <c r="R114">
        <f>'REGIÃO 03 - HISTÓRICO'!T10</f>
        <v>0</v>
      </c>
      <c r="S114">
        <f>'REGIÃO 03 - HISTÓRICO'!V10</f>
        <v>0</v>
      </c>
      <c r="T114">
        <f>'REGIÃO 03 - HISTÓRICO'!X10</f>
        <v>0</v>
      </c>
      <c r="U114">
        <f>'REGIÃO 03 - HISTÓRICO'!Z10</f>
        <v>0</v>
      </c>
      <c r="V114">
        <f>'REGIÃO 03 - HISTÓRICO'!AB10</f>
        <v>0</v>
      </c>
      <c r="W114">
        <f>'REGIÃO 03 - HISTÓRICO'!AD10</f>
        <v>0</v>
      </c>
      <c r="X114">
        <f>'REGIÃO 03 - HISTÓRICO'!AF10</f>
        <v>0</v>
      </c>
      <c r="AF114" s="91" t="str">
        <f t="shared" si="23"/>
        <v>R03 L</v>
      </c>
      <c r="AG114" t="str">
        <f t="shared" si="24"/>
        <v>002.2025.0031</v>
      </c>
      <c r="AH114">
        <f t="shared" si="25"/>
        <v>22662.53</v>
      </c>
      <c r="AI114">
        <f t="shared" si="26"/>
        <v>22662.529886</v>
      </c>
      <c r="AJ114">
        <f t="shared" si="27"/>
        <v>118</v>
      </c>
    </row>
    <row r="115" spans="2:36" x14ac:dyDescent="0.3">
      <c r="B115" s="91" t="str">
        <f>'REGIÃO 03 - RESUMO'!C11</f>
        <v>R03 L</v>
      </c>
      <c r="C115" t="str">
        <f>'REGIÃO 03 - RESUMO'!D11</f>
        <v>002.2025</v>
      </c>
      <c r="D115" s="92">
        <f>'REGIÃO 03 - RESUMO'!E11</f>
        <v>32</v>
      </c>
      <c r="E115" s="91" t="str">
        <f>'REGIÃO 03 - RESUMO'!F11</f>
        <v>Janeiro</v>
      </c>
      <c r="F115" s="93">
        <f>'REGIÃO 03 - RESUMO'!H11</f>
        <v>79</v>
      </c>
      <c r="G115" t="str">
        <f>'REGIÃO 03 - RESUMO'!I11</f>
        <v>RODOVIA TO-423 - TRECHO ARAGUAÍNA - ENTR. TO-424</v>
      </c>
      <c r="H115" s="91" t="str">
        <f>'REGIÃO 03 - RESUMO'!J11</f>
        <v>Terraplenagem / Reconformação da plataforma / Recomposição do revestimento primário</v>
      </c>
      <c r="I115">
        <f>'REGIÃO 03 - RESUMO'!K11</f>
        <v>1076148.75</v>
      </c>
      <c r="J115">
        <f>'REGIÃO 03 - HISTÓRICO'!F11</f>
        <v>1075445.71</v>
      </c>
      <c r="K115">
        <f>'REGIÃO 03 - HISTÓRICO'!G11</f>
        <v>703.04000000003725</v>
      </c>
      <c r="L115" t="str">
        <f>IF(OR('REGIÃO 03 - RESUMO'!L11="",'REGIÃO 03 - RESUMO'!L11=0),"",'REGIÃO 03 - RESUMO'!L11)</f>
        <v>Concluída</v>
      </c>
      <c r="M115">
        <f>'REGIÃO 03 - HISTÓRICO'!J11</f>
        <v>1075445.71</v>
      </c>
      <c r="N115">
        <f>'REGIÃO 03 - HISTÓRICO'!L11</f>
        <v>0</v>
      </c>
      <c r="O115">
        <f>'REGIÃO 03 - HISTÓRICO'!N11</f>
        <v>0</v>
      </c>
      <c r="P115">
        <f>'REGIÃO 03 - HISTÓRICO'!P11</f>
        <v>0</v>
      </c>
      <c r="Q115">
        <f>'REGIÃO 03 - HISTÓRICO'!R11</f>
        <v>0</v>
      </c>
      <c r="R115">
        <f>'REGIÃO 03 - HISTÓRICO'!T11</f>
        <v>0</v>
      </c>
      <c r="S115">
        <f>'REGIÃO 03 - HISTÓRICO'!V11</f>
        <v>0</v>
      </c>
      <c r="T115">
        <f>'REGIÃO 03 - HISTÓRICO'!X11</f>
        <v>0</v>
      </c>
      <c r="U115">
        <f>'REGIÃO 03 - HISTÓRICO'!Z11</f>
        <v>0</v>
      </c>
      <c r="V115">
        <f>'REGIÃO 03 - HISTÓRICO'!AB11</f>
        <v>0</v>
      </c>
      <c r="W115">
        <f>'REGIÃO 03 - HISTÓRICO'!AD11</f>
        <v>0</v>
      </c>
      <c r="X115">
        <f>'REGIÃO 03 - HISTÓRICO'!AF11</f>
        <v>0</v>
      </c>
      <c r="AF115" s="91" t="str">
        <f t="shared" si="23"/>
        <v>R03 L</v>
      </c>
      <c r="AG115" t="str">
        <f t="shared" si="24"/>
        <v>002.2025.0032</v>
      </c>
      <c r="AH115">
        <f t="shared" si="25"/>
        <v>1076148.75</v>
      </c>
      <c r="AI115">
        <f t="shared" si="26"/>
        <v>1076148.7498850001</v>
      </c>
      <c r="AJ115">
        <f t="shared" si="27"/>
        <v>15</v>
      </c>
    </row>
    <row r="116" spans="2:36" x14ac:dyDescent="0.3">
      <c r="B116" s="91" t="str">
        <f>'REGIÃO 03 - RESUMO'!C12</f>
        <v>R03 L</v>
      </c>
      <c r="C116" t="str">
        <f>'REGIÃO 03 - RESUMO'!D12</f>
        <v>002.2025</v>
      </c>
      <c r="D116" s="92">
        <f>'REGIÃO 03 - RESUMO'!E12</f>
        <v>33</v>
      </c>
      <c r="E116" s="91" t="str">
        <f>'REGIÃO 03 - RESUMO'!F12</f>
        <v>Janeiro</v>
      </c>
      <c r="F116" s="93">
        <f>'REGIÃO 03 - RESUMO'!H12</f>
        <v>75</v>
      </c>
      <c r="G116" t="str">
        <f>'REGIÃO 03 - RESUMO'!I12</f>
        <v>RODOVIA TO-226 - TRECHO NOVA OLINDA - ENTR. TO-010</v>
      </c>
      <c r="H116" s="91" t="str">
        <f>'REGIÃO 03 - RESUMO'!J12</f>
        <v>Terraplenagem / Reconformação da plataforma / Recomposição do revestimento primário</v>
      </c>
      <c r="I116">
        <f>'REGIÃO 03 - RESUMO'!K12</f>
        <v>1187884.22</v>
      </c>
      <c r="J116">
        <f>'REGIÃO 03 - HISTÓRICO'!F12</f>
        <v>1185944.6299999999</v>
      </c>
      <c r="K116">
        <f>'REGIÃO 03 - HISTÓRICO'!G12</f>
        <v>1939.5900000000838</v>
      </c>
      <c r="L116" t="str">
        <f>IF(OR('REGIÃO 03 - RESUMO'!L12="",'REGIÃO 03 - RESUMO'!L12=0),"",'REGIÃO 03 - RESUMO'!L12)</f>
        <v>Concluída</v>
      </c>
      <c r="M116">
        <f>'REGIÃO 03 - HISTÓRICO'!J12</f>
        <v>1185944.6299999999</v>
      </c>
      <c r="N116">
        <f>'REGIÃO 03 - HISTÓRICO'!L12</f>
        <v>0</v>
      </c>
      <c r="O116">
        <f>'REGIÃO 03 - HISTÓRICO'!N12</f>
        <v>0</v>
      </c>
      <c r="P116">
        <f>'REGIÃO 03 - HISTÓRICO'!P12</f>
        <v>0</v>
      </c>
      <c r="Q116">
        <f>'REGIÃO 03 - HISTÓRICO'!R12</f>
        <v>0</v>
      </c>
      <c r="R116">
        <f>'REGIÃO 03 - HISTÓRICO'!T12</f>
        <v>0</v>
      </c>
      <c r="S116">
        <f>'REGIÃO 03 - HISTÓRICO'!V12</f>
        <v>0</v>
      </c>
      <c r="T116">
        <f>'REGIÃO 03 - HISTÓRICO'!X12</f>
        <v>0</v>
      </c>
      <c r="U116">
        <f>'REGIÃO 03 - HISTÓRICO'!Z12</f>
        <v>0</v>
      </c>
      <c r="V116">
        <f>'REGIÃO 03 - HISTÓRICO'!AB12</f>
        <v>0</v>
      </c>
      <c r="W116">
        <f>'REGIÃO 03 - HISTÓRICO'!AD12</f>
        <v>0</v>
      </c>
      <c r="X116">
        <f>'REGIÃO 03 - HISTÓRICO'!AF12</f>
        <v>0</v>
      </c>
      <c r="AF116" s="91" t="str">
        <f t="shared" si="23"/>
        <v>R03 L</v>
      </c>
      <c r="AG116" t="str">
        <f t="shared" si="24"/>
        <v>002.2025.0033</v>
      </c>
      <c r="AH116">
        <f t="shared" si="25"/>
        <v>1187884.22</v>
      </c>
      <c r="AI116">
        <f t="shared" si="26"/>
        <v>1187884.219884</v>
      </c>
      <c r="AJ116">
        <f t="shared" si="27"/>
        <v>13</v>
      </c>
    </row>
    <row r="117" spans="2:36" x14ac:dyDescent="0.3">
      <c r="B117" s="91" t="str">
        <f>'REGIÃO 03 - RESUMO'!C13</f>
        <v>R03 L</v>
      </c>
      <c r="C117" t="str">
        <f>'REGIÃO 03 - RESUMO'!D13</f>
        <v>002.2025</v>
      </c>
      <c r="D117" s="92">
        <f>'REGIÃO 03 - RESUMO'!E13</f>
        <v>34</v>
      </c>
      <c r="E117" s="91" t="str">
        <f>'REGIÃO 03 - RESUMO'!F13</f>
        <v>Fevereiro</v>
      </c>
      <c r="F117" s="93">
        <f>'REGIÃO 03 - RESUMO'!H13</f>
        <v>69</v>
      </c>
      <c r="G117" t="str">
        <f>'REGIÃO 03 - RESUMO'!I13</f>
        <v>RODOVIA TO-010 - TRECHO ENTR. TO-222 (POVOADO FARTURÃO) - BABAÇULÂNDIA</v>
      </c>
      <c r="H117" s="91" t="str">
        <f>'REGIÃO 03 - RESUMO'!J13</f>
        <v>Reconformação da plataforma</v>
      </c>
      <c r="I117">
        <f>'REGIÃO 03 - RESUMO'!K13</f>
        <v>37902.400000000001</v>
      </c>
      <c r="J117">
        <f>'REGIÃO 03 - HISTÓRICO'!F13</f>
        <v>36931.269999999997</v>
      </c>
      <c r="K117">
        <f>'REGIÃO 03 - HISTÓRICO'!G13</f>
        <v>971.13000000000466</v>
      </c>
      <c r="L117" t="str">
        <f>IF(OR('REGIÃO 03 - RESUMO'!L13="",'REGIÃO 03 - RESUMO'!L13=0),"",'REGIÃO 03 - RESUMO'!L13)</f>
        <v>Concluída</v>
      </c>
      <c r="M117">
        <f>'REGIÃO 03 - HISTÓRICO'!J13</f>
        <v>0</v>
      </c>
      <c r="N117">
        <f>'REGIÃO 03 - HISTÓRICO'!L13</f>
        <v>36931.269999999997</v>
      </c>
      <c r="O117">
        <f>'REGIÃO 03 - HISTÓRICO'!N13</f>
        <v>0</v>
      </c>
      <c r="P117">
        <f>'REGIÃO 03 - HISTÓRICO'!P13</f>
        <v>0</v>
      </c>
      <c r="Q117">
        <f>'REGIÃO 03 - HISTÓRICO'!R13</f>
        <v>0</v>
      </c>
      <c r="R117">
        <f>'REGIÃO 03 - HISTÓRICO'!T13</f>
        <v>0</v>
      </c>
      <c r="S117">
        <f>'REGIÃO 03 - HISTÓRICO'!V13</f>
        <v>0</v>
      </c>
      <c r="T117">
        <f>'REGIÃO 03 - HISTÓRICO'!X13</f>
        <v>0</v>
      </c>
      <c r="U117">
        <f>'REGIÃO 03 - HISTÓRICO'!Z13</f>
        <v>0</v>
      </c>
      <c r="V117">
        <f>'REGIÃO 03 - HISTÓRICO'!AB13</f>
        <v>0</v>
      </c>
      <c r="W117">
        <f>'REGIÃO 03 - HISTÓRICO'!AD13</f>
        <v>0</v>
      </c>
      <c r="X117">
        <f>'REGIÃO 03 - HISTÓRICO'!AF13</f>
        <v>0</v>
      </c>
      <c r="AF117" s="91" t="str">
        <f t="shared" si="23"/>
        <v>R03 L</v>
      </c>
      <c r="AG117" t="str">
        <f t="shared" si="24"/>
        <v>002.2025.0034</v>
      </c>
      <c r="AH117">
        <f t="shared" si="25"/>
        <v>37902.400000000001</v>
      </c>
      <c r="AI117">
        <f t="shared" si="26"/>
        <v>37902.399882999998</v>
      </c>
      <c r="AJ117">
        <f t="shared" si="27"/>
        <v>97</v>
      </c>
    </row>
    <row r="118" spans="2:36" x14ac:dyDescent="0.3">
      <c r="B118" s="91" t="str">
        <f>'REGIÃO 03 - RESUMO'!C14</f>
        <v>R03 L</v>
      </c>
      <c r="C118" t="str">
        <f>'REGIÃO 03 - RESUMO'!D14</f>
        <v>002.2025</v>
      </c>
      <c r="D118" s="92">
        <f>'REGIÃO 03 - RESUMO'!E14</f>
        <v>35</v>
      </c>
      <c r="E118" s="91" t="str">
        <f>'REGIÃO 03 - RESUMO'!F14</f>
        <v>Fevereiro</v>
      </c>
      <c r="F118" s="93">
        <f>'REGIÃO 03 - RESUMO'!H14</f>
        <v>72</v>
      </c>
      <c r="G118" t="str">
        <f>'REGIÃO 03 - RESUMO'!I14</f>
        <v>RODOVIA TO-130 - TRECHO ENTR. TO-424 - TRECHO ENTR. TO-222</v>
      </c>
      <c r="H118" s="91" t="str">
        <f>'REGIÃO 03 - RESUMO'!J14</f>
        <v>Limpeza Ponte</v>
      </c>
      <c r="I118">
        <f>'REGIÃO 03 - RESUMO'!K14</f>
        <v>9994.4599999999991</v>
      </c>
      <c r="J118">
        <f>'REGIÃO 03 - HISTÓRICO'!F14</f>
        <v>9994.4599999999991</v>
      </c>
      <c r="K118">
        <f>'REGIÃO 03 - HISTÓRICO'!G14</f>
        <v>0</v>
      </c>
      <c r="L118" t="str">
        <f>IF(OR('REGIÃO 03 - RESUMO'!L14="",'REGIÃO 03 - RESUMO'!L14=0),"",'REGIÃO 03 - RESUMO'!L14)</f>
        <v>Concluída</v>
      </c>
      <c r="M118">
        <f>'REGIÃO 03 - HISTÓRICO'!J14</f>
        <v>0</v>
      </c>
      <c r="N118">
        <f>'REGIÃO 03 - HISTÓRICO'!L14</f>
        <v>9994.4599999999991</v>
      </c>
      <c r="O118">
        <f>'REGIÃO 03 - HISTÓRICO'!N14</f>
        <v>0</v>
      </c>
      <c r="P118">
        <f>'REGIÃO 03 - HISTÓRICO'!P14</f>
        <v>0</v>
      </c>
      <c r="Q118">
        <f>'REGIÃO 03 - HISTÓRICO'!R14</f>
        <v>0</v>
      </c>
      <c r="R118">
        <f>'REGIÃO 03 - HISTÓRICO'!T14</f>
        <v>0</v>
      </c>
      <c r="S118">
        <f>'REGIÃO 03 - HISTÓRICO'!V14</f>
        <v>0</v>
      </c>
      <c r="T118">
        <f>'REGIÃO 03 - HISTÓRICO'!X14</f>
        <v>0</v>
      </c>
      <c r="U118">
        <f>'REGIÃO 03 - HISTÓRICO'!Z14</f>
        <v>0</v>
      </c>
      <c r="V118">
        <f>'REGIÃO 03 - HISTÓRICO'!AB14</f>
        <v>0</v>
      </c>
      <c r="W118">
        <f>'REGIÃO 03 - HISTÓRICO'!AD14</f>
        <v>0</v>
      </c>
      <c r="X118">
        <f>'REGIÃO 03 - HISTÓRICO'!AF14</f>
        <v>0</v>
      </c>
      <c r="AF118" s="91" t="str">
        <f t="shared" si="23"/>
        <v>R03 L</v>
      </c>
      <c r="AG118" t="str">
        <f t="shared" si="24"/>
        <v>002.2025.0035</v>
      </c>
      <c r="AH118">
        <f t="shared" si="25"/>
        <v>9994.4599999999991</v>
      </c>
      <c r="AI118">
        <f t="shared" si="26"/>
        <v>9994.4598819999992</v>
      </c>
      <c r="AJ118">
        <f t="shared" si="27"/>
        <v>132</v>
      </c>
    </row>
    <row r="119" spans="2:36" x14ac:dyDescent="0.3">
      <c r="B119" s="91" t="str">
        <f>'REGIÃO 03 - RESUMO'!C15</f>
        <v>R03 L</v>
      </c>
      <c r="C119" t="str">
        <f>'REGIÃO 03 - RESUMO'!D15</f>
        <v>002.2025</v>
      </c>
      <c r="D119" s="92">
        <f>'REGIÃO 03 - RESUMO'!E15</f>
        <v>36</v>
      </c>
      <c r="E119" s="91" t="str">
        <f>'REGIÃO 03 - RESUMO'!F15</f>
        <v>Fevereiro</v>
      </c>
      <c r="F119" s="93">
        <f>'REGIÃO 03 - RESUMO'!H15</f>
        <v>79</v>
      </c>
      <c r="G119" t="str">
        <f>'REGIÃO 03 - RESUMO'!I15</f>
        <v>RODOVIA TO-423 - TRECHO ARAGUAÍNA - ENTR. TO-424</v>
      </c>
      <c r="H119" s="91" t="str">
        <f>'REGIÃO 03 - RESUMO'!J15</f>
        <v>Terraplenagem / Recomposição do revestimento primário</v>
      </c>
      <c r="I119">
        <f>'REGIÃO 03 - RESUMO'!K15</f>
        <v>17455.900000000001</v>
      </c>
      <c r="J119">
        <f>'REGIÃO 03 - HISTÓRICO'!F15</f>
        <v>17096.34</v>
      </c>
      <c r="K119">
        <f>'REGIÃO 03 - HISTÓRICO'!G15</f>
        <v>359.56000000000131</v>
      </c>
      <c r="L119" t="str">
        <f>IF(OR('REGIÃO 03 - RESUMO'!L15="",'REGIÃO 03 - RESUMO'!L15=0),"",'REGIÃO 03 - RESUMO'!L15)</f>
        <v>Concluída</v>
      </c>
      <c r="M119">
        <f>'REGIÃO 03 - HISTÓRICO'!J15</f>
        <v>0</v>
      </c>
      <c r="N119">
        <f>'REGIÃO 03 - HISTÓRICO'!L15</f>
        <v>17096.34</v>
      </c>
      <c r="O119">
        <f>'REGIÃO 03 - HISTÓRICO'!N15</f>
        <v>0</v>
      </c>
      <c r="P119">
        <f>'REGIÃO 03 - HISTÓRICO'!P15</f>
        <v>0</v>
      </c>
      <c r="Q119">
        <f>'REGIÃO 03 - HISTÓRICO'!R15</f>
        <v>0</v>
      </c>
      <c r="R119">
        <f>'REGIÃO 03 - HISTÓRICO'!T15</f>
        <v>0</v>
      </c>
      <c r="S119">
        <f>'REGIÃO 03 - HISTÓRICO'!V15</f>
        <v>0</v>
      </c>
      <c r="T119">
        <f>'REGIÃO 03 - HISTÓRICO'!X15</f>
        <v>0</v>
      </c>
      <c r="U119">
        <f>'REGIÃO 03 - HISTÓRICO'!Z15</f>
        <v>0</v>
      </c>
      <c r="V119">
        <f>'REGIÃO 03 - HISTÓRICO'!AB15</f>
        <v>0</v>
      </c>
      <c r="W119">
        <f>'REGIÃO 03 - HISTÓRICO'!AD15</f>
        <v>0</v>
      </c>
      <c r="X119">
        <f>'REGIÃO 03 - HISTÓRICO'!AF15</f>
        <v>0</v>
      </c>
      <c r="AF119" s="91" t="str">
        <f t="shared" si="23"/>
        <v>R03 L</v>
      </c>
      <c r="AG119" t="str">
        <f t="shared" si="24"/>
        <v>002.2025.0036</v>
      </c>
      <c r="AH119">
        <f t="shared" si="25"/>
        <v>17455.900000000001</v>
      </c>
      <c r="AI119">
        <f t="shared" si="26"/>
        <v>17455.899881000001</v>
      </c>
      <c r="AJ119">
        <f t="shared" si="27"/>
        <v>123</v>
      </c>
    </row>
    <row r="120" spans="2:36" x14ac:dyDescent="0.3">
      <c r="B120" s="91" t="str">
        <f>'REGIÃO 03 - RESUMO'!C16</f>
        <v>R03 L</v>
      </c>
      <c r="C120" t="str">
        <f>'REGIÃO 03 - RESUMO'!D16</f>
        <v>002.2025</v>
      </c>
      <c r="D120" s="92">
        <f>'REGIÃO 03 - RESUMO'!E16</f>
        <v>37</v>
      </c>
      <c r="E120" s="91" t="str">
        <f>'REGIÃO 03 - RESUMO'!F16</f>
        <v>Fevereiro</v>
      </c>
      <c r="F120" s="93">
        <f>'REGIÃO 03 - RESUMO'!H16</f>
        <v>81</v>
      </c>
      <c r="G120" t="str">
        <f>'REGIÃO 03 - RESUMO'!I16</f>
        <v>RODOVIA TO-424 - TRECHO ENTR. TO-010 (BABAÇULÂNDIA) - ENTR. TO-222</v>
      </c>
      <c r="H120" s="91" t="str">
        <f>'REGIÃO 03 - RESUMO'!J16</f>
        <v>Reconformação da plataforma</v>
      </c>
      <c r="I120">
        <f>'REGIÃO 03 - RESUMO'!K16</f>
        <v>30315</v>
      </c>
      <c r="J120">
        <f>'REGIÃO 03 - HISTÓRICO'!F16</f>
        <v>30315</v>
      </c>
      <c r="K120">
        <f>'REGIÃO 03 - HISTÓRICO'!G16</f>
        <v>0</v>
      </c>
      <c r="L120" t="str">
        <f>IF(OR('REGIÃO 03 - RESUMO'!L16="",'REGIÃO 03 - RESUMO'!L16=0),"",'REGIÃO 03 - RESUMO'!L16)</f>
        <v>Concluída</v>
      </c>
      <c r="M120">
        <f>'REGIÃO 03 - HISTÓRICO'!J16</f>
        <v>0</v>
      </c>
      <c r="N120">
        <f>'REGIÃO 03 - HISTÓRICO'!L16</f>
        <v>30315</v>
      </c>
      <c r="O120">
        <f>'REGIÃO 03 - HISTÓRICO'!N16</f>
        <v>0</v>
      </c>
      <c r="P120">
        <f>'REGIÃO 03 - HISTÓRICO'!P16</f>
        <v>0</v>
      </c>
      <c r="Q120">
        <f>'REGIÃO 03 - HISTÓRICO'!R16</f>
        <v>0</v>
      </c>
      <c r="R120">
        <f>'REGIÃO 03 - HISTÓRICO'!T16</f>
        <v>0</v>
      </c>
      <c r="S120">
        <f>'REGIÃO 03 - HISTÓRICO'!V16</f>
        <v>0</v>
      </c>
      <c r="T120">
        <f>'REGIÃO 03 - HISTÓRICO'!X16</f>
        <v>0</v>
      </c>
      <c r="U120">
        <f>'REGIÃO 03 - HISTÓRICO'!Z16</f>
        <v>0</v>
      </c>
      <c r="V120">
        <f>'REGIÃO 03 - HISTÓRICO'!AB16</f>
        <v>0</v>
      </c>
      <c r="W120">
        <f>'REGIÃO 03 - HISTÓRICO'!AD16</f>
        <v>0</v>
      </c>
      <c r="X120">
        <f>'REGIÃO 03 - HISTÓRICO'!AF16</f>
        <v>0</v>
      </c>
      <c r="AF120" s="91" t="str">
        <f t="shared" si="23"/>
        <v>R03 L</v>
      </c>
      <c r="AG120" t="str">
        <f t="shared" si="24"/>
        <v>002.2025.0037</v>
      </c>
      <c r="AH120">
        <f t="shared" si="25"/>
        <v>30315</v>
      </c>
      <c r="AI120">
        <f t="shared" si="26"/>
        <v>30314.999879999999</v>
      </c>
      <c r="AJ120">
        <f t="shared" si="27"/>
        <v>105</v>
      </c>
    </row>
    <row r="121" spans="2:36" x14ac:dyDescent="0.3">
      <c r="B121" s="91" t="str">
        <f>'REGIÃO 03 - RESUMO'!C17</f>
        <v>R03 L</v>
      </c>
      <c r="C121" t="str">
        <f>'REGIÃO 03 - RESUMO'!D17</f>
        <v>002.2025</v>
      </c>
      <c r="D121" s="92">
        <f>'REGIÃO 03 - RESUMO'!E17</f>
        <v>38</v>
      </c>
      <c r="E121" s="91" t="str">
        <f>'REGIÃO 03 - RESUMO'!F17</f>
        <v>Março</v>
      </c>
      <c r="F121" s="93">
        <f>'REGIÃO 03 - RESUMO'!H17</f>
        <v>81</v>
      </c>
      <c r="G121" t="str">
        <f>'REGIÃO 03 - RESUMO'!I17</f>
        <v>RODOVIA TO-424 - TRECHO ENTR. TO-010 (BABAÇULÂNDIA) - ENTR. TO-222</v>
      </c>
      <c r="H121" s="91" t="str">
        <f>'REGIÃO 03 - RESUMO'!J17</f>
        <v>SERVIÇOS MANUTENÇÃO</v>
      </c>
      <c r="I121">
        <f>'REGIÃO 03 - RESUMO'!K17</f>
        <v>392986.8</v>
      </c>
      <c r="J121">
        <f>'REGIÃO 03 - HISTÓRICO'!F17</f>
        <v>0</v>
      </c>
      <c r="K121">
        <f>'REGIÃO 03 - HISTÓRICO'!G17</f>
        <v>392986.8</v>
      </c>
      <c r="L121" t="str">
        <f>IF(OR('REGIÃO 03 - RESUMO'!L17="",'REGIÃO 03 - RESUMO'!L17=0),"",'REGIÃO 03 - RESUMO'!L17)</f>
        <v>-</v>
      </c>
      <c r="M121">
        <f>'REGIÃO 03 - HISTÓRICO'!J17</f>
        <v>0</v>
      </c>
      <c r="N121">
        <f>'REGIÃO 03 - HISTÓRICO'!L17</f>
        <v>0</v>
      </c>
      <c r="O121">
        <f>'REGIÃO 03 - HISTÓRICO'!N17</f>
        <v>0</v>
      </c>
      <c r="P121">
        <f>'REGIÃO 03 - HISTÓRICO'!P17</f>
        <v>0</v>
      </c>
      <c r="Q121">
        <f>'REGIÃO 03 - HISTÓRICO'!R17</f>
        <v>0</v>
      </c>
      <c r="R121">
        <f>'REGIÃO 03 - HISTÓRICO'!T17</f>
        <v>0</v>
      </c>
      <c r="S121">
        <f>'REGIÃO 03 - HISTÓRICO'!V17</f>
        <v>0</v>
      </c>
      <c r="T121">
        <f>'REGIÃO 03 - HISTÓRICO'!X17</f>
        <v>0</v>
      </c>
      <c r="U121">
        <f>'REGIÃO 03 - HISTÓRICO'!Z17</f>
        <v>0</v>
      </c>
      <c r="V121">
        <f>'REGIÃO 03 - HISTÓRICO'!AB17</f>
        <v>0</v>
      </c>
      <c r="W121">
        <f>'REGIÃO 03 - HISTÓRICO'!AD17</f>
        <v>0</v>
      </c>
      <c r="X121">
        <f>'REGIÃO 03 - HISTÓRICO'!AF17</f>
        <v>0</v>
      </c>
      <c r="AF121" s="91" t="str">
        <f t="shared" si="23"/>
        <v>R03 L</v>
      </c>
      <c r="AG121" t="str">
        <f t="shared" si="24"/>
        <v>002.2025.0038</v>
      </c>
      <c r="AH121">
        <f t="shared" si="25"/>
        <v>392986.8</v>
      </c>
      <c r="AI121">
        <f t="shared" si="26"/>
        <v>392986.799879</v>
      </c>
      <c r="AJ121">
        <f t="shared" si="27"/>
        <v>39</v>
      </c>
    </row>
    <row r="122" spans="2:36" x14ac:dyDescent="0.3">
      <c r="B122" s="91" t="str">
        <f>'REGIÃO 03 - RESUMO'!C18</f>
        <v>R03 L</v>
      </c>
      <c r="C122" t="str">
        <f>'REGIÃO 03 - RESUMO'!D18</f>
        <v>002.2025</v>
      </c>
      <c r="D122" s="92">
        <f>'REGIÃO 03 - RESUMO'!E18</f>
        <v>39</v>
      </c>
      <c r="E122" s="91" t="str">
        <f>'REGIÃO 03 - RESUMO'!F18</f>
        <v>Março</v>
      </c>
      <c r="F122" s="93">
        <f>'REGIÃO 03 - RESUMO'!H18</f>
        <v>69</v>
      </c>
      <c r="G122" t="str">
        <f>'REGIÃO 03 - RESUMO'!I18</f>
        <v>RODOVIA TO-010 - TRECHO ENTR. TO-222 (POVOADO FARTURÃO) - BABAÇULÂNDIA</v>
      </c>
      <c r="H122" s="91" t="str">
        <f>'REGIÃO 03 - RESUMO'!J18</f>
        <v>Terraplenagem / Execução de BSTC 100 / Reconposição do revestimento primário</v>
      </c>
      <c r="I122">
        <f>'REGIÃO 03 - RESUMO'!K18</f>
        <v>1257310.3500000001</v>
      </c>
      <c r="J122">
        <f>'REGIÃO 03 - HISTÓRICO'!F18</f>
        <v>0</v>
      </c>
      <c r="K122">
        <f>'REGIÃO 03 - HISTÓRICO'!G18</f>
        <v>1257310.3500000001</v>
      </c>
      <c r="L122" t="str">
        <f>IF(OR('REGIÃO 03 - RESUMO'!L18="",'REGIÃO 03 - RESUMO'!L18=0),"",'REGIÃO 03 - RESUMO'!L18)</f>
        <v>Cancelada</v>
      </c>
      <c r="M122">
        <f>'REGIÃO 03 - HISTÓRICO'!J18</f>
        <v>0</v>
      </c>
      <c r="N122">
        <f>'REGIÃO 03 - HISTÓRICO'!L18</f>
        <v>0</v>
      </c>
      <c r="O122">
        <f>'REGIÃO 03 - HISTÓRICO'!N18</f>
        <v>0</v>
      </c>
      <c r="P122">
        <f>'REGIÃO 03 - HISTÓRICO'!P18</f>
        <v>0</v>
      </c>
      <c r="Q122">
        <f>'REGIÃO 03 - HISTÓRICO'!R18</f>
        <v>0</v>
      </c>
      <c r="R122">
        <f>'REGIÃO 03 - HISTÓRICO'!T18</f>
        <v>0</v>
      </c>
      <c r="S122">
        <f>'REGIÃO 03 - HISTÓRICO'!V18</f>
        <v>0</v>
      </c>
      <c r="T122">
        <f>'REGIÃO 03 - HISTÓRICO'!X18</f>
        <v>0</v>
      </c>
      <c r="U122">
        <f>'REGIÃO 03 - HISTÓRICO'!Z18</f>
        <v>0</v>
      </c>
      <c r="V122">
        <f>'REGIÃO 03 - HISTÓRICO'!AB18</f>
        <v>0</v>
      </c>
      <c r="W122">
        <f>'REGIÃO 03 - HISTÓRICO'!AD18</f>
        <v>0</v>
      </c>
      <c r="X122">
        <f>'REGIÃO 03 - HISTÓRICO'!AF18</f>
        <v>0</v>
      </c>
      <c r="AF122" s="91" t="str">
        <f t="shared" si="23"/>
        <v>R03 L</v>
      </c>
      <c r="AG122" t="str">
        <f t="shared" si="24"/>
        <v>002.2025.0039</v>
      </c>
      <c r="AH122">
        <f t="shared" si="25"/>
        <v>1257310.3500000001</v>
      </c>
      <c r="AI122">
        <f t="shared" si="26"/>
        <v>1257310.3498780001</v>
      </c>
      <c r="AJ122">
        <f t="shared" si="27"/>
        <v>12</v>
      </c>
    </row>
    <row r="123" spans="2:36" x14ac:dyDescent="0.3">
      <c r="B123" s="91" t="str">
        <f>'REGIÃO 03 - RESUMO'!C19</f>
        <v>R03 L</v>
      </c>
      <c r="C123" s="91" t="str">
        <f>'REGIÃO 03 - RESUMO'!D19</f>
        <v>002.2025</v>
      </c>
      <c r="D123" s="92">
        <f>'REGIÃO 03 - RESUMO'!E19</f>
        <v>40</v>
      </c>
      <c r="E123" s="91" t="str">
        <f>'REGIÃO 03 - RESUMO'!F19</f>
        <v>Março</v>
      </c>
      <c r="F123" s="93">
        <f>'REGIÃO 03 - RESUMO'!H19</f>
        <v>70</v>
      </c>
      <c r="G123" t="str">
        <f>'REGIÃO 03 - RESUMO'!I19</f>
        <v>RODOVIA TO-010 - TRECHO BABAÇULÂNDIA - WANDERLÂNDIA</v>
      </c>
      <c r="H123" s="91" t="str">
        <f>'REGIÃO 03 - RESUMO'!J19</f>
        <v>Roçada</v>
      </c>
      <c r="I123">
        <f>'REGIÃO 03 - RESUMO'!K19</f>
        <v>33261.25</v>
      </c>
      <c r="J123">
        <f>'REGIÃO 03 - HISTÓRICO'!F19</f>
        <v>0</v>
      </c>
      <c r="K123">
        <f>'REGIÃO 03 - HISTÓRICO'!G19</f>
        <v>33261.25</v>
      </c>
      <c r="L123" t="str">
        <f>IF(OR('REGIÃO 03 - RESUMO'!L19="",'REGIÃO 03 - RESUMO'!L19=0),"",'REGIÃO 03 - RESUMO'!L19)</f>
        <v>Cancelada</v>
      </c>
      <c r="M123">
        <f>'REGIÃO 03 - HISTÓRICO'!J19</f>
        <v>0</v>
      </c>
      <c r="N123">
        <f>'REGIÃO 03 - HISTÓRICO'!L19</f>
        <v>0</v>
      </c>
      <c r="O123">
        <f>'REGIÃO 03 - HISTÓRICO'!N19</f>
        <v>0</v>
      </c>
      <c r="P123">
        <f>'REGIÃO 03 - HISTÓRICO'!P19</f>
        <v>0</v>
      </c>
      <c r="Q123">
        <f>'REGIÃO 03 - HISTÓRICO'!R19</f>
        <v>0</v>
      </c>
      <c r="R123">
        <f>'REGIÃO 03 - HISTÓRICO'!T19</f>
        <v>0</v>
      </c>
      <c r="S123">
        <f>'REGIÃO 03 - HISTÓRICO'!V19</f>
        <v>0</v>
      </c>
      <c r="T123">
        <f>'REGIÃO 03 - HISTÓRICO'!X19</f>
        <v>0</v>
      </c>
      <c r="U123">
        <f>'REGIÃO 03 - HISTÓRICO'!Z19</f>
        <v>0</v>
      </c>
      <c r="V123">
        <f>'REGIÃO 03 - HISTÓRICO'!AB19</f>
        <v>0</v>
      </c>
      <c r="W123">
        <f>'REGIÃO 03 - HISTÓRICO'!AD19</f>
        <v>0</v>
      </c>
      <c r="X123">
        <f>'REGIÃO 03 - HISTÓRICO'!AF19</f>
        <v>0</v>
      </c>
      <c r="AF123" s="91" t="str">
        <f t="shared" si="23"/>
        <v>R03 L</v>
      </c>
      <c r="AG123" t="str">
        <f t="shared" si="24"/>
        <v>002.2025.0040</v>
      </c>
      <c r="AH123">
        <f t="shared" si="25"/>
        <v>33261.25</v>
      </c>
      <c r="AI123">
        <f t="shared" si="26"/>
        <v>33261.249877000002</v>
      </c>
      <c r="AJ123">
        <f t="shared" si="27"/>
        <v>102</v>
      </c>
    </row>
    <row r="124" spans="2:36" x14ac:dyDescent="0.3">
      <c r="B124" s="91" t="str">
        <f>'REGIÃO 03 - RESUMO'!C20</f>
        <v>R03 L</v>
      </c>
      <c r="C124" s="91" t="str">
        <f>'REGIÃO 03 - RESUMO'!D20</f>
        <v>002.2025</v>
      </c>
      <c r="D124" s="92">
        <f>'REGIÃO 03 - RESUMO'!E20</f>
        <v>41</v>
      </c>
      <c r="E124" s="91" t="str">
        <f>'REGIÃO 03 - RESUMO'!F20</f>
        <v>Março</v>
      </c>
      <c r="F124" s="93">
        <f>'REGIÃO 03 - RESUMO'!H20</f>
        <v>77</v>
      </c>
      <c r="G124" t="str">
        <f>'REGIÃO 03 - RESUMO'!I20</f>
        <v>RODOVIA TO-226 - TRECHO GOIATINS - CAMPOS LINDOS - DIV TO-MA</v>
      </c>
      <c r="H124" s="91" t="str">
        <f>'REGIÃO 03 - RESUMO'!J20</f>
        <v>Tapa-Buraco CAE / Remendo Profundo</v>
      </c>
      <c r="I124">
        <f>'REGIÃO 03 - RESUMO'!K20</f>
        <v>492940.26</v>
      </c>
      <c r="J124">
        <f>'REGIÃO 03 - HISTÓRICO'!F20</f>
        <v>427162.94</v>
      </c>
      <c r="K124">
        <f>'REGIÃO 03 - HISTÓRICO'!G20</f>
        <v>65777.320000000007</v>
      </c>
      <c r="L124" t="str">
        <f>IF(OR('REGIÃO 03 - RESUMO'!L20="",'REGIÃO 03 - RESUMO'!L20=0),"",'REGIÃO 03 - RESUMO'!L20)</f>
        <v>Concluída</v>
      </c>
      <c r="M124">
        <f>'REGIÃO 03 - HISTÓRICO'!J20</f>
        <v>0</v>
      </c>
      <c r="N124">
        <f>'REGIÃO 03 - HISTÓRICO'!L20</f>
        <v>0</v>
      </c>
      <c r="O124">
        <f>'REGIÃO 03 - HISTÓRICO'!N20</f>
        <v>348787.48</v>
      </c>
      <c r="P124">
        <f>'REGIÃO 03 - HISTÓRICO'!P20</f>
        <v>78375.460000000006</v>
      </c>
      <c r="Q124">
        <f>'REGIÃO 03 - HISTÓRICO'!R20</f>
        <v>0</v>
      </c>
      <c r="R124">
        <f>'REGIÃO 03 - HISTÓRICO'!T20</f>
        <v>0</v>
      </c>
      <c r="S124">
        <f>'REGIÃO 03 - HISTÓRICO'!V20</f>
        <v>0</v>
      </c>
      <c r="T124">
        <f>'REGIÃO 03 - HISTÓRICO'!X20</f>
        <v>0</v>
      </c>
      <c r="U124">
        <f>'REGIÃO 03 - HISTÓRICO'!Z20</f>
        <v>0</v>
      </c>
      <c r="V124">
        <f>'REGIÃO 03 - HISTÓRICO'!AB20</f>
        <v>0</v>
      </c>
      <c r="W124">
        <f>'REGIÃO 03 - HISTÓRICO'!AD20</f>
        <v>0</v>
      </c>
      <c r="X124">
        <f>'REGIÃO 03 - HISTÓRICO'!AF20</f>
        <v>0</v>
      </c>
      <c r="AF124" s="91" t="str">
        <f t="shared" si="23"/>
        <v>R03 L</v>
      </c>
      <c r="AG124" t="str">
        <f t="shared" si="24"/>
        <v>002.2025.0041</v>
      </c>
      <c r="AH124">
        <f t="shared" si="25"/>
        <v>492940.26</v>
      </c>
      <c r="AI124">
        <f t="shared" si="26"/>
        <v>492940.259876</v>
      </c>
      <c r="AJ124">
        <f t="shared" si="27"/>
        <v>27</v>
      </c>
    </row>
    <row r="125" spans="2:36" x14ac:dyDescent="0.3">
      <c r="B125" s="91" t="str">
        <f>'REGIÃO 03 - RESUMO'!C21</f>
        <v>R03 L</v>
      </c>
      <c r="C125" s="91" t="str">
        <f>'REGIÃO 03 - RESUMO'!D21</f>
        <v>002.2025</v>
      </c>
      <c r="D125" s="92">
        <f>'REGIÃO 03 - RESUMO'!E21</f>
        <v>42</v>
      </c>
      <c r="E125" s="91" t="str">
        <f>'REGIÃO 03 - RESUMO'!F21</f>
        <v>Março</v>
      </c>
      <c r="F125" s="93">
        <f>'REGIÃO 03 - RESUMO'!H21</f>
        <v>68</v>
      </c>
      <c r="G125" t="str">
        <f>'REGIÃO 03 - RESUMO'!I21</f>
        <v>RODOVIA TO-010 - TRECHO PALMEIRANTE - ENTR. TO-222 (POVOADO BIELÂNDIA)</v>
      </c>
      <c r="H125" s="91" t="str">
        <f>'REGIÃO 03 - RESUMO'!J21</f>
        <v>Tapa-Buraco CAE / Remendo Profundo</v>
      </c>
      <c r="I125">
        <f>'REGIÃO 03 - RESUMO'!K21</f>
        <v>411709.24</v>
      </c>
      <c r="J125">
        <f>'REGIÃO 03 - HISTÓRICO'!F21</f>
        <v>257921.37</v>
      </c>
      <c r="K125">
        <f>'REGIÃO 03 - HISTÓRICO'!G21</f>
        <v>153787.87</v>
      </c>
      <c r="L125" t="str">
        <f>IF(OR('REGIÃO 03 - RESUMO'!L21="",'REGIÃO 03 - RESUMO'!L21=0),"",'REGIÃO 03 - RESUMO'!L21)</f>
        <v>Concluída</v>
      </c>
      <c r="M125">
        <f>'REGIÃO 03 - HISTÓRICO'!J21</f>
        <v>0</v>
      </c>
      <c r="N125">
        <f>'REGIÃO 03 - HISTÓRICO'!L21</f>
        <v>0</v>
      </c>
      <c r="O125">
        <f>'REGIÃO 03 - HISTÓRICO'!N21</f>
        <v>257921.37</v>
      </c>
      <c r="P125">
        <f>'REGIÃO 03 - HISTÓRICO'!P21</f>
        <v>0</v>
      </c>
      <c r="Q125">
        <f>'REGIÃO 03 - HISTÓRICO'!R21</f>
        <v>0</v>
      </c>
      <c r="R125">
        <f>'REGIÃO 03 - HISTÓRICO'!T21</f>
        <v>0</v>
      </c>
      <c r="S125">
        <f>'REGIÃO 03 - HISTÓRICO'!V21</f>
        <v>0</v>
      </c>
      <c r="T125">
        <f>'REGIÃO 03 - HISTÓRICO'!X21</f>
        <v>0</v>
      </c>
      <c r="U125">
        <f>'REGIÃO 03 - HISTÓRICO'!Z21</f>
        <v>0</v>
      </c>
      <c r="V125">
        <f>'REGIÃO 03 - HISTÓRICO'!AB21</f>
        <v>0</v>
      </c>
      <c r="W125">
        <f>'REGIÃO 03 - HISTÓRICO'!AD21</f>
        <v>0</v>
      </c>
      <c r="X125">
        <f>'REGIÃO 03 - HISTÓRICO'!AF21</f>
        <v>0</v>
      </c>
      <c r="AF125" s="91" t="str">
        <f t="shared" si="23"/>
        <v>R03 L</v>
      </c>
      <c r="AG125" t="str">
        <f t="shared" si="24"/>
        <v>002.2025.0042</v>
      </c>
      <c r="AH125">
        <f t="shared" si="25"/>
        <v>411709.24</v>
      </c>
      <c r="AI125">
        <f t="shared" si="26"/>
        <v>411709.23987499997</v>
      </c>
      <c r="AJ125">
        <f t="shared" si="27"/>
        <v>35</v>
      </c>
    </row>
    <row r="126" spans="2:36" x14ac:dyDescent="0.3">
      <c r="B126" s="91" t="str">
        <f>'REGIÃO 03 - RESUMO'!C22</f>
        <v>R03 L</v>
      </c>
      <c r="C126" s="91" t="str">
        <f>'REGIÃO 03 - RESUMO'!D22</f>
        <v>002.2025</v>
      </c>
      <c r="D126" s="92">
        <f>'REGIÃO 03 - RESUMO'!E22</f>
        <v>43</v>
      </c>
      <c r="E126" s="91" t="str">
        <f>'REGIÃO 03 - RESUMO'!F22</f>
        <v>Abril</v>
      </c>
      <c r="F126" s="93">
        <f>'REGIÃO 03 - RESUMO'!H22</f>
        <v>80</v>
      </c>
      <c r="G126" t="str">
        <f>'REGIÃO 03 - RESUMO'!I22</f>
        <v>RODOVIA TO-424 - TRECHO ENTR. TO-222 (PLAT. MULTI-MODAL) - BABAÇULÂNDIA</v>
      </c>
      <c r="H126" s="91" t="str">
        <f>'REGIÃO 03 - RESUMO'!J22</f>
        <v>Roçada / Tapa-Buraco PMF / Tapa-Buraco CAE / Remendo Profundo</v>
      </c>
      <c r="I126">
        <f>'REGIÃO 03 - RESUMO'!K22</f>
        <v>277454.59999999998</v>
      </c>
      <c r="J126">
        <f>'REGIÃO 03 - HISTÓRICO'!F22</f>
        <v>99180.97</v>
      </c>
      <c r="K126">
        <f>'REGIÃO 03 - HISTÓRICO'!G22</f>
        <v>178273.62999999998</v>
      </c>
      <c r="L126" t="str">
        <f>IF(OR('REGIÃO 03 - RESUMO'!L22="",'REGIÃO 03 - RESUMO'!L22=0),"",'REGIÃO 03 - RESUMO'!L22)</f>
        <v>Concluída</v>
      </c>
      <c r="M126">
        <f>'REGIÃO 03 - HISTÓRICO'!J22</f>
        <v>0</v>
      </c>
      <c r="N126">
        <f>'REGIÃO 03 - HISTÓRICO'!L22</f>
        <v>0</v>
      </c>
      <c r="O126">
        <f>'REGIÃO 03 - HISTÓRICO'!N22</f>
        <v>0</v>
      </c>
      <c r="P126">
        <f>'REGIÃO 03 - HISTÓRICO'!P22</f>
        <v>99180.97</v>
      </c>
      <c r="Q126">
        <f>'REGIÃO 03 - HISTÓRICO'!R22</f>
        <v>0</v>
      </c>
      <c r="R126">
        <f>'REGIÃO 03 - HISTÓRICO'!T22</f>
        <v>0</v>
      </c>
      <c r="S126">
        <f>'REGIÃO 03 - HISTÓRICO'!V22</f>
        <v>0</v>
      </c>
      <c r="T126">
        <f>'REGIÃO 03 - HISTÓRICO'!X22</f>
        <v>0</v>
      </c>
      <c r="U126">
        <f>'REGIÃO 03 - HISTÓRICO'!Z22</f>
        <v>0</v>
      </c>
      <c r="V126">
        <f>'REGIÃO 03 - HISTÓRICO'!AB22</f>
        <v>0</v>
      </c>
      <c r="W126">
        <f>'REGIÃO 03 - HISTÓRICO'!AD22</f>
        <v>0</v>
      </c>
      <c r="X126">
        <f>'REGIÃO 03 - HISTÓRICO'!AF22</f>
        <v>0</v>
      </c>
      <c r="AF126" s="91" t="str">
        <f t="shared" si="23"/>
        <v>R03 L</v>
      </c>
      <c r="AG126" t="str">
        <f t="shared" si="24"/>
        <v>002.2025.0043</v>
      </c>
      <c r="AH126">
        <f t="shared" si="25"/>
        <v>277454.59999999998</v>
      </c>
      <c r="AI126">
        <f t="shared" si="26"/>
        <v>277454.59987399995</v>
      </c>
      <c r="AJ126">
        <f t="shared" si="27"/>
        <v>47</v>
      </c>
    </row>
    <row r="127" spans="2:36" x14ac:dyDescent="0.3">
      <c r="B127" s="91" t="str">
        <f>'REGIÃO 03 - RESUMO'!C23</f>
        <v>R03 L</v>
      </c>
      <c r="C127" s="91" t="str">
        <f>'REGIÃO 03 - RESUMO'!D23</f>
        <v>002.2025</v>
      </c>
      <c r="D127" s="92">
        <f>'REGIÃO 03 - RESUMO'!E23</f>
        <v>44</v>
      </c>
      <c r="E127" s="91" t="str">
        <f>'REGIÃO 03 - RESUMO'!F23</f>
        <v>Abril</v>
      </c>
      <c r="F127" s="93">
        <f>'REGIÃO 03 - RESUMO'!H23</f>
        <v>75</v>
      </c>
      <c r="G127" t="str">
        <f>'REGIÃO 03 - RESUMO'!I23</f>
        <v>RODOVIA TO-226 - TRECHO NOVA OLINDA - ENTR. TO-010</v>
      </c>
      <c r="H127" s="91" t="str">
        <f>'REGIÃO 03 - RESUMO'!J23</f>
        <v>Terraplenagem / Recomposição do revestimento primário</v>
      </c>
      <c r="I127">
        <f>'REGIÃO 03 - RESUMO'!K23</f>
        <v>349716.53</v>
      </c>
      <c r="J127">
        <f>'REGIÃO 03 - HISTÓRICO'!F23</f>
        <v>349716.53</v>
      </c>
      <c r="K127">
        <f>'REGIÃO 03 - HISTÓRICO'!G23</f>
        <v>0</v>
      </c>
      <c r="L127" t="str">
        <f>IF(OR('REGIÃO 03 - RESUMO'!L23="",'REGIÃO 03 - RESUMO'!L23=0),"",'REGIÃO 03 - RESUMO'!L23)</f>
        <v>Concluída</v>
      </c>
      <c r="M127">
        <f>'REGIÃO 03 - HISTÓRICO'!J23</f>
        <v>0</v>
      </c>
      <c r="N127">
        <f>'REGIÃO 03 - HISTÓRICO'!L23</f>
        <v>0</v>
      </c>
      <c r="O127">
        <f>'REGIÃO 03 - HISTÓRICO'!N23</f>
        <v>0</v>
      </c>
      <c r="P127">
        <f>'REGIÃO 03 - HISTÓRICO'!P23</f>
        <v>349716.53</v>
      </c>
      <c r="Q127">
        <f>'REGIÃO 03 - HISTÓRICO'!R23</f>
        <v>0</v>
      </c>
      <c r="R127">
        <f>'REGIÃO 03 - HISTÓRICO'!T23</f>
        <v>0</v>
      </c>
      <c r="S127">
        <f>'REGIÃO 03 - HISTÓRICO'!V23</f>
        <v>0</v>
      </c>
      <c r="T127">
        <f>'REGIÃO 03 - HISTÓRICO'!X23</f>
        <v>0</v>
      </c>
      <c r="U127">
        <f>'REGIÃO 03 - HISTÓRICO'!Z23</f>
        <v>0</v>
      </c>
      <c r="V127">
        <f>'REGIÃO 03 - HISTÓRICO'!AB23</f>
        <v>0</v>
      </c>
      <c r="W127">
        <f>'REGIÃO 03 - HISTÓRICO'!AD23</f>
        <v>0</v>
      </c>
      <c r="X127">
        <f>'REGIÃO 03 - HISTÓRICO'!AF23</f>
        <v>0</v>
      </c>
      <c r="AF127" s="91" t="str">
        <f t="shared" si="23"/>
        <v>R03 L</v>
      </c>
      <c r="AG127" t="str">
        <f t="shared" si="24"/>
        <v>002.2025.0044</v>
      </c>
      <c r="AH127">
        <f t="shared" si="25"/>
        <v>349716.53</v>
      </c>
      <c r="AI127">
        <f t="shared" si="26"/>
        <v>349716.52987300005</v>
      </c>
      <c r="AJ127">
        <f t="shared" si="27"/>
        <v>44</v>
      </c>
    </row>
    <row r="128" spans="2:36" x14ac:dyDescent="0.3">
      <c r="B128" s="91" t="str">
        <f>'REGIÃO 03 - RESUMO'!C24</f>
        <v>R03 L</v>
      </c>
      <c r="C128" s="91" t="str">
        <f>'REGIÃO 03 - RESUMO'!D24</f>
        <v>002.2025</v>
      </c>
      <c r="D128" s="92">
        <f>'REGIÃO 03 - RESUMO'!E24</f>
        <v>45</v>
      </c>
      <c r="E128" s="91" t="str">
        <f>'REGIÃO 03 - RESUMO'!F24</f>
        <v>Junho</v>
      </c>
      <c r="F128" s="93">
        <f>'REGIÃO 03 - RESUMO'!H24</f>
        <v>75</v>
      </c>
      <c r="G128" t="str">
        <f>'REGIÃO 03 - RESUMO'!I24</f>
        <v>RODOVIA TO-226 - TRECHO NOVA OLINDA - ENTR. TO-010</v>
      </c>
      <c r="H128" s="91" t="str">
        <f>'REGIÃO 03 - RESUMO'!J24</f>
        <v>Recomposição do revestimento primário</v>
      </c>
      <c r="I128">
        <f>'REGIÃO 03 - RESUMO'!K24</f>
        <v>355951.85</v>
      </c>
      <c r="J128">
        <f>'REGIÃO 03 - HISTÓRICO'!F24</f>
        <v>284761.49</v>
      </c>
      <c r="K128">
        <f>'REGIÃO 03 - HISTÓRICO'!G24</f>
        <v>71190.359999999986</v>
      </c>
      <c r="L128" t="str">
        <f>IF(OR('REGIÃO 03 - RESUMO'!L24="",'REGIÃO 03 - RESUMO'!L24=0),"",'REGIÃO 03 - RESUMO'!L24)</f>
        <v>Concluída</v>
      </c>
      <c r="M128">
        <f>'REGIÃO 03 - HISTÓRICO'!J24</f>
        <v>0</v>
      </c>
      <c r="N128">
        <f>'REGIÃO 03 - HISTÓRICO'!L24</f>
        <v>0</v>
      </c>
      <c r="O128">
        <f>'REGIÃO 03 - HISTÓRICO'!N24</f>
        <v>0</v>
      </c>
      <c r="P128">
        <f>'REGIÃO 03 - HISTÓRICO'!P24</f>
        <v>0</v>
      </c>
      <c r="Q128">
        <f>'REGIÃO 03 - HISTÓRICO'!R24</f>
        <v>0</v>
      </c>
      <c r="R128">
        <f>'REGIÃO 03 - HISTÓRICO'!T24</f>
        <v>284761.49</v>
      </c>
      <c r="S128">
        <f>'REGIÃO 03 - HISTÓRICO'!V24</f>
        <v>0</v>
      </c>
      <c r="T128">
        <f>'REGIÃO 03 - HISTÓRICO'!X24</f>
        <v>0</v>
      </c>
      <c r="U128">
        <f>'REGIÃO 03 - HISTÓRICO'!Z24</f>
        <v>0</v>
      </c>
      <c r="V128">
        <f>'REGIÃO 03 - HISTÓRICO'!AB24</f>
        <v>0</v>
      </c>
      <c r="W128">
        <f>'REGIÃO 03 - HISTÓRICO'!AD24</f>
        <v>0</v>
      </c>
      <c r="X128">
        <f>'REGIÃO 03 - HISTÓRICO'!AF24</f>
        <v>0</v>
      </c>
      <c r="AF128" s="91" t="str">
        <f t="shared" si="23"/>
        <v>R03 L</v>
      </c>
      <c r="AG128" t="str">
        <f t="shared" si="24"/>
        <v>002.2025.0045</v>
      </c>
      <c r="AH128">
        <f t="shared" si="25"/>
        <v>355951.85</v>
      </c>
      <c r="AI128">
        <f t="shared" si="26"/>
        <v>355951.84987199999</v>
      </c>
      <c r="AJ128">
        <f t="shared" si="27"/>
        <v>41</v>
      </c>
    </row>
    <row r="129" spans="2:36" x14ac:dyDescent="0.3">
      <c r="B129" s="91" t="str">
        <f>'REGIÃO 03 - RESUMO'!C25</f>
        <v>R03 L</v>
      </c>
      <c r="C129" s="91" t="str">
        <f>'REGIÃO 03 - RESUMO'!D25</f>
        <v>002.2025</v>
      </c>
      <c r="D129" s="92">
        <f>'REGIÃO 03 - RESUMO'!E25</f>
        <v>46</v>
      </c>
      <c r="E129" s="91" t="str">
        <f>'REGIÃO 03 - RESUMO'!F25</f>
        <v>Junho</v>
      </c>
      <c r="F129" s="93">
        <f>'REGIÃO 03 - RESUMO'!H25</f>
        <v>69</v>
      </c>
      <c r="G129" t="str">
        <f>'REGIÃO 03 - RESUMO'!I25</f>
        <v>RODOVIA TO-010 - TRECHO ENTR. TO-222 (POVOADO FARTURÃO) - BABAÇULÂNDIA</v>
      </c>
      <c r="H129" s="91" t="str">
        <f>'REGIÃO 03 - RESUMO'!J25</f>
        <v>Terraplenagem</v>
      </c>
      <c r="I129">
        <f>'REGIÃO 03 - RESUMO'!K25</f>
        <v>85081.5</v>
      </c>
      <c r="J129">
        <f>'REGIÃO 03 - HISTÓRICO'!F25</f>
        <v>85081.5</v>
      </c>
      <c r="K129">
        <f>'REGIÃO 03 - HISTÓRICO'!G25</f>
        <v>0</v>
      </c>
      <c r="L129" t="str">
        <f>IF(OR('REGIÃO 03 - RESUMO'!L25="",'REGIÃO 03 - RESUMO'!L25=0),"",'REGIÃO 03 - RESUMO'!L25)</f>
        <v>Concluída</v>
      </c>
      <c r="M129">
        <f>'REGIÃO 03 - HISTÓRICO'!J25</f>
        <v>0</v>
      </c>
      <c r="N129">
        <f>'REGIÃO 03 - HISTÓRICO'!L25</f>
        <v>0</v>
      </c>
      <c r="O129">
        <f>'REGIÃO 03 - HISTÓRICO'!N25</f>
        <v>0</v>
      </c>
      <c r="P129">
        <f>'REGIÃO 03 - HISTÓRICO'!P25</f>
        <v>0</v>
      </c>
      <c r="Q129">
        <f>'REGIÃO 03 - HISTÓRICO'!R25</f>
        <v>0</v>
      </c>
      <c r="R129">
        <f>'REGIÃO 03 - HISTÓRICO'!T25</f>
        <v>85081.5</v>
      </c>
      <c r="S129">
        <f>'REGIÃO 03 - HISTÓRICO'!V25</f>
        <v>0</v>
      </c>
      <c r="T129">
        <f>'REGIÃO 03 - HISTÓRICO'!X25</f>
        <v>0</v>
      </c>
      <c r="U129">
        <f>'REGIÃO 03 - HISTÓRICO'!Z25</f>
        <v>0</v>
      </c>
      <c r="V129">
        <f>'REGIÃO 03 - HISTÓRICO'!AB25</f>
        <v>0</v>
      </c>
      <c r="W129">
        <f>'REGIÃO 03 - HISTÓRICO'!AD25</f>
        <v>0</v>
      </c>
      <c r="X129">
        <f>'REGIÃO 03 - HISTÓRICO'!AF25</f>
        <v>0</v>
      </c>
      <c r="AF129" s="91" t="str">
        <f t="shared" si="23"/>
        <v>R03 L</v>
      </c>
      <c r="AG129" t="str">
        <f t="shared" si="24"/>
        <v>002.2025.0046</v>
      </c>
      <c r="AH129">
        <f t="shared" si="25"/>
        <v>85081.5</v>
      </c>
      <c r="AI129">
        <f t="shared" si="26"/>
        <v>85081.499871000007</v>
      </c>
      <c r="AJ129">
        <f t="shared" si="27"/>
        <v>73</v>
      </c>
    </row>
    <row r="130" spans="2:36" x14ac:dyDescent="0.3">
      <c r="B130" s="91" t="str">
        <f>'REGIÃO 03 - RESUMO'!C26</f>
        <v>R03 L</v>
      </c>
      <c r="C130" s="91" t="str">
        <f>'REGIÃO 03 - RESUMO'!D26</f>
        <v>002.2025</v>
      </c>
      <c r="D130" s="92">
        <f>'REGIÃO 03 - RESUMO'!E26</f>
        <v>47</v>
      </c>
      <c r="E130" s="91" t="str">
        <f>'REGIÃO 03 - RESUMO'!F26</f>
        <v>Maio</v>
      </c>
      <c r="F130" s="93">
        <f>'REGIÃO 03 - RESUMO'!H26</f>
        <v>73</v>
      </c>
      <c r="G130" t="str">
        <f>'REGIÃO 03 - RESUMO'!I26</f>
        <v>RODOVIA TO-130 - TRECHO ENTR. TO-010 - TRECHO BARRA DO OURO - ENTR. BR-010 (POVOADO MORRO GRANDE)</v>
      </c>
      <c r="H130" s="91" t="str">
        <f>'REGIÃO 03 - RESUMO'!J26</f>
        <v>SERVIÇOS MANUTENÇÃO</v>
      </c>
      <c r="I130">
        <f>'REGIÃO 03 - RESUMO'!K26</f>
        <v>0</v>
      </c>
      <c r="J130">
        <f>'REGIÃO 03 - HISTÓRICO'!F26</f>
        <v>0</v>
      </c>
      <c r="K130">
        <f>'REGIÃO 03 - HISTÓRICO'!G26</f>
        <v>0</v>
      </c>
      <c r="L130" t="str">
        <f>IF(OR('REGIÃO 03 - RESUMO'!L26="",'REGIÃO 03 - RESUMO'!L26=0),"",'REGIÃO 03 - RESUMO'!L26)</f>
        <v>Cancelada</v>
      </c>
      <c r="M130">
        <f>'REGIÃO 03 - HISTÓRICO'!J26</f>
        <v>0</v>
      </c>
      <c r="N130">
        <f>'REGIÃO 03 - HISTÓRICO'!L26</f>
        <v>0</v>
      </c>
      <c r="O130">
        <f>'REGIÃO 03 - HISTÓRICO'!N26</f>
        <v>0</v>
      </c>
      <c r="P130">
        <f>'REGIÃO 03 - HISTÓRICO'!P26</f>
        <v>0</v>
      </c>
      <c r="Q130">
        <f>'REGIÃO 03 - HISTÓRICO'!R26</f>
        <v>0</v>
      </c>
      <c r="R130">
        <f>'REGIÃO 03 - HISTÓRICO'!T26</f>
        <v>0</v>
      </c>
      <c r="S130">
        <f>'REGIÃO 03 - HISTÓRICO'!V26</f>
        <v>0</v>
      </c>
      <c r="T130">
        <f>'REGIÃO 03 - HISTÓRICO'!X26</f>
        <v>0</v>
      </c>
      <c r="U130">
        <f>'REGIÃO 03 - HISTÓRICO'!Z26</f>
        <v>0</v>
      </c>
      <c r="V130">
        <f>'REGIÃO 03 - HISTÓRICO'!AB26</f>
        <v>0</v>
      </c>
      <c r="W130">
        <f>'REGIÃO 03 - HISTÓRICO'!AD26</f>
        <v>0</v>
      </c>
      <c r="X130">
        <f>'REGIÃO 03 - HISTÓRICO'!AF26</f>
        <v>0</v>
      </c>
      <c r="AF130" s="91" t="str">
        <f t="shared" si="23"/>
        <v>R03 L</v>
      </c>
      <c r="AG130" t="str">
        <f t="shared" si="24"/>
        <v>002.2025.0047</v>
      </c>
      <c r="AH130">
        <f t="shared" si="25"/>
        <v>0</v>
      </c>
      <c r="AI130">
        <f t="shared" si="26"/>
        <v>-1.2999999999999999E-4</v>
      </c>
      <c r="AJ130">
        <f t="shared" si="27"/>
        <v>153</v>
      </c>
    </row>
    <row r="131" spans="2:36" x14ac:dyDescent="0.3">
      <c r="B131" s="91" t="str">
        <f>'REGIÃO 03 - RESUMO'!C27</f>
        <v>R03 L</v>
      </c>
      <c r="C131" s="91" t="str">
        <f>'REGIÃO 03 - RESUMO'!D27</f>
        <v>002.2025</v>
      </c>
      <c r="D131" s="92">
        <f>'REGIÃO 03 - RESUMO'!E27</f>
        <v>48</v>
      </c>
      <c r="E131" s="91" t="str">
        <f>'REGIÃO 03 - RESUMO'!F27</f>
        <v>Maio</v>
      </c>
      <c r="F131" s="93">
        <f>'REGIÃO 03 - RESUMO'!H27</f>
        <v>81</v>
      </c>
      <c r="G131" t="str">
        <f>'REGIÃO 03 - RESUMO'!I27</f>
        <v>RODOVIA TO-424 - TRECHO ENTR. TO-010 (BABAÇULÂNDIA) - ENTR. TO-222</v>
      </c>
      <c r="H131" s="91" t="str">
        <f>'REGIÃO 03 - RESUMO'!J27</f>
        <v>SERVIÇOS MANUTENÇÃO</v>
      </c>
      <c r="I131">
        <f>'REGIÃO 03 - RESUMO'!K27</f>
        <v>0</v>
      </c>
      <c r="J131">
        <f>'REGIÃO 03 - HISTÓRICO'!F27</f>
        <v>0</v>
      </c>
      <c r="K131">
        <f>'REGIÃO 03 - HISTÓRICO'!G27</f>
        <v>0</v>
      </c>
      <c r="L131" t="str">
        <f>IF(OR('REGIÃO 03 - RESUMO'!L27="",'REGIÃO 03 - RESUMO'!L27=0),"",'REGIÃO 03 - RESUMO'!L27)</f>
        <v>Cancelada</v>
      </c>
      <c r="M131">
        <f>'REGIÃO 03 - HISTÓRICO'!J27</f>
        <v>0</v>
      </c>
      <c r="N131">
        <f>'REGIÃO 03 - HISTÓRICO'!L27</f>
        <v>0</v>
      </c>
      <c r="O131">
        <f>'REGIÃO 03 - HISTÓRICO'!N27</f>
        <v>0</v>
      </c>
      <c r="P131">
        <f>'REGIÃO 03 - HISTÓRICO'!P27</f>
        <v>0</v>
      </c>
      <c r="Q131">
        <f>'REGIÃO 03 - HISTÓRICO'!R27</f>
        <v>0</v>
      </c>
      <c r="R131">
        <f>'REGIÃO 03 - HISTÓRICO'!T27</f>
        <v>0</v>
      </c>
      <c r="S131">
        <f>'REGIÃO 03 - HISTÓRICO'!V27</f>
        <v>0</v>
      </c>
      <c r="T131">
        <f>'REGIÃO 03 - HISTÓRICO'!X27</f>
        <v>0</v>
      </c>
      <c r="U131">
        <f>'REGIÃO 03 - HISTÓRICO'!Z27</f>
        <v>0</v>
      </c>
      <c r="V131">
        <f>'REGIÃO 03 - HISTÓRICO'!AB27</f>
        <v>0</v>
      </c>
      <c r="W131">
        <f>'REGIÃO 03 - HISTÓRICO'!AD27</f>
        <v>0</v>
      </c>
      <c r="X131">
        <f>'REGIÃO 03 - HISTÓRICO'!AF27</f>
        <v>0</v>
      </c>
      <c r="AF131" s="91" t="str">
        <f t="shared" si="23"/>
        <v>R03 L</v>
      </c>
      <c r="AG131" t="str">
        <f t="shared" si="24"/>
        <v>002.2025.0048</v>
      </c>
      <c r="AH131">
        <f t="shared" si="25"/>
        <v>0</v>
      </c>
      <c r="AI131">
        <f t="shared" si="26"/>
        <v>-1.3100000000000001E-4</v>
      </c>
      <c r="AJ131">
        <f t="shared" si="27"/>
        <v>154</v>
      </c>
    </row>
    <row r="132" spans="2:36" x14ac:dyDescent="0.3">
      <c r="B132" s="91" t="str">
        <f>'REGIÃO 03 - RESUMO'!C28</f>
        <v>R03 L</v>
      </c>
      <c r="C132" s="91" t="str">
        <f>'REGIÃO 03 - RESUMO'!D28</f>
        <v>002.2025</v>
      </c>
      <c r="D132" s="92">
        <f>'REGIÃO 03 - RESUMO'!E28</f>
        <v>49</v>
      </c>
      <c r="E132" s="91" t="str">
        <f>'REGIÃO 03 - RESUMO'!F28</f>
        <v>Maio</v>
      </c>
      <c r="F132" s="93">
        <f>'REGIÃO 03 - RESUMO'!H28</f>
        <v>82</v>
      </c>
      <c r="G132" t="str">
        <f>'REGIÃO 03 - RESUMO'!I28</f>
        <v>RODOVIA TO-425 - TRECHO ENTR. TO-130 (BARRA DO OURO) - GOIATINS</v>
      </c>
      <c r="H132" s="91" t="str">
        <f>'REGIÃO 03 - RESUMO'!J28</f>
        <v>Terraplenagem / Reconformação da plataforma / Recomposição do revestimento primário</v>
      </c>
      <c r="I132">
        <f>'REGIÃO 03 - RESUMO'!K28</f>
        <v>999730.13</v>
      </c>
      <c r="J132">
        <f>'REGIÃO 03 - HISTÓRICO'!F28</f>
        <v>702353.9</v>
      </c>
      <c r="K132">
        <f>'REGIÃO 03 - HISTÓRICO'!G28</f>
        <v>297376.23</v>
      </c>
      <c r="L132" t="str">
        <f>IF(OR('REGIÃO 03 - RESUMO'!L28="",'REGIÃO 03 - RESUMO'!L28=0),"",'REGIÃO 03 - RESUMO'!L28)</f>
        <v>Concluída</v>
      </c>
      <c r="M132">
        <f>'REGIÃO 03 - HISTÓRICO'!J28</f>
        <v>0</v>
      </c>
      <c r="N132">
        <f>'REGIÃO 03 - HISTÓRICO'!L28</f>
        <v>0</v>
      </c>
      <c r="O132">
        <f>'REGIÃO 03 - HISTÓRICO'!N28</f>
        <v>0</v>
      </c>
      <c r="P132">
        <f>'REGIÃO 03 - HISTÓRICO'!P28</f>
        <v>0</v>
      </c>
      <c r="Q132">
        <f>'REGIÃO 03 - HISTÓRICO'!R28</f>
        <v>0</v>
      </c>
      <c r="R132">
        <f>'REGIÃO 03 - HISTÓRICO'!T28</f>
        <v>702353.9</v>
      </c>
      <c r="S132">
        <f>'REGIÃO 03 - HISTÓRICO'!V28</f>
        <v>0</v>
      </c>
      <c r="T132">
        <f>'REGIÃO 03 - HISTÓRICO'!X28</f>
        <v>0</v>
      </c>
      <c r="U132">
        <f>'REGIÃO 03 - HISTÓRICO'!Z28</f>
        <v>0</v>
      </c>
      <c r="V132">
        <f>'REGIÃO 03 - HISTÓRICO'!AB28</f>
        <v>0</v>
      </c>
      <c r="W132">
        <f>'REGIÃO 03 - HISTÓRICO'!AD28</f>
        <v>0</v>
      </c>
      <c r="X132">
        <f>'REGIÃO 03 - HISTÓRICO'!AF28</f>
        <v>0</v>
      </c>
      <c r="AF132" s="91" t="str">
        <f t="shared" ref="AF132:AF166" si="28">$B132</f>
        <v>R03 L</v>
      </c>
      <c r="AG132" t="str">
        <f t="shared" ref="AG132:AG166" si="29">$C132&amp;"."&amp;TEXT($D132,"0000")</f>
        <v>002.2025.0049</v>
      </c>
      <c r="AH132">
        <f t="shared" ref="AH132:AH166" si="30">IF(OR($Z$1="*",COUNTIF($B132,$Z$1)=1),$I132,-1)</f>
        <v>999730.13</v>
      </c>
      <c r="AI132">
        <f t="shared" ref="AI132:AI166" si="31">IF($AH132&lt;0,"",$AH132-ROW()/1000000)</f>
        <v>999730.12986800005</v>
      </c>
      <c r="AJ132">
        <f t="shared" ref="AJ132:AJ166" si="32">IFERROR(RANK($AI132,$AI$4:$AI$166),"")</f>
        <v>18</v>
      </c>
    </row>
    <row r="133" spans="2:36" x14ac:dyDescent="0.3">
      <c r="B133" s="91" t="str">
        <f>'REGIÃO 03 - RESUMO'!C29</f>
        <v>R03 L</v>
      </c>
      <c r="C133" s="91" t="str">
        <f>'REGIÃO 03 - RESUMO'!D29</f>
        <v>002.2025</v>
      </c>
      <c r="D133" s="92">
        <f>'REGIÃO 03 - RESUMO'!E29</f>
        <v>50</v>
      </c>
      <c r="E133" s="91" t="str">
        <f>'REGIÃO 03 - RESUMO'!F29</f>
        <v>Maio</v>
      </c>
      <c r="F133" s="93">
        <f>'REGIÃO 03 - RESUMO'!H29</f>
        <v>69</v>
      </c>
      <c r="G133" t="str">
        <f>'REGIÃO 03 - RESUMO'!I29</f>
        <v>RODOVIA TO-010 - TRECHO ENTR. TO-222 (POVOADO FARTURÃO) - BABAÇULÂNDIA</v>
      </c>
      <c r="H133" s="91" t="str">
        <f>'REGIÃO 03 - RESUMO'!J29</f>
        <v>Reconformação da plataforma</v>
      </c>
      <c r="I133">
        <f>'REGIÃO 03 - RESUMO'!K29</f>
        <v>37152.32</v>
      </c>
      <c r="J133">
        <f>'REGIÃO 03 - HISTÓRICO'!F29</f>
        <v>37152.32</v>
      </c>
      <c r="K133">
        <f>'REGIÃO 03 - HISTÓRICO'!G29</f>
        <v>0</v>
      </c>
      <c r="L133" t="str">
        <f>IF(OR('REGIÃO 03 - RESUMO'!L29="",'REGIÃO 03 - RESUMO'!L29=0),"",'REGIÃO 03 - RESUMO'!L29)</f>
        <v>Concluída</v>
      </c>
      <c r="M133">
        <f>'REGIÃO 03 - HISTÓRICO'!J29</f>
        <v>0</v>
      </c>
      <c r="N133">
        <f>'REGIÃO 03 - HISTÓRICO'!L29</f>
        <v>0</v>
      </c>
      <c r="O133">
        <f>'REGIÃO 03 - HISTÓRICO'!N29</f>
        <v>0</v>
      </c>
      <c r="P133">
        <f>'REGIÃO 03 - HISTÓRICO'!P29</f>
        <v>0</v>
      </c>
      <c r="Q133">
        <f>'REGIÃO 03 - HISTÓRICO'!R29</f>
        <v>37152.32</v>
      </c>
      <c r="R133">
        <f>'REGIÃO 03 - HISTÓRICO'!T29</f>
        <v>0</v>
      </c>
      <c r="S133">
        <f>'REGIÃO 03 - HISTÓRICO'!V29</f>
        <v>0</v>
      </c>
      <c r="T133">
        <f>'REGIÃO 03 - HISTÓRICO'!X29</f>
        <v>0</v>
      </c>
      <c r="U133">
        <f>'REGIÃO 03 - HISTÓRICO'!Z29</f>
        <v>0</v>
      </c>
      <c r="V133">
        <f>'REGIÃO 03 - HISTÓRICO'!AB29</f>
        <v>0</v>
      </c>
      <c r="W133">
        <f>'REGIÃO 03 - HISTÓRICO'!AD29</f>
        <v>0</v>
      </c>
      <c r="X133">
        <f>'REGIÃO 03 - HISTÓRICO'!AF29</f>
        <v>0</v>
      </c>
      <c r="AF133" s="91" t="str">
        <f t="shared" si="28"/>
        <v>R03 L</v>
      </c>
      <c r="AG133" t="str">
        <f t="shared" si="29"/>
        <v>002.2025.0050</v>
      </c>
      <c r="AH133">
        <f t="shared" si="30"/>
        <v>37152.32</v>
      </c>
      <c r="AI133">
        <f t="shared" si="31"/>
        <v>37152.319866999998</v>
      </c>
      <c r="AJ133">
        <f t="shared" si="32"/>
        <v>98</v>
      </c>
    </row>
    <row r="134" spans="2:36" x14ac:dyDescent="0.3">
      <c r="B134" s="91" t="str">
        <f>'REGIÃO 03 - RESUMO'!C30</f>
        <v>R03 L</v>
      </c>
      <c r="C134" s="91" t="str">
        <f>'REGIÃO 03 - RESUMO'!D30</f>
        <v>002.2025</v>
      </c>
      <c r="D134" s="92">
        <f>'REGIÃO 03 - RESUMO'!E30</f>
        <v>51</v>
      </c>
      <c r="E134" s="91" t="str">
        <f>'REGIÃO 03 - RESUMO'!F30</f>
        <v>Junho</v>
      </c>
      <c r="F134" s="93">
        <f>'REGIÃO 03 - RESUMO'!H30</f>
        <v>81</v>
      </c>
      <c r="G134" t="str">
        <f>'REGIÃO 03 - RESUMO'!I30</f>
        <v>RODOVIA TO-424 - TRECHO ENTR. TO-010 (BABAÇULÂNDIA) - ENTR. TO-222</v>
      </c>
      <c r="H134" s="91" t="str">
        <f>'REGIÃO 03 - RESUMO'!J30</f>
        <v>Reconformação da plataforma</v>
      </c>
      <c r="I134">
        <f>'REGIÃO 03 - RESUMO'!K30</f>
        <v>30442.15</v>
      </c>
      <c r="J134">
        <f>'REGIÃO 03 - HISTÓRICO'!F30</f>
        <v>0</v>
      </c>
      <c r="K134">
        <f>'REGIÃO 03 - HISTÓRICO'!G30</f>
        <v>30442.15</v>
      </c>
      <c r="L134" t="str">
        <f>IF(OR('REGIÃO 03 - RESUMO'!L30="",'REGIÃO 03 - RESUMO'!L30=0),"",'REGIÃO 03 - RESUMO'!L30)</f>
        <v>Cancelada</v>
      </c>
      <c r="M134">
        <f>'REGIÃO 03 - HISTÓRICO'!J30</f>
        <v>0</v>
      </c>
      <c r="N134">
        <f>'REGIÃO 03 - HISTÓRICO'!L30</f>
        <v>0</v>
      </c>
      <c r="O134">
        <f>'REGIÃO 03 - HISTÓRICO'!N30</f>
        <v>0</v>
      </c>
      <c r="P134">
        <f>'REGIÃO 03 - HISTÓRICO'!P30</f>
        <v>0</v>
      </c>
      <c r="Q134">
        <f>'REGIÃO 03 - HISTÓRICO'!R30</f>
        <v>0</v>
      </c>
      <c r="R134">
        <f>'REGIÃO 03 - HISTÓRICO'!T30</f>
        <v>0</v>
      </c>
      <c r="S134">
        <f>'REGIÃO 03 - HISTÓRICO'!V30</f>
        <v>0</v>
      </c>
      <c r="T134">
        <f>'REGIÃO 03 - HISTÓRICO'!X30</f>
        <v>0</v>
      </c>
      <c r="U134">
        <f>'REGIÃO 03 - HISTÓRICO'!Z30</f>
        <v>0</v>
      </c>
      <c r="V134">
        <f>'REGIÃO 03 - HISTÓRICO'!AB30</f>
        <v>0</v>
      </c>
      <c r="W134">
        <f>'REGIÃO 03 - HISTÓRICO'!AD30</f>
        <v>0</v>
      </c>
      <c r="X134">
        <f>'REGIÃO 03 - HISTÓRICO'!AF30</f>
        <v>0</v>
      </c>
      <c r="AF134" s="91" t="str">
        <f t="shared" si="28"/>
        <v>R03 L</v>
      </c>
      <c r="AG134" t="str">
        <f t="shared" si="29"/>
        <v>002.2025.0051</v>
      </c>
      <c r="AH134">
        <f t="shared" si="30"/>
        <v>30442.15</v>
      </c>
      <c r="AI134">
        <f t="shared" si="31"/>
        <v>30442.149866</v>
      </c>
      <c r="AJ134">
        <f t="shared" si="32"/>
        <v>104</v>
      </c>
    </row>
    <row r="135" spans="2:36" x14ac:dyDescent="0.3">
      <c r="B135" s="91" t="str">
        <f>'REGIÃO 03 - RESUMO'!C31</f>
        <v>R03 L</v>
      </c>
      <c r="C135" s="91" t="str">
        <f>'REGIÃO 03 - RESUMO'!D31</f>
        <v>002.2025</v>
      </c>
      <c r="D135" s="92">
        <f>'REGIÃO 03 - RESUMO'!E31</f>
        <v>52</v>
      </c>
      <c r="E135" s="91" t="str">
        <f>'REGIÃO 03 - RESUMO'!F31</f>
        <v>Junho</v>
      </c>
      <c r="F135" s="93">
        <f>'REGIÃO 03 - RESUMO'!H31</f>
        <v>72</v>
      </c>
      <c r="G135" t="str">
        <f>'REGIÃO 03 - RESUMO'!I31</f>
        <v>RODOVIA TO-130 - TRECHO ENTR. TO-424 - TRECHO ENTR. TO-222</v>
      </c>
      <c r="H135" s="91" t="str">
        <f>'REGIÃO 03 - RESUMO'!J31</f>
        <v>Reconformação da plataforma</v>
      </c>
      <c r="I135">
        <f>'REGIÃO 03 - RESUMO'!K31</f>
        <v>18687.12</v>
      </c>
      <c r="J135">
        <f>'REGIÃO 03 - HISTÓRICO'!F31</f>
        <v>0</v>
      </c>
      <c r="K135">
        <f>'REGIÃO 03 - HISTÓRICO'!G31</f>
        <v>18687.12</v>
      </c>
      <c r="L135" t="str">
        <f>IF(OR('REGIÃO 03 - RESUMO'!L31="",'REGIÃO 03 - RESUMO'!L31=0),"",'REGIÃO 03 - RESUMO'!L31)</f>
        <v>Cancelada</v>
      </c>
      <c r="M135">
        <f>'REGIÃO 03 - HISTÓRICO'!J31</f>
        <v>0</v>
      </c>
      <c r="N135">
        <f>'REGIÃO 03 - HISTÓRICO'!L31</f>
        <v>0</v>
      </c>
      <c r="O135">
        <f>'REGIÃO 03 - HISTÓRICO'!N31</f>
        <v>0</v>
      </c>
      <c r="P135">
        <f>'REGIÃO 03 - HISTÓRICO'!P31</f>
        <v>0</v>
      </c>
      <c r="Q135">
        <f>'REGIÃO 03 - HISTÓRICO'!R31</f>
        <v>0</v>
      </c>
      <c r="R135">
        <f>'REGIÃO 03 - HISTÓRICO'!T31</f>
        <v>0</v>
      </c>
      <c r="S135">
        <f>'REGIÃO 03 - HISTÓRICO'!V31</f>
        <v>0</v>
      </c>
      <c r="T135">
        <f>'REGIÃO 03 - HISTÓRICO'!X31</f>
        <v>0</v>
      </c>
      <c r="U135">
        <f>'REGIÃO 03 - HISTÓRICO'!Z31</f>
        <v>0</v>
      </c>
      <c r="V135">
        <f>'REGIÃO 03 - HISTÓRICO'!AB31</f>
        <v>0</v>
      </c>
      <c r="W135">
        <f>'REGIÃO 03 - HISTÓRICO'!AD31</f>
        <v>0</v>
      </c>
      <c r="X135">
        <f>'REGIÃO 03 - HISTÓRICO'!AF31</f>
        <v>0</v>
      </c>
      <c r="AF135" s="91" t="str">
        <f t="shared" si="28"/>
        <v>R03 L</v>
      </c>
      <c r="AG135" t="str">
        <f t="shared" si="29"/>
        <v>002.2025.0052</v>
      </c>
      <c r="AH135">
        <f t="shared" si="30"/>
        <v>18687.12</v>
      </c>
      <c r="AI135">
        <f t="shared" si="31"/>
        <v>18687.119865000001</v>
      </c>
      <c r="AJ135">
        <f t="shared" si="32"/>
        <v>122</v>
      </c>
    </row>
    <row r="136" spans="2:36" x14ac:dyDescent="0.3">
      <c r="B136" s="91" t="str">
        <f>'REGIÃO 03 - RESUMO'!C32</f>
        <v>R03 L</v>
      </c>
      <c r="C136" s="91" t="str">
        <f>'REGIÃO 03 - RESUMO'!D32</f>
        <v>002.2025</v>
      </c>
      <c r="D136" s="92">
        <f>'REGIÃO 03 - RESUMO'!E32</f>
        <v>53</v>
      </c>
      <c r="E136" s="91" t="str">
        <f>'REGIÃO 03 - RESUMO'!F32</f>
        <v>Maio</v>
      </c>
      <c r="F136" s="93">
        <f>'REGIÃO 03 - RESUMO'!H32</f>
        <v>69</v>
      </c>
      <c r="G136" t="str">
        <f>'REGIÃO 03 - RESUMO'!I32</f>
        <v>RODOVIA TO-010 - TRECHO ENTR. TO-222 (POVOADO FARTURÃO) - BABAÇULÂNDIA</v>
      </c>
      <c r="H136" s="91" t="str">
        <f>'REGIÃO 03 - RESUMO'!J32</f>
        <v>Terraplenagem / Execução de BDTC 100 / Recomposição do revestimento primário</v>
      </c>
      <c r="I136">
        <f>'REGIÃO 03 - RESUMO'!K32</f>
        <v>1265622.23</v>
      </c>
      <c r="J136">
        <f>'REGIÃO 03 - HISTÓRICO'!F32</f>
        <v>1157211.4099999999</v>
      </c>
      <c r="K136">
        <f>'REGIÃO 03 - HISTÓRICO'!G32</f>
        <v>108410.82000000007</v>
      </c>
      <c r="L136" t="str">
        <f>IF(OR('REGIÃO 03 - RESUMO'!L32="",'REGIÃO 03 - RESUMO'!L32=0),"",'REGIÃO 03 - RESUMO'!L32)</f>
        <v>Concluída</v>
      </c>
      <c r="M136">
        <f>'REGIÃO 03 - HISTÓRICO'!J32</f>
        <v>0</v>
      </c>
      <c r="N136">
        <f>'REGIÃO 03 - HISTÓRICO'!L32</f>
        <v>0</v>
      </c>
      <c r="O136">
        <f>'REGIÃO 03 - HISTÓRICO'!N32</f>
        <v>0</v>
      </c>
      <c r="P136">
        <f>'REGIÃO 03 - HISTÓRICO'!P32</f>
        <v>0</v>
      </c>
      <c r="Q136">
        <f>'REGIÃO 03 - HISTÓRICO'!R32</f>
        <v>1157211.4099999999</v>
      </c>
      <c r="R136">
        <f>'REGIÃO 03 - HISTÓRICO'!T32</f>
        <v>0</v>
      </c>
      <c r="S136">
        <f>'REGIÃO 03 - HISTÓRICO'!V32</f>
        <v>0</v>
      </c>
      <c r="T136">
        <f>'REGIÃO 03 - HISTÓRICO'!X32</f>
        <v>0</v>
      </c>
      <c r="U136">
        <f>'REGIÃO 03 - HISTÓRICO'!Z32</f>
        <v>0</v>
      </c>
      <c r="V136">
        <f>'REGIÃO 03 - HISTÓRICO'!AB32</f>
        <v>0</v>
      </c>
      <c r="W136">
        <f>'REGIÃO 03 - HISTÓRICO'!AD32</f>
        <v>0</v>
      </c>
      <c r="X136">
        <f>'REGIÃO 03 - HISTÓRICO'!AF32</f>
        <v>0</v>
      </c>
      <c r="AF136" s="91" t="str">
        <f t="shared" si="28"/>
        <v>R03 L</v>
      </c>
      <c r="AG136" t="str">
        <f t="shared" si="29"/>
        <v>002.2025.0053</v>
      </c>
      <c r="AH136">
        <f t="shared" si="30"/>
        <v>1265622.23</v>
      </c>
      <c r="AI136">
        <f t="shared" si="31"/>
        <v>1265622.2298639999</v>
      </c>
      <c r="AJ136">
        <f t="shared" si="32"/>
        <v>11</v>
      </c>
    </row>
    <row r="137" spans="2:36" x14ac:dyDescent="0.3">
      <c r="B137" s="91" t="str">
        <f>'REGIÃO 03 - RESUMO'!C33</f>
        <v>R03 L</v>
      </c>
      <c r="C137" s="91" t="str">
        <f>'REGIÃO 03 - RESUMO'!D33</f>
        <v>002.2025</v>
      </c>
      <c r="D137" s="92">
        <f>'REGIÃO 03 - RESUMO'!E33</f>
        <v>54</v>
      </c>
      <c r="E137" s="91" t="str">
        <f>'REGIÃO 03 - RESUMO'!F33</f>
        <v>Junho</v>
      </c>
      <c r="F137" s="93">
        <f>'REGIÃO 03 - RESUMO'!H33</f>
        <v>71</v>
      </c>
      <c r="G137" t="str">
        <f>'REGIÃO 03 - RESUMO'!I33</f>
        <v>RODOVIA TO-020 - TRECHO RECURSOLÂNDIA - CAMPOS LINDOS</v>
      </c>
      <c r="H137" s="91" t="str">
        <f>'REGIÃO 03 - RESUMO'!J33</f>
        <v>SERVIÇOS MANUTENÇÃO</v>
      </c>
      <c r="I137">
        <f>'REGIÃO 03 - RESUMO'!K33</f>
        <v>0</v>
      </c>
      <c r="J137">
        <f>'REGIÃO 03 - HISTÓRICO'!F33</f>
        <v>0</v>
      </c>
      <c r="K137">
        <f>'REGIÃO 03 - HISTÓRICO'!G33</f>
        <v>0</v>
      </c>
      <c r="L137" t="str">
        <f>IF(OR('REGIÃO 03 - RESUMO'!L33="",'REGIÃO 03 - RESUMO'!L33=0),"",'REGIÃO 03 - RESUMO'!L33)</f>
        <v>Cancelada</v>
      </c>
      <c r="M137">
        <f>'REGIÃO 03 - HISTÓRICO'!J33</f>
        <v>0</v>
      </c>
      <c r="N137">
        <f>'REGIÃO 03 - HISTÓRICO'!L33</f>
        <v>0</v>
      </c>
      <c r="O137">
        <f>'REGIÃO 03 - HISTÓRICO'!N33</f>
        <v>0</v>
      </c>
      <c r="P137">
        <f>'REGIÃO 03 - HISTÓRICO'!P33</f>
        <v>0</v>
      </c>
      <c r="Q137">
        <f>'REGIÃO 03 - HISTÓRICO'!R33</f>
        <v>0</v>
      </c>
      <c r="R137">
        <f>'REGIÃO 03 - HISTÓRICO'!T33</f>
        <v>0</v>
      </c>
      <c r="S137">
        <f>'REGIÃO 03 - HISTÓRICO'!V33</f>
        <v>0</v>
      </c>
      <c r="T137">
        <f>'REGIÃO 03 - HISTÓRICO'!X33</f>
        <v>0</v>
      </c>
      <c r="U137">
        <f>'REGIÃO 03 - HISTÓRICO'!Z33</f>
        <v>0</v>
      </c>
      <c r="V137">
        <f>'REGIÃO 03 - HISTÓRICO'!AB33</f>
        <v>0</v>
      </c>
      <c r="W137">
        <f>'REGIÃO 03 - HISTÓRICO'!AD33</f>
        <v>0</v>
      </c>
      <c r="X137">
        <f>'REGIÃO 03 - HISTÓRICO'!AF33</f>
        <v>0</v>
      </c>
      <c r="AF137" s="91" t="str">
        <f t="shared" si="28"/>
        <v>R03 L</v>
      </c>
      <c r="AG137" t="str">
        <f t="shared" si="29"/>
        <v>002.2025.0054</v>
      </c>
      <c r="AH137">
        <f t="shared" si="30"/>
        <v>0</v>
      </c>
      <c r="AI137">
        <f t="shared" si="31"/>
        <v>-1.37E-4</v>
      </c>
      <c r="AJ137">
        <f t="shared" si="32"/>
        <v>155</v>
      </c>
    </row>
    <row r="138" spans="2:36" x14ac:dyDescent="0.3">
      <c r="B138" s="91" t="str">
        <f>'REGIÃO 03 - RESUMO'!C34</f>
        <v>R03 L</v>
      </c>
      <c r="C138" s="91" t="str">
        <f>'REGIÃO 03 - RESUMO'!D34</f>
        <v>002.2025</v>
      </c>
      <c r="D138" s="92">
        <f>'REGIÃO 03 - RESUMO'!E34</f>
        <v>55</v>
      </c>
      <c r="E138" s="91" t="str">
        <f>'REGIÃO 03 - RESUMO'!F34</f>
        <v>Julho</v>
      </c>
      <c r="F138" s="93">
        <f>'REGIÃO 03 - RESUMO'!H34</f>
        <v>68</v>
      </c>
      <c r="G138" t="str">
        <f>'REGIÃO 03 - RESUMO'!I34</f>
        <v>RODOVIA TO-010 - TRECHO PALMEIRANTE - ENTR. TO-222 (POVOADO BIELÂNDIA)</v>
      </c>
      <c r="H138" s="91" t="str">
        <f>'REGIÃO 03 - RESUMO'!J34</f>
        <v>SERVIÇOS MANUTENÇÃO</v>
      </c>
      <c r="I138">
        <f>'REGIÃO 03 - RESUMO'!K34</f>
        <v>0</v>
      </c>
      <c r="J138">
        <f>'REGIÃO 03 - HISTÓRICO'!F34</f>
        <v>0</v>
      </c>
      <c r="K138">
        <f>'REGIÃO 03 - HISTÓRICO'!G34</f>
        <v>0</v>
      </c>
      <c r="L138" t="str">
        <f>IF(OR('REGIÃO 03 - RESUMO'!L34="",'REGIÃO 03 - RESUMO'!L34=0),"",'REGIÃO 03 - RESUMO'!L34)</f>
        <v>Cancelada</v>
      </c>
      <c r="M138">
        <f>'REGIÃO 03 - HISTÓRICO'!J34</f>
        <v>0</v>
      </c>
      <c r="N138">
        <f>'REGIÃO 03 - HISTÓRICO'!L34</f>
        <v>0</v>
      </c>
      <c r="O138">
        <f>'REGIÃO 03 - HISTÓRICO'!N34</f>
        <v>0</v>
      </c>
      <c r="P138">
        <f>'REGIÃO 03 - HISTÓRICO'!P34</f>
        <v>0</v>
      </c>
      <c r="Q138">
        <f>'REGIÃO 03 - HISTÓRICO'!R34</f>
        <v>0</v>
      </c>
      <c r="R138">
        <f>'REGIÃO 03 - HISTÓRICO'!T34</f>
        <v>0</v>
      </c>
      <c r="S138">
        <f>'REGIÃO 03 - HISTÓRICO'!V34</f>
        <v>0</v>
      </c>
      <c r="T138">
        <f>'REGIÃO 03 - HISTÓRICO'!X34</f>
        <v>0</v>
      </c>
      <c r="U138">
        <f>'REGIÃO 03 - HISTÓRICO'!Z34</f>
        <v>0</v>
      </c>
      <c r="V138">
        <f>'REGIÃO 03 - HISTÓRICO'!AB34</f>
        <v>0</v>
      </c>
      <c r="W138">
        <f>'REGIÃO 03 - HISTÓRICO'!AD34</f>
        <v>0</v>
      </c>
      <c r="X138">
        <f>'REGIÃO 03 - HISTÓRICO'!AF34</f>
        <v>0</v>
      </c>
      <c r="AF138" s="91" t="str">
        <f t="shared" si="28"/>
        <v>R03 L</v>
      </c>
      <c r="AG138" t="str">
        <f t="shared" si="29"/>
        <v>002.2025.0055</v>
      </c>
      <c r="AH138">
        <f t="shared" si="30"/>
        <v>0</v>
      </c>
      <c r="AI138">
        <f t="shared" si="31"/>
        <v>-1.3799999999999999E-4</v>
      </c>
      <c r="AJ138">
        <f t="shared" si="32"/>
        <v>156</v>
      </c>
    </row>
    <row r="139" spans="2:36" x14ac:dyDescent="0.3">
      <c r="B139" s="91" t="str">
        <f>'REGIÃO 03 - RESUMO'!C35</f>
        <v>R03 L</v>
      </c>
      <c r="C139" s="91" t="str">
        <f>'REGIÃO 03 - RESUMO'!D35</f>
        <v>002.2025</v>
      </c>
      <c r="D139" s="92">
        <f>'REGIÃO 03 - RESUMO'!E35</f>
        <v>56</v>
      </c>
      <c r="E139" s="91" t="str">
        <f>'REGIÃO 03 - RESUMO'!F35</f>
        <v>Julho</v>
      </c>
      <c r="F139" s="93">
        <f>'REGIÃO 03 - RESUMO'!H35</f>
        <v>70</v>
      </c>
      <c r="G139" t="str">
        <f>'REGIÃO 03 - RESUMO'!I35</f>
        <v>RODOVIA TO-010 - TRECHO BABAÇULÂNDIA - WANDERLÂNDIA</v>
      </c>
      <c r="H139" s="91" t="str">
        <f>'REGIÃO 03 - RESUMO'!J35</f>
        <v>SERVIÇOS MANUTENÇÃO</v>
      </c>
      <c r="I139">
        <f>'REGIÃO 03 - RESUMO'!K35</f>
        <v>0</v>
      </c>
      <c r="J139">
        <f>'REGIÃO 03 - HISTÓRICO'!F35</f>
        <v>0</v>
      </c>
      <c r="K139">
        <f>'REGIÃO 03 - HISTÓRICO'!G35</f>
        <v>0</v>
      </c>
      <c r="L139" t="str">
        <f>IF(OR('REGIÃO 03 - RESUMO'!L35="",'REGIÃO 03 - RESUMO'!L35=0),"",'REGIÃO 03 - RESUMO'!L35)</f>
        <v>Cancelada</v>
      </c>
      <c r="M139">
        <f>'REGIÃO 03 - HISTÓRICO'!J35</f>
        <v>0</v>
      </c>
      <c r="N139">
        <f>'REGIÃO 03 - HISTÓRICO'!L35</f>
        <v>0</v>
      </c>
      <c r="O139">
        <f>'REGIÃO 03 - HISTÓRICO'!N35</f>
        <v>0</v>
      </c>
      <c r="P139">
        <f>'REGIÃO 03 - HISTÓRICO'!P35</f>
        <v>0</v>
      </c>
      <c r="Q139">
        <f>'REGIÃO 03 - HISTÓRICO'!R35</f>
        <v>0</v>
      </c>
      <c r="R139">
        <f>'REGIÃO 03 - HISTÓRICO'!T35</f>
        <v>0</v>
      </c>
      <c r="S139">
        <f>'REGIÃO 03 - HISTÓRICO'!V35</f>
        <v>0</v>
      </c>
      <c r="T139">
        <f>'REGIÃO 03 - HISTÓRICO'!X35</f>
        <v>0</v>
      </c>
      <c r="U139">
        <f>'REGIÃO 03 - HISTÓRICO'!Z35</f>
        <v>0</v>
      </c>
      <c r="V139">
        <f>'REGIÃO 03 - HISTÓRICO'!AB35</f>
        <v>0</v>
      </c>
      <c r="W139">
        <f>'REGIÃO 03 - HISTÓRICO'!AD35</f>
        <v>0</v>
      </c>
      <c r="X139">
        <f>'REGIÃO 03 - HISTÓRICO'!AF35</f>
        <v>0</v>
      </c>
      <c r="AF139" s="91" t="str">
        <f t="shared" si="28"/>
        <v>R03 L</v>
      </c>
      <c r="AG139" t="str">
        <f t="shared" si="29"/>
        <v>002.2025.0056</v>
      </c>
      <c r="AH139">
        <f t="shared" si="30"/>
        <v>0</v>
      </c>
      <c r="AI139">
        <f t="shared" si="31"/>
        <v>-1.3899999999999999E-4</v>
      </c>
      <c r="AJ139">
        <f t="shared" si="32"/>
        <v>157</v>
      </c>
    </row>
    <row r="140" spans="2:36" x14ac:dyDescent="0.3">
      <c r="B140" s="91" t="str">
        <f>'REGIÃO 03 - RESUMO'!C36</f>
        <v>R03 L</v>
      </c>
      <c r="C140" s="91" t="str">
        <f>'REGIÃO 03 - RESUMO'!D36</f>
        <v>002.2025</v>
      </c>
      <c r="D140" s="92">
        <f>'REGIÃO 03 - RESUMO'!E36</f>
        <v>57</v>
      </c>
      <c r="E140" s="91" t="str">
        <f>'REGIÃO 03 - RESUMO'!F36</f>
        <v>Julho</v>
      </c>
      <c r="F140" s="93">
        <f>'REGIÃO 03 - RESUMO'!H36</f>
        <v>73</v>
      </c>
      <c r="G140" t="str">
        <f>'REGIÃO 03 - RESUMO'!I36</f>
        <v>RODOVIA TO-130 - TRECHO ENTR. TO-010 - TRECHO BARRA DO OURO - ENTR. BR-010 (POVOADO MORRO GRANDE)</v>
      </c>
      <c r="H140" s="91" t="str">
        <f>'REGIÃO 03 - RESUMO'!J36</f>
        <v>SERVIÇOS MANUTENÇÃO</v>
      </c>
      <c r="I140">
        <f>'REGIÃO 03 - RESUMO'!K36</f>
        <v>0</v>
      </c>
      <c r="J140">
        <f>'REGIÃO 03 - HISTÓRICO'!F36</f>
        <v>0</v>
      </c>
      <c r="K140">
        <f>'REGIÃO 03 - HISTÓRICO'!G36</f>
        <v>0</v>
      </c>
      <c r="L140" t="str">
        <f>IF(OR('REGIÃO 03 - RESUMO'!L36="",'REGIÃO 03 - RESUMO'!L36=0),"",'REGIÃO 03 - RESUMO'!L36)</f>
        <v>Cancelada</v>
      </c>
      <c r="M140">
        <f>'REGIÃO 03 - HISTÓRICO'!J36</f>
        <v>0</v>
      </c>
      <c r="N140">
        <f>'REGIÃO 03 - HISTÓRICO'!L36</f>
        <v>0</v>
      </c>
      <c r="O140">
        <f>'REGIÃO 03 - HISTÓRICO'!N36</f>
        <v>0</v>
      </c>
      <c r="P140">
        <f>'REGIÃO 03 - HISTÓRICO'!P36</f>
        <v>0</v>
      </c>
      <c r="Q140">
        <f>'REGIÃO 03 - HISTÓRICO'!R36</f>
        <v>0</v>
      </c>
      <c r="R140">
        <f>'REGIÃO 03 - HISTÓRICO'!T36</f>
        <v>0</v>
      </c>
      <c r="S140">
        <f>'REGIÃO 03 - HISTÓRICO'!V36</f>
        <v>0</v>
      </c>
      <c r="T140">
        <f>'REGIÃO 03 - HISTÓRICO'!X36</f>
        <v>0</v>
      </c>
      <c r="U140">
        <f>'REGIÃO 03 - HISTÓRICO'!Z36</f>
        <v>0</v>
      </c>
      <c r="V140">
        <f>'REGIÃO 03 - HISTÓRICO'!AB36</f>
        <v>0</v>
      </c>
      <c r="W140">
        <f>'REGIÃO 03 - HISTÓRICO'!AD36</f>
        <v>0</v>
      </c>
      <c r="X140">
        <f>'REGIÃO 03 - HISTÓRICO'!AF36</f>
        <v>0</v>
      </c>
      <c r="AF140" s="91" t="str">
        <f t="shared" si="28"/>
        <v>R03 L</v>
      </c>
      <c r="AG140" t="str">
        <f t="shared" si="29"/>
        <v>002.2025.0057</v>
      </c>
      <c r="AH140">
        <f t="shared" si="30"/>
        <v>0</v>
      </c>
      <c r="AI140">
        <f t="shared" si="31"/>
        <v>-1.3999999999999999E-4</v>
      </c>
      <c r="AJ140">
        <f t="shared" si="32"/>
        <v>158</v>
      </c>
    </row>
    <row r="141" spans="2:36" x14ac:dyDescent="0.3">
      <c r="B141" s="91" t="str">
        <f>'REGIÃO 03 - RESUMO'!C37</f>
        <v>R03 L</v>
      </c>
      <c r="C141" s="91" t="str">
        <f>'REGIÃO 03 - RESUMO'!D37</f>
        <v>002.2025</v>
      </c>
      <c r="D141" s="92">
        <f>'REGIÃO 03 - RESUMO'!E37</f>
        <v>58</v>
      </c>
      <c r="E141" s="91" t="str">
        <f>'REGIÃO 03 - RESUMO'!F37</f>
        <v>Julho</v>
      </c>
      <c r="F141" s="93">
        <f>'REGIÃO 03 - RESUMO'!H37</f>
        <v>73</v>
      </c>
      <c r="G141" t="str">
        <f>'REGIÃO 03 - RESUMO'!I37</f>
        <v>RODOVIA TO-130 - TRECHO ENTR. TO-010 - TRECHO BARRA DO OURO - ENTR. BR-010 (POVOADO MORRO GRANDE)</v>
      </c>
      <c r="H141" s="91" t="str">
        <f>'REGIÃO 03 - RESUMO'!J37</f>
        <v>SERVIÇOS MANUTENÇÃO</v>
      </c>
      <c r="I141">
        <f>'REGIÃO 03 - RESUMO'!K37</f>
        <v>0</v>
      </c>
      <c r="J141">
        <f>'REGIÃO 03 - HISTÓRICO'!F37</f>
        <v>0</v>
      </c>
      <c r="K141">
        <f>'REGIÃO 03 - HISTÓRICO'!G37</f>
        <v>0</v>
      </c>
      <c r="L141" t="str">
        <f>IF(OR('REGIÃO 03 - RESUMO'!L37="",'REGIÃO 03 - RESUMO'!L37=0),"",'REGIÃO 03 - RESUMO'!L37)</f>
        <v>Cancelada</v>
      </c>
      <c r="M141">
        <f>'REGIÃO 03 - HISTÓRICO'!J37</f>
        <v>0</v>
      </c>
      <c r="N141">
        <f>'REGIÃO 03 - HISTÓRICO'!L37</f>
        <v>0</v>
      </c>
      <c r="O141">
        <f>'REGIÃO 03 - HISTÓRICO'!N37</f>
        <v>0</v>
      </c>
      <c r="P141">
        <f>'REGIÃO 03 - HISTÓRICO'!P37</f>
        <v>0</v>
      </c>
      <c r="Q141">
        <f>'REGIÃO 03 - HISTÓRICO'!R37</f>
        <v>0</v>
      </c>
      <c r="R141">
        <f>'REGIÃO 03 - HISTÓRICO'!T37</f>
        <v>0</v>
      </c>
      <c r="S141">
        <f>'REGIÃO 03 - HISTÓRICO'!V37</f>
        <v>0</v>
      </c>
      <c r="T141">
        <f>'REGIÃO 03 - HISTÓRICO'!X37</f>
        <v>0</v>
      </c>
      <c r="U141">
        <f>'REGIÃO 03 - HISTÓRICO'!Z37</f>
        <v>0</v>
      </c>
      <c r="V141">
        <f>'REGIÃO 03 - HISTÓRICO'!AB37</f>
        <v>0</v>
      </c>
      <c r="W141">
        <f>'REGIÃO 03 - HISTÓRICO'!AD37</f>
        <v>0</v>
      </c>
      <c r="X141">
        <f>'REGIÃO 03 - HISTÓRICO'!AF37</f>
        <v>0</v>
      </c>
      <c r="AF141" s="91" t="str">
        <f t="shared" si="28"/>
        <v>R03 L</v>
      </c>
      <c r="AG141" t="str">
        <f t="shared" si="29"/>
        <v>002.2025.0058</v>
      </c>
      <c r="AH141">
        <f t="shared" si="30"/>
        <v>0</v>
      </c>
      <c r="AI141">
        <f t="shared" si="31"/>
        <v>-1.4100000000000001E-4</v>
      </c>
      <c r="AJ141">
        <f t="shared" si="32"/>
        <v>159</v>
      </c>
    </row>
    <row r="142" spans="2:36" x14ac:dyDescent="0.3">
      <c r="B142" s="91" t="str">
        <f>'REGIÃO 03 - RESUMO'!C38</f>
        <v>R03 L</v>
      </c>
      <c r="C142" s="91" t="str">
        <f>'REGIÃO 03 - RESUMO'!D38</f>
        <v>002.2025</v>
      </c>
      <c r="D142" s="92">
        <f>'REGIÃO 03 - RESUMO'!E38</f>
        <v>59</v>
      </c>
      <c r="E142" s="91" t="str">
        <f>'REGIÃO 03 - RESUMO'!F38</f>
        <v>Julho</v>
      </c>
      <c r="F142" s="93">
        <f>'REGIÃO 03 - RESUMO'!H38</f>
        <v>77</v>
      </c>
      <c r="G142" t="str">
        <f>'REGIÃO 03 - RESUMO'!I38</f>
        <v>RODOVIA TO-226 - TRECHO GOIATINS - CAMPOS LINDOS - DIV TO-MA</v>
      </c>
      <c r="H142" s="91" t="str">
        <f>'REGIÃO 03 - RESUMO'!J38</f>
        <v>SERVIÇOS MANUTENÇÃO</v>
      </c>
      <c r="I142">
        <f>'REGIÃO 03 - RESUMO'!K38</f>
        <v>0</v>
      </c>
      <c r="J142">
        <f>'REGIÃO 03 - HISTÓRICO'!F38</f>
        <v>0</v>
      </c>
      <c r="K142">
        <f>'REGIÃO 03 - HISTÓRICO'!G38</f>
        <v>0</v>
      </c>
      <c r="L142" t="str">
        <f>IF(OR('REGIÃO 03 - RESUMO'!L38="",'REGIÃO 03 - RESUMO'!L38=0),"",'REGIÃO 03 - RESUMO'!L38)</f>
        <v>Cancelada</v>
      </c>
      <c r="M142">
        <f>'REGIÃO 03 - HISTÓRICO'!J38</f>
        <v>0</v>
      </c>
      <c r="N142">
        <f>'REGIÃO 03 - HISTÓRICO'!L38</f>
        <v>0</v>
      </c>
      <c r="O142">
        <f>'REGIÃO 03 - HISTÓRICO'!N38</f>
        <v>0</v>
      </c>
      <c r="P142">
        <f>'REGIÃO 03 - HISTÓRICO'!P38</f>
        <v>0</v>
      </c>
      <c r="Q142">
        <f>'REGIÃO 03 - HISTÓRICO'!R38</f>
        <v>0</v>
      </c>
      <c r="R142">
        <f>'REGIÃO 03 - HISTÓRICO'!T38</f>
        <v>0</v>
      </c>
      <c r="S142">
        <f>'REGIÃO 03 - HISTÓRICO'!V38</f>
        <v>0</v>
      </c>
      <c r="T142">
        <f>'REGIÃO 03 - HISTÓRICO'!X38</f>
        <v>0</v>
      </c>
      <c r="U142">
        <f>'REGIÃO 03 - HISTÓRICO'!Z38</f>
        <v>0</v>
      </c>
      <c r="V142">
        <f>'REGIÃO 03 - HISTÓRICO'!AB38</f>
        <v>0</v>
      </c>
      <c r="W142">
        <f>'REGIÃO 03 - HISTÓRICO'!AD38</f>
        <v>0</v>
      </c>
      <c r="X142">
        <f>'REGIÃO 03 - HISTÓRICO'!AF38</f>
        <v>0</v>
      </c>
      <c r="AF142" s="91" t="str">
        <f t="shared" si="28"/>
        <v>R03 L</v>
      </c>
      <c r="AG142" t="str">
        <f t="shared" si="29"/>
        <v>002.2025.0059</v>
      </c>
      <c r="AH142">
        <f t="shared" si="30"/>
        <v>0</v>
      </c>
      <c r="AI142">
        <f t="shared" si="31"/>
        <v>-1.4200000000000001E-4</v>
      </c>
      <c r="AJ142">
        <f t="shared" si="32"/>
        <v>160</v>
      </c>
    </row>
    <row r="143" spans="2:36" x14ac:dyDescent="0.3">
      <c r="B143" s="91" t="str">
        <f>'REGIÃO 03 - RESUMO'!C39</f>
        <v>R03 L</v>
      </c>
      <c r="C143" s="91" t="str">
        <f>'REGIÃO 03 - RESUMO'!D39</f>
        <v>002.2025</v>
      </c>
      <c r="D143" s="92">
        <f>'REGIÃO 03 - RESUMO'!E39</f>
        <v>60</v>
      </c>
      <c r="E143" s="91" t="str">
        <f>'REGIÃO 03 - RESUMO'!F39</f>
        <v>Julho</v>
      </c>
      <c r="F143" s="93">
        <f>'REGIÃO 03 - RESUMO'!H39</f>
        <v>81</v>
      </c>
      <c r="G143" t="str">
        <f>'REGIÃO 03 - RESUMO'!I39</f>
        <v>RODOVIA TO-424 - TRECHO ENTR. TO-010 (BABAÇULÂNDIA) - ENTR. TO-222</v>
      </c>
      <c r="H143" s="91" t="str">
        <f>'REGIÃO 03 - RESUMO'!J39</f>
        <v>SERVIÇOS MANUTENÇÃO</v>
      </c>
      <c r="I143">
        <f>'REGIÃO 03 - RESUMO'!K39</f>
        <v>0</v>
      </c>
      <c r="J143">
        <f>'REGIÃO 03 - HISTÓRICO'!F39</f>
        <v>0</v>
      </c>
      <c r="K143">
        <f>'REGIÃO 03 - HISTÓRICO'!G39</f>
        <v>0</v>
      </c>
      <c r="L143" t="str">
        <f>IF(OR('REGIÃO 03 - RESUMO'!L39="",'REGIÃO 03 - RESUMO'!L39=0),"",'REGIÃO 03 - RESUMO'!L39)</f>
        <v>Cancelada</v>
      </c>
      <c r="M143">
        <f>'REGIÃO 03 - HISTÓRICO'!J39</f>
        <v>0</v>
      </c>
      <c r="N143">
        <f>'REGIÃO 03 - HISTÓRICO'!L39</f>
        <v>0</v>
      </c>
      <c r="O143">
        <f>'REGIÃO 03 - HISTÓRICO'!N39</f>
        <v>0</v>
      </c>
      <c r="P143">
        <f>'REGIÃO 03 - HISTÓRICO'!P39</f>
        <v>0</v>
      </c>
      <c r="Q143">
        <f>'REGIÃO 03 - HISTÓRICO'!R39</f>
        <v>0</v>
      </c>
      <c r="R143">
        <f>'REGIÃO 03 - HISTÓRICO'!T39</f>
        <v>0</v>
      </c>
      <c r="S143">
        <f>'REGIÃO 03 - HISTÓRICO'!V39</f>
        <v>0</v>
      </c>
      <c r="T143">
        <f>'REGIÃO 03 - HISTÓRICO'!X39</f>
        <v>0</v>
      </c>
      <c r="U143">
        <f>'REGIÃO 03 - HISTÓRICO'!Z39</f>
        <v>0</v>
      </c>
      <c r="V143">
        <f>'REGIÃO 03 - HISTÓRICO'!AB39</f>
        <v>0</v>
      </c>
      <c r="W143">
        <f>'REGIÃO 03 - HISTÓRICO'!AD39</f>
        <v>0</v>
      </c>
      <c r="X143">
        <f>'REGIÃO 03 - HISTÓRICO'!AF39</f>
        <v>0</v>
      </c>
      <c r="AF143" s="91" t="str">
        <f t="shared" si="28"/>
        <v>R03 L</v>
      </c>
      <c r="AG143" t="str">
        <f t="shared" si="29"/>
        <v>002.2025.0060</v>
      </c>
      <c r="AH143">
        <f t="shared" si="30"/>
        <v>0</v>
      </c>
      <c r="AI143">
        <f t="shared" si="31"/>
        <v>-1.4300000000000001E-4</v>
      </c>
      <c r="AJ143">
        <f t="shared" si="32"/>
        <v>161</v>
      </c>
    </row>
    <row r="144" spans="2:36" x14ac:dyDescent="0.3">
      <c r="B144" s="91" t="str">
        <f>'REGIÃO 03 - RESUMO'!C40</f>
        <v>R03 E</v>
      </c>
      <c r="C144" t="str">
        <f>'REGIÃO 03 - RESUMO'!D40</f>
        <v>1452.2026</v>
      </c>
      <c r="D144" s="92">
        <f>'REGIÃO 03 - RESUMO'!E40</f>
        <v>1</v>
      </c>
      <c r="E144" s="91" t="str">
        <f>'REGIÃO 03 - RESUMO'!F40</f>
        <v>Julho</v>
      </c>
      <c r="F144" s="93">
        <f>'REGIÃO 03 - RESUMO'!H40</f>
        <v>68</v>
      </c>
      <c r="G144" t="str">
        <f>'REGIÃO 03 - RESUMO'!I40</f>
        <v>RODOVIA TO-010 - TRECHO PALMEIRANTE - ENTR. TO-222 (POVOADO BIELÂNDIA)</v>
      </c>
      <c r="H144" s="91" t="str">
        <f>'REGIÃO 03 - RESUMO'!J40</f>
        <v xml:space="preserve"> Roçada / Caiação de EDS e pontes</v>
      </c>
      <c r="I144">
        <f>'REGIÃO 03 - RESUMO'!K40</f>
        <v>46653.81</v>
      </c>
      <c r="J144">
        <f>'REGIÃO 03 - HISTÓRICO'!F40</f>
        <v>34263.85</v>
      </c>
      <c r="K144">
        <f>'REGIÃO 03 - HISTÓRICO'!G40</f>
        <v>12389.96</v>
      </c>
      <c r="L144" t="str">
        <f>IF(OR('REGIÃO 03 - RESUMO'!L40="",'REGIÃO 03 - RESUMO'!L40=0),"",'REGIÃO 03 - RESUMO'!L40)</f>
        <v>Concluída</v>
      </c>
      <c r="M144">
        <f>'REGIÃO 03 - HISTÓRICO'!J40</f>
        <v>0</v>
      </c>
      <c r="N144">
        <f>'REGIÃO 03 - HISTÓRICO'!L40</f>
        <v>0</v>
      </c>
      <c r="O144">
        <f>'REGIÃO 03 - HISTÓRICO'!N40</f>
        <v>0</v>
      </c>
      <c r="P144">
        <f>'REGIÃO 03 - HISTÓRICO'!P40</f>
        <v>0</v>
      </c>
      <c r="Q144">
        <f>'REGIÃO 03 - HISTÓRICO'!R40</f>
        <v>0</v>
      </c>
      <c r="R144">
        <f>'REGIÃO 03 - HISTÓRICO'!T40</f>
        <v>0</v>
      </c>
      <c r="S144">
        <f>'REGIÃO 03 - HISTÓRICO'!V40</f>
        <v>31912.65</v>
      </c>
      <c r="T144">
        <f>'REGIÃO 03 - HISTÓRICO'!X40</f>
        <v>2351.1999999999998</v>
      </c>
      <c r="U144">
        <f>'REGIÃO 03 - HISTÓRICO'!Z40</f>
        <v>0</v>
      </c>
      <c r="V144">
        <f>'REGIÃO 03 - HISTÓRICO'!AB40</f>
        <v>0</v>
      </c>
      <c r="W144">
        <f>'REGIÃO 03 - HISTÓRICO'!AD40</f>
        <v>0</v>
      </c>
      <c r="X144">
        <f>'REGIÃO 03 - HISTÓRICO'!AF40</f>
        <v>0</v>
      </c>
      <c r="AF144" s="91" t="str">
        <f t="shared" si="28"/>
        <v>R03 E</v>
      </c>
      <c r="AG144" t="str">
        <f t="shared" si="29"/>
        <v>1452.2026.0001</v>
      </c>
      <c r="AH144">
        <f t="shared" si="30"/>
        <v>46653.81</v>
      </c>
      <c r="AI144">
        <f t="shared" si="31"/>
        <v>46653.809856</v>
      </c>
      <c r="AJ144">
        <f t="shared" si="32"/>
        <v>91</v>
      </c>
    </row>
    <row r="145" spans="2:36" x14ac:dyDescent="0.3">
      <c r="B145" s="91" t="str">
        <f>'REGIÃO 03 - RESUMO'!C41</f>
        <v>R03 E</v>
      </c>
      <c r="C145" s="91" t="str">
        <f>'REGIÃO 03 - RESUMO'!D41</f>
        <v>1452.2026</v>
      </c>
      <c r="D145" s="92">
        <f>'REGIÃO 03 - RESUMO'!E41</f>
        <v>2</v>
      </c>
      <c r="E145" s="91" t="str">
        <f>'REGIÃO 03 - RESUMO'!F41</f>
        <v>Julho</v>
      </c>
      <c r="F145" s="93">
        <f>'REGIÃO 03 - RESUMO'!H41</f>
        <v>70</v>
      </c>
      <c r="G145" t="str">
        <f>'REGIÃO 03 - RESUMO'!I41</f>
        <v>RODOVIA TO-010 - TRECHO BABAÇULÂNDIA - WANDERLÂNDIA</v>
      </c>
      <c r="H145" s="91" t="str">
        <f>'REGIÃO 03 - RESUMO'!J41</f>
        <v xml:space="preserve"> Roçada / Caiação de EDS e pontes</v>
      </c>
      <c r="I145">
        <f>'REGIÃO 03 - RESUMO'!K41</f>
        <v>46478.94</v>
      </c>
      <c r="J145">
        <f>'REGIÃO 03 - HISTÓRICO'!F41</f>
        <v>37135.129999999997</v>
      </c>
      <c r="K145">
        <f>'REGIÃO 03 - HISTÓRICO'!G41</f>
        <v>9343.8100000000049</v>
      </c>
      <c r="L145" t="str">
        <f>IF(OR('REGIÃO 03 - RESUMO'!L41="",'REGIÃO 03 - RESUMO'!L41=0),"",'REGIÃO 03 - RESUMO'!L41)</f>
        <v>Concluída</v>
      </c>
      <c r="M145">
        <f>'REGIÃO 03 - HISTÓRICO'!J41</f>
        <v>0</v>
      </c>
      <c r="N145">
        <f>'REGIÃO 03 - HISTÓRICO'!L41</f>
        <v>0</v>
      </c>
      <c r="O145">
        <f>'REGIÃO 03 - HISTÓRICO'!N41</f>
        <v>0</v>
      </c>
      <c r="P145">
        <f>'REGIÃO 03 - HISTÓRICO'!P41</f>
        <v>0</v>
      </c>
      <c r="Q145">
        <f>'REGIÃO 03 - HISTÓRICO'!R41</f>
        <v>0</v>
      </c>
      <c r="R145">
        <f>'REGIÃO 03 - HISTÓRICO'!T41</f>
        <v>0</v>
      </c>
      <c r="S145">
        <f>'REGIÃO 03 - HISTÓRICO'!V41</f>
        <v>0</v>
      </c>
      <c r="T145">
        <f>'REGIÃO 03 - HISTÓRICO'!X41</f>
        <v>37135.129999999997</v>
      </c>
      <c r="U145">
        <f>'REGIÃO 03 - HISTÓRICO'!Z41</f>
        <v>0</v>
      </c>
      <c r="V145">
        <f>'REGIÃO 03 - HISTÓRICO'!AB41</f>
        <v>0</v>
      </c>
      <c r="W145">
        <f>'REGIÃO 03 - HISTÓRICO'!AD41</f>
        <v>0</v>
      </c>
      <c r="X145">
        <f>'REGIÃO 03 - HISTÓRICO'!AF41</f>
        <v>0</v>
      </c>
      <c r="AF145" s="91" t="str">
        <f t="shared" si="28"/>
        <v>R03 E</v>
      </c>
      <c r="AG145" t="str">
        <f t="shared" si="29"/>
        <v>1452.2026.0002</v>
      </c>
      <c r="AH145">
        <f t="shared" si="30"/>
        <v>46478.94</v>
      </c>
      <c r="AI145">
        <f t="shared" si="31"/>
        <v>46478.939855000004</v>
      </c>
      <c r="AJ145">
        <f t="shared" si="32"/>
        <v>92</v>
      </c>
    </row>
    <row r="146" spans="2:36" x14ac:dyDescent="0.3">
      <c r="B146" s="91" t="str">
        <f>'REGIÃO 03 - RESUMO'!C42</f>
        <v>R03 E</v>
      </c>
      <c r="C146" s="91" t="str">
        <f>'REGIÃO 03 - RESUMO'!D42</f>
        <v>1452.2026</v>
      </c>
      <c r="D146" s="92">
        <f>'REGIÃO 03 - RESUMO'!E42</f>
        <v>3</v>
      </c>
      <c r="E146" s="91" t="str">
        <f>'REGIÃO 03 - RESUMO'!F42</f>
        <v>Julho</v>
      </c>
      <c r="F146" s="93">
        <f>'REGIÃO 03 - RESUMO'!H42</f>
        <v>73</v>
      </c>
      <c r="G146" t="str">
        <f>'REGIÃO 03 - RESUMO'!I42</f>
        <v>RODOVIA TO-130 - TRECHO ENTR. TO-010 - TRECHO BARRA DO OURO - ENTR. BR-010 (POVOADO MORRO GRANDE)</v>
      </c>
      <c r="H146" s="91" t="str">
        <f>'REGIÃO 03 - RESUMO'!J42</f>
        <v>Roçada / Limpeza EDS / Caiação de EDS e pontes</v>
      </c>
      <c r="I146">
        <f>'REGIÃO 03 - RESUMO'!K42</f>
        <v>132042.38</v>
      </c>
      <c r="J146">
        <f>'REGIÃO 03 - HISTÓRICO'!F42</f>
        <v>26827.809999999998</v>
      </c>
      <c r="K146">
        <f>'REGIÃO 03 - HISTÓRICO'!G42</f>
        <v>105214.57</v>
      </c>
      <c r="L146" t="str">
        <f>IF(OR('REGIÃO 03 - RESUMO'!L42="",'REGIÃO 03 - RESUMO'!L42=0),"",'REGIÃO 03 - RESUMO'!L42)</f>
        <v>Em andamento</v>
      </c>
      <c r="M146">
        <f>'REGIÃO 03 - HISTÓRICO'!J42</f>
        <v>0</v>
      </c>
      <c r="N146">
        <f>'REGIÃO 03 - HISTÓRICO'!L42</f>
        <v>0</v>
      </c>
      <c r="O146">
        <f>'REGIÃO 03 - HISTÓRICO'!N42</f>
        <v>0</v>
      </c>
      <c r="P146">
        <f>'REGIÃO 03 - HISTÓRICO'!P42</f>
        <v>0</v>
      </c>
      <c r="Q146">
        <f>'REGIÃO 03 - HISTÓRICO'!R42</f>
        <v>0</v>
      </c>
      <c r="R146">
        <f>'REGIÃO 03 - HISTÓRICO'!T42</f>
        <v>0</v>
      </c>
      <c r="S146">
        <f>'REGIÃO 03 - HISTÓRICO'!V42</f>
        <v>21416.57</v>
      </c>
      <c r="T146">
        <f>'REGIÃO 03 - HISTÓRICO'!X42</f>
        <v>5411.24</v>
      </c>
      <c r="U146">
        <f>'REGIÃO 03 - HISTÓRICO'!Z42</f>
        <v>0</v>
      </c>
      <c r="V146">
        <f>'REGIÃO 03 - HISTÓRICO'!AB42</f>
        <v>0</v>
      </c>
      <c r="W146">
        <f>'REGIÃO 03 - HISTÓRICO'!AD42</f>
        <v>0</v>
      </c>
      <c r="X146">
        <f>'REGIÃO 03 - HISTÓRICO'!AF42</f>
        <v>0</v>
      </c>
      <c r="AF146" s="91" t="str">
        <f t="shared" si="28"/>
        <v>R03 E</v>
      </c>
      <c r="AG146" t="str">
        <f t="shared" si="29"/>
        <v>1452.2026.0003</v>
      </c>
      <c r="AH146">
        <f t="shared" si="30"/>
        <v>132042.38</v>
      </c>
      <c r="AI146">
        <f t="shared" si="31"/>
        <v>132042.379854</v>
      </c>
      <c r="AJ146">
        <f t="shared" si="32"/>
        <v>64</v>
      </c>
    </row>
    <row r="147" spans="2:36" x14ac:dyDescent="0.3">
      <c r="B147" s="91" t="str">
        <f>'REGIÃO 03 - RESUMO'!C43</f>
        <v>R03 E</v>
      </c>
      <c r="C147" s="91" t="str">
        <f>'REGIÃO 03 - RESUMO'!D43</f>
        <v>1452.2026</v>
      </c>
      <c r="D147" s="92">
        <f>'REGIÃO 03 - RESUMO'!E43</f>
        <v>4</v>
      </c>
      <c r="E147" t="str">
        <f>'REGIÃO 03 - RESUMO'!F43</f>
        <v>Agosto</v>
      </c>
      <c r="F147" s="93">
        <f>'REGIÃO 03 - RESUMO'!H43</f>
        <v>73</v>
      </c>
      <c r="G147" t="str">
        <f>'REGIÃO 03 - RESUMO'!I43</f>
        <v>RODOVIA TO-130 - TRECHO ENTR. TO-010 - TRECHO BARRA DO OURO - ENTR. BR-010 (POVOADO MORRO GRANDE)</v>
      </c>
      <c r="H147" s="91" t="str">
        <f>'REGIÃO 03 - RESUMO'!J43</f>
        <v>Tapa-Buraco PMF / Remendo Profundo</v>
      </c>
      <c r="I147">
        <f>'REGIÃO 03 - RESUMO'!K43</f>
        <v>290967.96999999997</v>
      </c>
      <c r="J147">
        <f>'REGIÃO 03 - HISTÓRICO'!F43</f>
        <v>208759.13</v>
      </c>
      <c r="K147">
        <f>'REGIÃO 03 - HISTÓRICO'!G43</f>
        <v>82208.839999999967</v>
      </c>
      <c r="L147" t="str">
        <f>IF(OR('REGIÃO 03 - RESUMO'!L43="",'REGIÃO 03 - RESUMO'!L43=0),"",'REGIÃO 03 - RESUMO'!L43)</f>
        <v>Em andamento</v>
      </c>
      <c r="M147">
        <f>'REGIÃO 03 - HISTÓRICO'!J43</f>
        <v>0</v>
      </c>
      <c r="N147">
        <f>'REGIÃO 03 - HISTÓRICO'!L43</f>
        <v>0</v>
      </c>
      <c r="O147">
        <f>'REGIÃO 03 - HISTÓRICO'!N43</f>
        <v>0</v>
      </c>
      <c r="P147">
        <f>'REGIÃO 03 - HISTÓRICO'!P43</f>
        <v>0</v>
      </c>
      <c r="Q147">
        <f>'REGIÃO 03 - HISTÓRICO'!R43</f>
        <v>0</v>
      </c>
      <c r="R147">
        <f>'REGIÃO 03 - HISTÓRICO'!T43</f>
        <v>0</v>
      </c>
      <c r="S147">
        <f>'REGIÃO 03 - HISTÓRICO'!V43</f>
        <v>0</v>
      </c>
      <c r="T147">
        <f>'REGIÃO 03 - HISTÓRICO'!X43</f>
        <v>208759.13</v>
      </c>
      <c r="U147">
        <f>'REGIÃO 03 - HISTÓRICO'!Z43</f>
        <v>0</v>
      </c>
      <c r="V147">
        <f>'REGIÃO 03 - HISTÓRICO'!AB43</f>
        <v>0</v>
      </c>
      <c r="W147">
        <f>'REGIÃO 03 - HISTÓRICO'!AD43</f>
        <v>0</v>
      </c>
      <c r="X147">
        <f>'REGIÃO 03 - HISTÓRICO'!AF43</f>
        <v>0</v>
      </c>
      <c r="AF147" s="91" t="str">
        <f t="shared" si="28"/>
        <v>R03 E</v>
      </c>
      <c r="AG147" t="str">
        <f t="shared" si="29"/>
        <v>1452.2026.0004</v>
      </c>
      <c r="AH147">
        <f t="shared" si="30"/>
        <v>290967.96999999997</v>
      </c>
      <c r="AI147">
        <f t="shared" si="31"/>
        <v>290967.96985299996</v>
      </c>
      <c r="AJ147">
        <f t="shared" si="32"/>
        <v>46</v>
      </c>
    </row>
    <row r="148" spans="2:36" x14ac:dyDescent="0.3">
      <c r="B148" s="91" t="str">
        <f>'REGIÃO 03 - RESUMO'!C44</f>
        <v>R03 E</v>
      </c>
      <c r="C148" s="91" t="str">
        <f>'REGIÃO 03 - RESUMO'!D44</f>
        <v>1452.2026</v>
      </c>
      <c r="D148" s="92">
        <f>'REGIÃO 03 - RESUMO'!E44</f>
        <v>5</v>
      </c>
      <c r="E148" s="91" t="str">
        <f>'REGIÃO 03 - RESUMO'!F44</f>
        <v>Julho</v>
      </c>
      <c r="F148" s="93">
        <f>'REGIÃO 03 - RESUMO'!H44</f>
        <v>77</v>
      </c>
      <c r="G148" t="str">
        <f>'REGIÃO 03 - RESUMO'!I44</f>
        <v>RODOVIA TO-226 - TRECHO GOIATINS - CAMPOS LINDOS - DIV TO-MA</v>
      </c>
      <c r="H148" s="91" t="str">
        <f>'REGIÃO 03 - RESUMO'!J44</f>
        <v>Roçada / Tapa-Buraco CAE / Reparo EDS / Remendo Profundo / Caiação de EDS e pontes</v>
      </c>
      <c r="I148">
        <f>'REGIÃO 03 - RESUMO'!K44</f>
        <v>770799.13</v>
      </c>
      <c r="J148">
        <f>'REGIÃO 03 - HISTÓRICO'!F44</f>
        <v>521385.6</v>
      </c>
      <c r="K148">
        <f>'REGIÃO 03 - HISTÓRICO'!G44</f>
        <v>249413.53000000003</v>
      </c>
      <c r="L148" t="str">
        <f>IF(OR('REGIÃO 03 - RESUMO'!L44="",'REGIÃO 03 - RESUMO'!L44=0),"",'REGIÃO 03 - RESUMO'!L44)</f>
        <v>Em andamento</v>
      </c>
      <c r="M148">
        <f>'REGIÃO 03 - HISTÓRICO'!J44</f>
        <v>0</v>
      </c>
      <c r="N148">
        <f>'REGIÃO 03 - HISTÓRICO'!L44</f>
        <v>0</v>
      </c>
      <c r="O148">
        <f>'REGIÃO 03 - HISTÓRICO'!N44</f>
        <v>0</v>
      </c>
      <c r="P148">
        <f>'REGIÃO 03 - HISTÓRICO'!P44</f>
        <v>0</v>
      </c>
      <c r="Q148">
        <f>'REGIÃO 03 - HISTÓRICO'!R44</f>
        <v>0</v>
      </c>
      <c r="R148">
        <f>'REGIÃO 03 - HISTÓRICO'!T44</f>
        <v>0</v>
      </c>
      <c r="S148">
        <f>'REGIÃO 03 - HISTÓRICO'!V44</f>
        <v>520344.41</v>
      </c>
      <c r="T148">
        <f>'REGIÃO 03 - HISTÓRICO'!X44</f>
        <v>1041.19</v>
      </c>
      <c r="U148">
        <f>'REGIÃO 03 - HISTÓRICO'!Z44</f>
        <v>0</v>
      </c>
      <c r="V148">
        <f>'REGIÃO 03 - HISTÓRICO'!AB44</f>
        <v>0</v>
      </c>
      <c r="W148">
        <f>'REGIÃO 03 - HISTÓRICO'!AD44</f>
        <v>0</v>
      </c>
      <c r="X148">
        <f>'REGIÃO 03 - HISTÓRICO'!AF44</f>
        <v>0</v>
      </c>
      <c r="AF148" s="91" t="str">
        <f t="shared" si="28"/>
        <v>R03 E</v>
      </c>
      <c r="AG148" t="str">
        <f t="shared" si="29"/>
        <v>1452.2026.0005</v>
      </c>
      <c r="AH148">
        <f t="shared" si="30"/>
        <v>770799.13</v>
      </c>
      <c r="AI148">
        <f t="shared" si="31"/>
        <v>770799.12985200004</v>
      </c>
      <c r="AJ148">
        <f t="shared" si="32"/>
        <v>21</v>
      </c>
    </row>
    <row r="149" spans="2:36" x14ac:dyDescent="0.3">
      <c r="B149" s="91" t="str">
        <f>'REGIÃO 03 - RESUMO'!C45</f>
        <v>R03 E</v>
      </c>
      <c r="C149" s="91" t="str">
        <f>'REGIÃO 03 - RESUMO'!D45</f>
        <v>1452.2026</v>
      </c>
      <c r="D149" s="92">
        <f>'REGIÃO 03 - RESUMO'!E45</f>
        <v>6</v>
      </c>
      <c r="E149" s="91" t="str">
        <f>'REGIÃO 03 - RESUMO'!F45</f>
        <v>Julho</v>
      </c>
      <c r="F149" s="93">
        <f>'REGIÃO 03 - RESUMO'!H45</f>
        <v>81</v>
      </c>
      <c r="G149" t="str">
        <f>'REGIÃO 03 - RESUMO'!I45</f>
        <v>RODOVIA TO-424 - TRECHO ENTR. TO-010 (BABAÇULÂNDIA) - ENTR. TO-222</v>
      </c>
      <c r="H149" s="91" t="str">
        <f>'REGIÃO 03 - RESUMO'!J45</f>
        <v>Terraplenagem / Reconformação da plataforma / Recomposição do revestimento primário</v>
      </c>
      <c r="I149">
        <f>'REGIÃO 03 - RESUMO'!K45</f>
        <v>1298033.19</v>
      </c>
      <c r="J149">
        <f>'REGIÃO 03 - HISTÓRICO'!F45</f>
        <v>1235780.5900000001</v>
      </c>
      <c r="K149">
        <f>'REGIÃO 03 - HISTÓRICO'!G45</f>
        <v>62252.59999999986</v>
      </c>
      <c r="L149" t="str">
        <f>IF(OR('REGIÃO 03 - RESUMO'!L45="",'REGIÃO 03 - RESUMO'!L45=0),"",'REGIÃO 03 - RESUMO'!L45)</f>
        <v>Em andamento</v>
      </c>
      <c r="M149">
        <f>'REGIÃO 03 - HISTÓRICO'!J45</f>
        <v>0</v>
      </c>
      <c r="N149">
        <f>'REGIÃO 03 - HISTÓRICO'!L45</f>
        <v>0</v>
      </c>
      <c r="O149">
        <f>'REGIÃO 03 - HISTÓRICO'!N45</f>
        <v>0</v>
      </c>
      <c r="P149">
        <f>'REGIÃO 03 - HISTÓRICO'!P45</f>
        <v>0</v>
      </c>
      <c r="Q149">
        <f>'REGIÃO 03 - HISTÓRICO'!R45</f>
        <v>0</v>
      </c>
      <c r="R149">
        <f>'REGIÃO 03 - HISTÓRICO'!T45</f>
        <v>0</v>
      </c>
      <c r="S149">
        <f>'REGIÃO 03 - HISTÓRICO'!V45</f>
        <v>264610.45</v>
      </c>
      <c r="T149">
        <f>'REGIÃO 03 - HISTÓRICO'!X45</f>
        <v>971170.14</v>
      </c>
      <c r="U149">
        <f>'REGIÃO 03 - HISTÓRICO'!Z45</f>
        <v>0</v>
      </c>
      <c r="V149">
        <f>'REGIÃO 03 - HISTÓRICO'!AB45</f>
        <v>0</v>
      </c>
      <c r="W149">
        <f>'REGIÃO 03 - HISTÓRICO'!AD45</f>
        <v>0</v>
      </c>
      <c r="X149">
        <f>'REGIÃO 03 - HISTÓRICO'!AF45</f>
        <v>0</v>
      </c>
      <c r="AF149" s="91" t="str">
        <f t="shared" si="28"/>
        <v>R03 E</v>
      </c>
      <c r="AG149" t="str">
        <f t="shared" si="29"/>
        <v>1452.2026.0006</v>
      </c>
      <c r="AH149">
        <f t="shared" si="30"/>
        <v>1298033.19</v>
      </c>
      <c r="AI149">
        <f t="shared" si="31"/>
        <v>1298033.189851</v>
      </c>
      <c r="AJ149">
        <f t="shared" si="32"/>
        <v>10</v>
      </c>
    </row>
    <row r="150" spans="2:36" x14ac:dyDescent="0.3">
      <c r="B150" s="91" t="str">
        <f>'REGIÃO 03 - RESUMO'!C46</f>
        <v>R03 E</v>
      </c>
      <c r="C150" s="91" t="str">
        <f>'REGIÃO 03 - RESUMO'!D46</f>
        <v>1452.2026</v>
      </c>
      <c r="D150" s="92">
        <f>'REGIÃO 03 - RESUMO'!E46</f>
        <v>7</v>
      </c>
      <c r="E150" s="91" t="str">
        <f>'REGIÃO 03 - RESUMO'!F46</f>
        <v>Julho</v>
      </c>
      <c r="F150" s="93">
        <f>'REGIÃO 03 - RESUMO'!H46</f>
        <v>69</v>
      </c>
      <c r="G150" t="str">
        <f>'REGIÃO 03 - RESUMO'!I46</f>
        <v>RODOVIA TO-010 - TRECHO ENTR. TO-222 (POVOADO FARTURÃO) - BABAÇULÂNDIA</v>
      </c>
      <c r="H150" s="91" t="str">
        <f>'REGIÃO 03 - RESUMO'!J46</f>
        <v>Reconformação da plataforma / Recomposição do revestimento primário</v>
      </c>
      <c r="I150">
        <f>'REGIÃO 03 - RESUMO'!K46</f>
        <v>94493.36</v>
      </c>
      <c r="J150">
        <f>'REGIÃO 03 - HISTÓRICO'!F46</f>
        <v>49943.73</v>
      </c>
      <c r="K150">
        <f>'REGIÃO 03 - HISTÓRICO'!G46</f>
        <v>44549.63</v>
      </c>
      <c r="L150" t="str">
        <f>IF(OR('REGIÃO 03 - RESUMO'!L46="",'REGIÃO 03 - RESUMO'!L46=0),"",'REGIÃO 03 - RESUMO'!L46)</f>
        <v>Concluída</v>
      </c>
      <c r="M150">
        <f>'REGIÃO 03 - HISTÓRICO'!J46</f>
        <v>0</v>
      </c>
      <c r="N150">
        <f>'REGIÃO 03 - HISTÓRICO'!L46</f>
        <v>0</v>
      </c>
      <c r="O150">
        <f>'REGIÃO 03 - HISTÓRICO'!N46</f>
        <v>0</v>
      </c>
      <c r="P150">
        <f>'REGIÃO 03 - HISTÓRICO'!P46</f>
        <v>0</v>
      </c>
      <c r="Q150">
        <f>'REGIÃO 03 - HISTÓRICO'!R46</f>
        <v>0</v>
      </c>
      <c r="R150">
        <f>'REGIÃO 03 - HISTÓRICO'!T46</f>
        <v>0</v>
      </c>
      <c r="S150">
        <f>'REGIÃO 03 - HISTÓRICO'!V46</f>
        <v>49943.73</v>
      </c>
      <c r="T150">
        <f>'REGIÃO 03 - HISTÓRICO'!X46</f>
        <v>0</v>
      </c>
      <c r="U150">
        <f>'REGIÃO 03 - HISTÓRICO'!Z46</f>
        <v>0</v>
      </c>
      <c r="V150">
        <f>'REGIÃO 03 - HISTÓRICO'!AB46</f>
        <v>0</v>
      </c>
      <c r="W150">
        <f>'REGIÃO 03 - HISTÓRICO'!AD46</f>
        <v>0</v>
      </c>
      <c r="X150">
        <f>'REGIÃO 03 - HISTÓRICO'!AF46</f>
        <v>0</v>
      </c>
      <c r="AF150" s="91" t="str">
        <f t="shared" si="28"/>
        <v>R03 E</v>
      </c>
      <c r="AG150" t="str">
        <f t="shared" si="29"/>
        <v>1452.2026.0007</v>
      </c>
      <c r="AH150">
        <f t="shared" si="30"/>
        <v>94493.36</v>
      </c>
      <c r="AI150">
        <f t="shared" si="31"/>
        <v>94493.359849999993</v>
      </c>
      <c r="AJ150">
        <f t="shared" si="32"/>
        <v>71</v>
      </c>
    </row>
    <row r="151" spans="2:36" x14ac:dyDescent="0.3">
      <c r="B151" s="91" t="str">
        <f>'REGIÃO 03 - RESUMO'!C47</f>
        <v>R03 E</v>
      </c>
      <c r="C151" s="91" t="str">
        <f>'REGIÃO 03 - RESUMO'!D47</f>
        <v>1452.2026</v>
      </c>
      <c r="D151" s="92">
        <f>'REGIÃO 03 - RESUMO'!E47</f>
        <v>8</v>
      </c>
      <c r="E151" t="str">
        <f>'REGIÃO 03 - RESUMO'!F47</f>
        <v>Agosto</v>
      </c>
      <c r="F151" s="93">
        <f>'REGIÃO 03 - RESUMO'!H47</f>
        <v>69</v>
      </c>
      <c r="G151" t="str">
        <f>'REGIÃO 03 - RESUMO'!I47</f>
        <v>RODOVIA TO-010 - TRECHO ENTR. TO-222 (POVOADO FARTURÃO) - BABAÇULÂNDIA</v>
      </c>
      <c r="H151" s="91" t="str">
        <f>'REGIÃO 03 - RESUMO'!J47</f>
        <v>Tapa-Buraco PMF / Remendo Profundo</v>
      </c>
      <c r="I151">
        <f>'REGIÃO 03 - RESUMO'!K47</f>
        <v>25646.7</v>
      </c>
      <c r="J151">
        <f>'REGIÃO 03 - HISTÓRICO'!F47</f>
        <v>0</v>
      </c>
      <c r="K151">
        <f>'REGIÃO 03 - HISTÓRICO'!G47</f>
        <v>25646.7</v>
      </c>
      <c r="L151" t="str">
        <f>IF(OR('REGIÃO 03 - RESUMO'!L47="",'REGIÃO 03 - RESUMO'!L47=0),"",'REGIÃO 03 - RESUMO'!L47)</f>
        <v>Justificada</v>
      </c>
      <c r="M151">
        <f>'REGIÃO 03 - HISTÓRICO'!J47</f>
        <v>0</v>
      </c>
      <c r="N151">
        <f>'REGIÃO 03 - HISTÓRICO'!L47</f>
        <v>0</v>
      </c>
      <c r="O151">
        <f>'REGIÃO 03 - HISTÓRICO'!N47</f>
        <v>0</v>
      </c>
      <c r="P151">
        <f>'REGIÃO 03 - HISTÓRICO'!P47</f>
        <v>0</v>
      </c>
      <c r="Q151">
        <f>'REGIÃO 03 - HISTÓRICO'!R47</f>
        <v>0</v>
      </c>
      <c r="R151">
        <f>'REGIÃO 03 - HISTÓRICO'!T47</f>
        <v>0</v>
      </c>
      <c r="S151">
        <f>'REGIÃO 03 - HISTÓRICO'!V47</f>
        <v>0</v>
      </c>
      <c r="T151">
        <f>'REGIÃO 03 - HISTÓRICO'!X47</f>
        <v>0</v>
      </c>
      <c r="U151">
        <f>'REGIÃO 03 - HISTÓRICO'!Z47</f>
        <v>0</v>
      </c>
      <c r="V151">
        <f>'REGIÃO 03 - HISTÓRICO'!AB47</f>
        <v>0</v>
      </c>
      <c r="W151">
        <f>'REGIÃO 03 - HISTÓRICO'!AD47</f>
        <v>0</v>
      </c>
      <c r="X151">
        <f>'REGIÃO 03 - HISTÓRICO'!AF47</f>
        <v>0</v>
      </c>
      <c r="AF151" s="91" t="str">
        <f t="shared" si="28"/>
        <v>R03 E</v>
      </c>
      <c r="AG151" t="str">
        <f t="shared" si="29"/>
        <v>1452.2026.0008</v>
      </c>
      <c r="AH151">
        <f t="shared" si="30"/>
        <v>25646.7</v>
      </c>
      <c r="AI151">
        <f t="shared" si="31"/>
        <v>25646.699849000001</v>
      </c>
      <c r="AJ151">
        <f t="shared" si="32"/>
        <v>107</v>
      </c>
    </row>
    <row r="152" spans="2:36" x14ac:dyDescent="0.3">
      <c r="B152" s="91" t="str">
        <f>'REGIÃO 03 - RESUMO'!C48</f>
        <v>R03 E</v>
      </c>
      <c r="C152" t="str">
        <f>'REGIÃO 03 - RESUMO'!D48</f>
        <v>1452.2026</v>
      </c>
      <c r="D152" s="92">
        <f>'REGIÃO 03 - RESUMO'!E48</f>
        <v>9</v>
      </c>
      <c r="E152" t="str">
        <f>'REGIÃO 03 - RESUMO'!F48</f>
        <v>Agosto</v>
      </c>
      <c r="F152" s="93">
        <f>'REGIÃO 03 - RESUMO'!H48</f>
        <v>67</v>
      </c>
      <c r="G152" t="str">
        <f>'REGIÃO 03 - RESUMO'!I48</f>
        <v>RODOVIA TO-010 - TRECHO ENTR. BR-010 (ITACAJÁ) - PALMEIRANTE</v>
      </c>
      <c r="H152" s="91" t="str">
        <f>'REGIÃO 03 - RESUMO'!J48</f>
        <v>Reconformação da plataforma</v>
      </c>
      <c r="I152">
        <f>'REGIÃO 03 - RESUMO'!K48</f>
        <v>85383</v>
      </c>
      <c r="J152">
        <f>'REGIÃO 03 - HISTÓRICO'!F48</f>
        <v>0</v>
      </c>
      <c r="K152">
        <f>'REGIÃO 03 - HISTÓRICO'!G48</f>
        <v>85383</v>
      </c>
      <c r="L152" t="str">
        <f>IF(OR('REGIÃO 03 - RESUMO'!L48="",'REGIÃO 03 - RESUMO'!L48=0),"",'REGIÃO 03 - RESUMO'!L48)</f>
        <v>Justificada</v>
      </c>
      <c r="M152">
        <f>'REGIÃO 03 - HISTÓRICO'!J48</f>
        <v>0</v>
      </c>
      <c r="N152">
        <f>'REGIÃO 03 - HISTÓRICO'!L48</f>
        <v>0</v>
      </c>
      <c r="O152">
        <f>'REGIÃO 03 - HISTÓRICO'!N48</f>
        <v>0</v>
      </c>
      <c r="P152">
        <f>'REGIÃO 03 - HISTÓRICO'!P48</f>
        <v>0</v>
      </c>
      <c r="Q152">
        <f>'REGIÃO 03 - HISTÓRICO'!R48</f>
        <v>0</v>
      </c>
      <c r="R152">
        <f>'REGIÃO 03 - HISTÓRICO'!T48</f>
        <v>0</v>
      </c>
      <c r="S152">
        <f>'REGIÃO 03 - HISTÓRICO'!V48</f>
        <v>0</v>
      </c>
      <c r="T152">
        <f>'REGIÃO 03 - HISTÓRICO'!X48</f>
        <v>0</v>
      </c>
      <c r="U152">
        <f>'REGIÃO 03 - HISTÓRICO'!Z48</f>
        <v>0</v>
      </c>
      <c r="V152">
        <f>'REGIÃO 03 - HISTÓRICO'!AB48</f>
        <v>0</v>
      </c>
      <c r="W152">
        <f>'REGIÃO 03 - HISTÓRICO'!AD48</f>
        <v>0</v>
      </c>
      <c r="X152">
        <f>'REGIÃO 03 - HISTÓRICO'!AF48</f>
        <v>0</v>
      </c>
      <c r="AF152" s="91" t="str">
        <f t="shared" si="28"/>
        <v>R03 E</v>
      </c>
      <c r="AG152" t="str">
        <f t="shared" si="29"/>
        <v>1452.2026.0009</v>
      </c>
      <c r="AH152">
        <f t="shared" si="30"/>
        <v>85383</v>
      </c>
      <c r="AI152">
        <f t="shared" si="31"/>
        <v>85382.999848000007</v>
      </c>
      <c r="AJ152">
        <f t="shared" si="32"/>
        <v>72</v>
      </c>
    </row>
    <row r="153" spans="2:36" x14ac:dyDescent="0.3">
      <c r="B153" s="91" t="str">
        <f>'REGIÃO 03 - RESUMO'!C49</f>
        <v>R03 E</v>
      </c>
      <c r="C153" t="str">
        <f>'REGIÃO 03 - RESUMO'!D49</f>
        <v>1452.2026</v>
      </c>
      <c r="D153" s="92">
        <f>'REGIÃO 03 - RESUMO'!E49</f>
        <v>10</v>
      </c>
      <c r="E153" t="str">
        <f>'REGIÃO 03 - RESUMO'!F49</f>
        <v>Agosto</v>
      </c>
      <c r="F153" s="93">
        <f>'REGIÃO 03 - RESUMO'!H49</f>
        <v>76</v>
      </c>
      <c r="G153" t="str">
        <f>'REGIÃO 03 - RESUMO'!I49</f>
        <v>RODOVIA TO-226 - TRECHO ENTR. TO-010 (POVOADO CAMPOS) - ENTR. BR-010</v>
      </c>
      <c r="H153" s="91" t="str">
        <f>'REGIÃO 03 - RESUMO'!J49</f>
        <v>Reconformação da plataforma</v>
      </c>
      <c r="I153">
        <f>'REGIÃO 03 - RESUMO'!K49</f>
        <v>35515.54</v>
      </c>
      <c r="J153">
        <f>'REGIÃO 03 - HISTÓRICO'!F49</f>
        <v>0</v>
      </c>
      <c r="K153">
        <f>'REGIÃO 03 - HISTÓRICO'!G49</f>
        <v>35515.54</v>
      </c>
      <c r="L153" t="str">
        <f>IF(OR('REGIÃO 03 - RESUMO'!L49="",'REGIÃO 03 - RESUMO'!L49=0),"",'REGIÃO 03 - RESUMO'!L49)</f>
        <v>Justificada</v>
      </c>
      <c r="M153">
        <f>'REGIÃO 03 - HISTÓRICO'!J49</f>
        <v>0</v>
      </c>
      <c r="N153">
        <f>'REGIÃO 03 - HISTÓRICO'!L49</f>
        <v>0</v>
      </c>
      <c r="O153">
        <f>'REGIÃO 03 - HISTÓRICO'!N49</f>
        <v>0</v>
      </c>
      <c r="P153">
        <f>'REGIÃO 03 - HISTÓRICO'!P49</f>
        <v>0</v>
      </c>
      <c r="Q153">
        <f>'REGIÃO 03 - HISTÓRICO'!R49</f>
        <v>0</v>
      </c>
      <c r="R153">
        <f>'REGIÃO 03 - HISTÓRICO'!T49</f>
        <v>0</v>
      </c>
      <c r="S153">
        <f>'REGIÃO 03 - HISTÓRICO'!V49</f>
        <v>0</v>
      </c>
      <c r="T153">
        <f>'REGIÃO 03 - HISTÓRICO'!X49</f>
        <v>0</v>
      </c>
      <c r="U153">
        <f>'REGIÃO 03 - HISTÓRICO'!Z49</f>
        <v>0</v>
      </c>
      <c r="V153">
        <f>'REGIÃO 03 - HISTÓRICO'!AB49</f>
        <v>0</v>
      </c>
      <c r="W153">
        <f>'REGIÃO 03 - HISTÓRICO'!AD49</f>
        <v>0</v>
      </c>
      <c r="X153">
        <f>'REGIÃO 03 - HISTÓRICO'!AF49</f>
        <v>0</v>
      </c>
      <c r="AF153" s="91" t="str">
        <f t="shared" si="28"/>
        <v>R03 E</v>
      </c>
      <c r="AG153" t="str">
        <f t="shared" si="29"/>
        <v>1452.2026.0010</v>
      </c>
      <c r="AH153">
        <f t="shared" si="30"/>
        <v>35515.54</v>
      </c>
      <c r="AI153">
        <f t="shared" si="31"/>
        <v>35515.539847</v>
      </c>
      <c r="AJ153">
        <f t="shared" si="32"/>
        <v>99</v>
      </c>
    </row>
    <row r="154" spans="2:36" x14ac:dyDescent="0.3">
      <c r="B154" s="91" t="str">
        <f>'REGIÃO 03 - RESUMO'!C50</f>
        <v>R03 E</v>
      </c>
      <c r="C154" t="str">
        <f>'REGIÃO 03 - RESUMO'!D50</f>
        <v>1452.2026</v>
      </c>
      <c r="D154" s="92">
        <f>'REGIÃO 03 - RESUMO'!E50</f>
        <v>11</v>
      </c>
      <c r="E154" t="str">
        <f>'REGIÃO 03 - RESUMO'!F50</f>
        <v>Setembro</v>
      </c>
      <c r="F154" s="93">
        <f>'REGIÃO 03 - RESUMO'!H50</f>
        <v>72</v>
      </c>
      <c r="G154" t="str">
        <f>'REGIÃO 03 - RESUMO'!I50</f>
        <v>RODOVIA TO-130 - TRECHO ENTR. TO-424 - TRECHO ENTR. TO-222</v>
      </c>
      <c r="H154" s="91" t="str">
        <f>'REGIÃO 03 - RESUMO'!J50</f>
        <v>Terraplenagem / Reconformação da plataforma / Recomposição do revestimento primário</v>
      </c>
      <c r="I154">
        <f>'REGIÃO 03 - RESUMO'!K50</f>
        <v>781651.02</v>
      </c>
      <c r="J154">
        <f>'REGIÃO 03 - HISTÓRICO'!F50</f>
        <v>0</v>
      </c>
      <c r="K154">
        <f>'REGIÃO 03 - HISTÓRICO'!G50</f>
        <v>781651.02</v>
      </c>
      <c r="L154" t="str">
        <f>IF(OR('REGIÃO 03 - RESUMO'!L50="",'REGIÃO 03 - RESUMO'!L50=0),"",'REGIÃO 03 - RESUMO'!L50)</f>
        <v>Correção Fiscal</v>
      </c>
      <c r="M154">
        <f>'REGIÃO 03 - HISTÓRICO'!J50</f>
        <v>0</v>
      </c>
      <c r="N154">
        <f>'REGIÃO 03 - HISTÓRICO'!L50</f>
        <v>0</v>
      </c>
      <c r="O154">
        <f>'REGIÃO 03 - HISTÓRICO'!N50</f>
        <v>0</v>
      </c>
      <c r="P154">
        <f>'REGIÃO 03 - HISTÓRICO'!P50</f>
        <v>0</v>
      </c>
      <c r="Q154">
        <f>'REGIÃO 03 - HISTÓRICO'!R50</f>
        <v>0</v>
      </c>
      <c r="R154">
        <f>'REGIÃO 03 - HISTÓRICO'!T50</f>
        <v>0</v>
      </c>
      <c r="S154">
        <f>'REGIÃO 03 - HISTÓRICO'!V50</f>
        <v>0</v>
      </c>
      <c r="T154">
        <f>'REGIÃO 03 - HISTÓRICO'!X50</f>
        <v>0</v>
      </c>
      <c r="U154">
        <f>'REGIÃO 03 - HISTÓRICO'!Z50</f>
        <v>0</v>
      </c>
      <c r="V154">
        <f>'REGIÃO 03 - HISTÓRICO'!AB50</f>
        <v>0</v>
      </c>
      <c r="W154">
        <f>'REGIÃO 03 - HISTÓRICO'!AD50</f>
        <v>0</v>
      </c>
      <c r="X154">
        <f>'REGIÃO 03 - HISTÓRICO'!AF50</f>
        <v>0</v>
      </c>
      <c r="AF154" s="91" t="str">
        <f t="shared" si="28"/>
        <v>R03 E</v>
      </c>
      <c r="AG154" t="str">
        <f t="shared" si="29"/>
        <v>1452.2026.0011</v>
      </c>
      <c r="AH154">
        <f t="shared" si="30"/>
        <v>781651.02</v>
      </c>
      <c r="AI154">
        <f t="shared" si="31"/>
        <v>781651.01984600001</v>
      </c>
      <c r="AJ154">
        <f t="shared" si="32"/>
        <v>20</v>
      </c>
    </row>
    <row r="155" spans="2:36" x14ac:dyDescent="0.3">
      <c r="B155" s="91" t="str">
        <f>'REGIÃO 03 - RESUMO'!C51</f>
        <v>R03 E</v>
      </c>
      <c r="C155" t="str">
        <f>'REGIÃO 03 - RESUMO'!D51</f>
        <v>1452.2026</v>
      </c>
      <c r="D155" s="92">
        <f>'REGIÃO 03 - RESUMO'!E51</f>
        <v>12</v>
      </c>
      <c r="E155" t="str">
        <f>'REGIÃO 03 - RESUMO'!F51</f>
        <v>Setembro</v>
      </c>
      <c r="F155" s="93">
        <f>'REGIÃO 03 - RESUMO'!H51</f>
        <v>80</v>
      </c>
      <c r="G155" t="str">
        <f>'REGIÃO 03 - RESUMO'!I51</f>
        <v>RODOVIA TO-424 - TRECHO ENTR. TO-222 (PLAT. MULTI-MODAL) - BABAÇULÂNDIA</v>
      </c>
      <c r="H155" s="91" t="str">
        <f>'REGIÃO 03 - RESUMO'!J51</f>
        <v>Tapa-Buraco PMF / Recomposição manual de aterro / Enrocamento de pedra arrumada / Enrocamento de pedra jogada / Reparo EDS / Remendo Profundo</v>
      </c>
      <c r="I155">
        <f>'REGIÃO 03 - RESUMO'!K51</f>
        <v>0</v>
      </c>
      <c r="J155">
        <f>'REGIÃO 03 - HISTÓRICO'!F51</f>
        <v>0</v>
      </c>
      <c r="K155">
        <f>'REGIÃO 03 - HISTÓRICO'!G51</f>
        <v>0</v>
      </c>
      <c r="L155" t="str">
        <f>IF(OR('REGIÃO 03 - RESUMO'!L51="",'REGIÃO 03 - RESUMO'!L51=0),"",'REGIÃO 03 - RESUMO'!L51)</f>
        <v>Correção Fiscal</v>
      </c>
      <c r="M155">
        <f>'REGIÃO 03 - HISTÓRICO'!J51</f>
        <v>0</v>
      </c>
      <c r="N155">
        <f>'REGIÃO 03 - HISTÓRICO'!L51</f>
        <v>0</v>
      </c>
      <c r="O155">
        <f>'REGIÃO 03 - HISTÓRICO'!N51</f>
        <v>0</v>
      </c>
      <c r="P155">
        <f>'REGIÃO 03 - HISTÓRICO'!P51</f>
        <v>0</v>
      </c>
      <c r="Q155">
        <f>'REGIÃO 03 - HISTÓRICO'!R51</f>
        <v>0</v>
      </c>
      <c r="R155">
        <f>'REGIÃO 03 - HISTÓRICO'!T51</f>
        <v>0</v>
      </c>
      <c r="S155">
        <f>'REGIÃO 03 - HISTÓRICO'!V51</f>
        <v>0</v>
      </c>
      <c r="T155">
        <f>'REGIÃO 03 - HISTÓRICO'!X51</f>
        <v>0</v>
      </c>
      <c r="U155">
        <f>'REGIÃO 03 - HISTÓRICO'!Z51</f>
        <v>0</v>
      </c>
      <c r="V155">
        <f>'REGIÃO 03 - HISTÓRICO'!AB51</f>
        <v>0</v>
      </c>
      <c r="W155">
        <f>'REGIÃO 03 - HISTÓRICO'!AD51</f>
        <v>0</v>
      </c>
      <c r="X155">
        <f>'REGIÃO 03 - HISTÓRICO'!AF51</f>
        <v>0</v>
      </c>
      <c r="AF155" s="91" t="str">
        <f t="shared" si="28"/>
        <v>R03 E</v>
      </c>
      <c r="AG155" t="str">
        <f t="shared" si="29"/>
        <v>1452.2026.0012</v>
      </c>
      <c r="AH155">
        <f t="shared" si="30"/>
        <v>0</v>
      </c>
      <c r="AI155">
        <f t="shared" si="31"/>
        <v>-1.55E-4</v>
      </c>
      <c r="AJ155">
        <f t="shared" si="32"/>
        <v>162</v>
      </c>
    </row>
    <row r="156" spans="2:36" x14ac:dyDescent="0.3">
      <c r="B156" s="91" t="str">
        <f>'REGIÃO 03 - RESUMO'!C52</f>
        <v>R03 E</v>
      </c>
      <c r="C156" t="str">
        <f>'REGIÃO 03 - RESUMO'!D52</f>
        <v>1452.2026</v>
      </c>
      <c r="D156" s="92">
        <f>'REGIÃO 03 - RESUMO'!E52</f>
        <v>13</v>
      </c>
      <c r="E156" t="str">
        <f>'REGIÃO 03 - RESUMO'!F52</f>
        <v>Agosto</v>
      </c>
      <c r="F156" s="93">
        <f>'REGIÃO 03 - RESUMO'!H52</f>
        <v>83</v>
      </c>
      <c r="G156" t="str">
        <f>'REGIÃO 03 - RESUMO'!I52</f>
        <v>RODOVIA TO-426 - TRECHO POVOADO CRAOLÂNDIA - ENTR. TO-226</v>
      </c>
      <c r="H156" s="91" t="str">
        <f>'REGIÃO 03 - RESUMO'!J52</f>
        <v>Recomposição mecanizada de aterro / Enrocamento de pedra arrumada / Enrocamento de pedra jogada / Terraplenagem / Reconformação da plataforma</v>
      </c>
      <c r="I156">
        <f>'REGIÃO 03 - RESUMO'!K52</f>
        <v>511761.32</v>
      </c>
      <c r="J156">
        <f>'REGIÃO 03 - HISTÓRICO'!F52</f>
        <v>0</v>
      </c>
      <c r="K156">
        <f>'REGIÃO 03 - HISTÓRICO'!G52</f>
        <v>511761.32</v>
      </c>
      <c r="L156" t="str">
        <f>IF(OR('REGIÃO 03 - RESUMO'!L52="",'REGIÃO 03 - RESUMO'!L52=0),"",'REGIÃO 03 - RESUMO'!L52)</f>
        <v>Correção Fiscal</v>
      </c>
      <c r="M156">
        <f>'REGIÃO 03 - HISTÓRICO'!J52</f>
        <v>0</v>
      </c>
      <c r="N156">
        <f>'REGIÃO 03 - HISTÓRICO'!L52</f>
        <v>0</v>
      </c>
      <c r="O156">
        <f>'REGIÃO 03 - HISTÓRICO'!N52</f>
        <v>0</v>
      </c>
      <c r="P156">
        <f>'REGIÃO 03 - HISTÓRICO'!P52</f>
        <v>0</v>
      </c>
      <c r="Q156">
        <f>'REGIÃO 03 - HISTÓRICO'!R52</f>
        <v>0</v>
      </c>
      <c r="R156">
        <f>'REGIÃO 03 - HISTÓRICO'!T52</f>
        <v>0</v>
      </c>
      <c r="S156">
        <f>'REGIÃO 03 - HISTÓRICO'!V52</f>
        <v>0</v>
      </c>
      <c r="T156">
        <f>'REGIÃO 03 - HISTÓRICO'!X52</f>
        <v>0</v>
      </c>
      <c r="U156">
        <f>'REGIÃO 03 - HISTÓRICO'!Z52</f>
        <v>0</v>
      </c>
      <c r="V156">
        <f>'REGIÃO 03 - HISTÓRICO'!AB52</f>
        <v>0</v>
      </c>
      <c r="W156">
        <f>'REGIÃO 03 - HISTÓRICO'!AD52</f>
        <v>0</v>
      </c>
      <c r="X156">
        <f>'REGIÃO 03 - HISTÓRICO'!AF52</f>
        <v>0</v>
      </c>
      <c r="AF156" s="91" t="str">
        <f t="shared" si="28"/>
        <v>R03 E</v>
      </c>
      <c r="AG156" t="str">
        <f t="shared" si="29"/>
        <v>1452.2026.0013</v>
      </c>
      <c r="AH156">
        <f t="shared" si="30"/>
        <v>511761.32</v>
      </c>
      <c r="AI156">
        <f t="shared" si="31"/>
        <v>511761.31984399998</v>
      </c>
      <c r="AJ156">
        <f t="shared" si="32"/>
        <v>25</v>
      </c>
    </row>
    <row r="157" spans="2:36" x14ac:dyDescent="0.3">
      <c r="B157" s="91" t="str">
        <f>'REGIÃO 03 - RESUMO'!C53</f>
        <v>R03 E</v>
      </c>
      <c r="C157" t="str">
        <f>'REGIÃO 03 - RESUMO'!D53</f>
        <v>1452.2026</v>
      </c>
      <c r="D157" s="92">
        <f>'REGIÃO 03 - RESUMO'!E53</f>
        <v>14</v>
      </c>
      <c r="E157" t="str">
        <f>'REGIÃO 03 - RESUMO'!F53</f>
        <v>Agosto</v>
      </c>
      <c r="F157" s="93">
        <f>'REGIÃO 03 - RESUMO'!H53</f>
        <v>71</v>
      </c>
      <c r="G157" t="str">
        <f>'REGIÃO 03 - RESUMO'!I53</f>
        <v>RODOVIA TO-020 - TRECHO RECURSOLÂNDIA - CAMPOS LINDOS</v>
      </c>
      <c r="H157" s="91" t="str">
        <f>'REGIÃO 03 - RESUMO'!J53</f>
        <v>SERVIÇOS MANUTENÇÃO</v>
      </c>
      <c r="I157">
        <f>'REGIÃO 03 - RESUMO'!K53</f>
        <v>0</v>
      </c>
      <c r="J157">
        <f>'REGIÃO 03 - HISTÓRICO'!F53</f>
        <v>0</v>
      </c>
      <c r="K157">
        <f>'REGIÃO 03 - HISTÓRICO'!G53</f>
        <v>0</v>
      </c>
      <c r="L157" t="str">
        <f>IF(OR('REGIÃO 03 - RESUMO'!L53="",'REGIÃO 03 - RESUMO'!L53=0),"",'REGIÃO 03 - RESUMO'!L53)</f>
        <v>Em elaboração</v>
      </c>
      <c r="M157">
        <f>'REGIÃO 03 - HISTÓRICO'!J53</f>
        <v>0</v>
      </c>
      <c r="N157">
        <f>'REGIÃO 03 - HISTÓRICO'!L53</f>
        <v>0</v>
      </c>
      <c r="O157">
        <f>'REGIÃO 03 - HISTÓRICO'!N53</f>
        <v>0</v>
      </c>
      <c r="P157">
        <f>'REGIÃO 03 - HISTÓRICO'!P53</f>
        <v>0</v>
      </c>
      <c r="Q157">
        <f>'REGIÃO 03 - HISTÓRICO'!R53</f>
        <v>0</v>
      </c>
      <c r="R157">
        <f>'REGIÃO 03 - HISTÓRICO'!T53</f>
        <v>0</v>
      </c>
      <c r="S157">
        <f>'REGIÃO 03 - HISTÓRICO'!V53</f>
        <v>0</v>
      </c>
      <c r="T157">
        <f>'REGIÃO 03 - HISTÓRICO'!X53</f>
        <v>0</v>
      </c>
      <c r="U157">
        <f>'REGIÃO 03 - HISTÓRICO'!Z53</f>
        <v>0</v>
      </c>
      <c r="V157">
        <f>'REGIÃO 03 - HISTÓRICO'!AB53</f>
        <v>0</v>
      </c>
      <c r="W157">
        <f>'REGIÃO 03 - HISTÓRICO'!AD53</f>
        <v>0</v>
      </c>
      <c r="X157">
        <f>'REGIÃO 03 - HISTÓRICO'!AF53</f>
        <v>0</v>
      </c>
      <c r="AF157" s="91" t="str">
        <f t="shared" si="28"/>
        <v>R03 E</v>
      </c>
      <c r="AG157" t="str">
        <f t="shared" si="29"/>
        <v>1452.2026.0014</v>
      </c>
      <c r="AH157">
        <f t="shared" si="30"/>
        <v>0</v>
      </c>
      <c r="AI157">
        <f t="shared" si="31"/>
        <v>-1.5699999999999999E-4</v>
      </c>
      <c r="AJ157">
        <f t="shared" si="32"/>
        <v>163</v>
      </c>
    </row>
    <row r="158" spans="2:36" x14ac:dyDescent="0.3">
      <c r="B158" s="91" t="str">
        <f>'REGIÃO 14 - RESUMO'!C4</f>
        <v>R14</v>
      </c>
      <c r="C158" t="str">
        <f>'REGIÃO 14 - RESUMO'!D4</f>
        <v>034.2025</v>
      </c>
      <c r="D158" s="92">
        <f>'REGIÃO 14 - RESUMO'!E4</f>
        <v>3</v>
      </c>
      <c r="E158" s="91" t="str">
        <f>'REGIÃO 14 - RESUMO'!F4</f>
        <v>Janeiro</v>
      </c>
      <c r="F158" s="93">
        <f>'REGIÃO 14 - RESUMO'!H4</f>
        <v>28</v>
      </c>
      <c r="G158" t="str">
        <f>'REGIÃO 14 - RESUMO'!I4</f>
        <v>RODOVIA TO-403 - TRECHO SAMPAIO - ENTR. TO-404 (ITAÚBA)</v>
      </c>
      <c r="H158" s="91" t="str">
        <f>'REGIÃO 14 - RESUMO'!J4</f>
        <v xml:space="preserve">Reciclagem do pavimento e execução de TSD / Sinalização de Obras </v>
      </c>
      <c r="I158">
        <f>'REGIÃO 14 - RESUMO'!K4</f>
        <v>1396628.4</v>
      </c>
      <c r="J158">
        <f>'REGIÃO 14 - HISTÓRICO'!F4</f>
        <v>761125</v>
      </c>
      <c r="K158">
        <f>'REGIÃO 14 - HISTÓRICO'!G4</f>
        <v>635503.39999999991</v>
      </c>
      <c r="L158" t="str">
        <f>IF(OR('REGIÃO 14 - RESUMO'!L4="",'REGIÃO 14 - RESUMO'!L4=0),"",'REGIÃO 14 - RESUMO'!L4)</f>
        <v>Concluída</v>
      </c>
      <c r="M158">
        <f>'REGIÃO 14 - HISTÓRICO'!J4</f>
        <v>761125</v>
      </c>
      <c r="N158">
        <f>'REGIÃO 14 - HISTÓRICO'!L4</f>
        <v>0</v>
      </c>
      <c r="O158">
        <f>'REGIÃO 14 - HISTÓRICO'!N4</f>
        <v>0</v>
      </c>
      <c r="P158">
        <f>'REGIÃO 14 - HISTÓRICO'!P4</f>
        <v>0</v>
      </c>
      <c r="Q158">
        <f>'REGIÃO 14 - HISTÓRICO'!R4</f>
        <v>0</v>
      </c>
      <c r="R158">
        <f>'REGIÃO 14 - HISTÓRICO'!T4</f>
        <v>0</v>
      </c>
      <c r="S158">
        <f>'REGIÃO 14 - HISTÓRICO'!V4</f>
        <v>0</v>
      </c>
      <c r="T158">
        <f>'REGIÃO 14 - HISTÓRICO'!X4</f>
        <v>0</v>
      </c>
      <c r="U158">
        <f>'REGIÃO 14 - HISTÓRICO'!Z4</f>
        <v>0</v>
      </c>
      <c r="V158">
        <f>'REGIÃO 14 - HISTÓRICO'!AB4</f>
        <v>0</v>
      </c>
      <c r="W158">
        <f>'REGIÃO 14 - HISTÓRICO'!AD4</f>
        <v>0</v>
      </c>
      <c r="X158">
        <f>'REGIÃO 14 - HISTÓRICO'!AF4</f>
        <v>0</v>
      </c>
      <c r="AF158" t="str">
        <f t="shared" si="28"/>
        <v>R14</v>
      </c>
      <c r="AG158" t="str">
        <f t="shared" si="29"/>
        <v>034.2025.0003</v>
      </c>
      <c r="AH158">
        <f t="shared" si="30"/>
        <v>1396628.4</v>
      </c>
      <c r="AI158">
        <f t="shared" si="31"/>
        <v>1396628.3998419999</v>
      </c>
      <c r="AJ158">
        <f t="shared" si="32"/>
        <v>8</v>
      </c>
    </row>
    <row r="159" spans="2:36" x14ac:dyDescent="0.3">
      <c r="B159" s="91" t="str">
        <f>'REGIÃO 14 - RESUMO'!C8</f>
        <v>R14</v>
      </c>
      <c r="C159" t="str">
        <f>'REGIÃO 14 - RESUMO'!D8</f>
        <v>034.2025</v>
      </c>
      <c r="D159" s="92">
        <f>'REGIÃO 14 - RESUMO'!E8</f>
        <v>7</v>
      </c>
      <c r="E159" s="91" t="str">
        <f>'REGIÃO 14 - RESUMO'!F8</f>
        <v>Maio</v>
      </c>
      <c r="F159" s="93">
        <f>'REGIÃO 14 - RESUMO'!H8</f>
        <v>9</v>
      </c>
      <c r="G159" t="str">
        <f>'REGIÃO 14 - RESUMO'!I8</f>
        <v>RODOVIA TO-126 - TRECHO SUMAUMA - SÍTIO NOVO DO TOCANTINS</v>
      </c>
      <c r="H159" s="91" t="str">
        <f>'REGIÃO 14 - RESUMO'!J8</f>
        <v xml:space="preserve">Reciclagem do pavimento e execução de TSD / Microrrevestimento asfáltico 8 mm / Sinalização de Obras </v>
      </c>
      <c r="I159">
        <f>'REGIÃO 14 - RESUMO'!K8</f>
        <v>5042910.09</v>
      </c>
      <c r="J159">
        <f>'REGIÃO 14 - HISTÓRICO'!F8</f>
        <v>4554858.59</v>
      </c>
      <c r="K159">
        <f>'REGIÃO 14 - HISTÓRICO'!G8</f>
        <v>488051.5</v>
      </c>
      <c r="L159" t="str">
        <f>IF(OR('REGIÃO 14 - RESUMO'!L8="",'REGIÃO 14 - RESUMO'!L8=0),"",'REGIÃO 14 - RESUMO'!L8)</f>
        <v>Concluída</v>
      </c>
      <c r="M159">
        <f>'REGIÃO 14 - HISTÓRICO'!J8</f>
        <v>0</v>
      </c>
      <c r="N159">
        <f>'REGIÃO 14 - HISTÓRICO'!L8</f>
        <v>0</v>
      </c>
      <c r="O159">
        <f>'REGIÃO 14 - HISTÓRICO'!N8</f>
        <v>0</v>
      </c>
      <c r="P159">
        <f>'REGIÃO 14 - HISTÓRICO'!P8</f>
        <v>0</v>
      </c>
      <c r="Q159">
        <f>'REGIÃO 14 - HISTÓRICO'!R8</f>
        <v>2223347.91</v>
      </c>
      <c r="R159">
        <f>'REGIÃO 14 - HISTÓRICO'!T8</f>
        <v>2331510.6800000002</v>
      </c>
      <c r="S159">
        <f>'REGIÃO 14 - HISTÓRICO'!V8</f>
        <v>0</v>
      </c>
      <c r="T159">
        <f>'REGIÃO 14 - HISTÓRICO'!X8</f>
        <v>0</v>
      </c>
      <c r="U159">
        <f>'REGIÃO 14 - HISTÓRICO'!Z8</f>
        <v>0</v>
      </c>
      <c r="V159">
        <f>'REGIÃO 14 - HISTÓRICO'!AB8</f>
        <v>0</v>
      </c>
      <c r="W159">
        <f>'REGIÃO 14 - HISTÓRICO'!AD8</f>
        <v>0</v>
      </c>
      <c r="X159">
        <f>'REGIÃO 14 - HISTÓRICO'!AF8</f>
        <v>0</v>
      </c>
      <c r="AF159" s="91" t="str">
        <f t="shared" si="28"/>
        <v>R14</v>
      </c>
      <c r="AG159" t="str">
        <f t="shared" si="29"/>
        <v>034.2025.0007</v>
      </c>
      <c r="AH159">
        <f t="shared" si="30"/>
        <v>5042910.09</v>
      </c>
      <c r="AI159">
        <f t="shared" si="31"/>
        <v>5042910.0898409998</v>
      </c>
      <c r="AJ159">
        <f t="shared" si="32"/>
        <v>5</v>
      </c>
    </row>
    <row r="160" spans="2:36" x14ac:dyDescent="0.3">
      <c r="B160" s="91" t="str">
        <f>'REGIÃO 14 - RESUMO'!C9</f>
        <v>R14</v>
      </c>
      <c r="C160" t="str">
        <f>'REGIÃO 14 - RESUMO'!D9</f>
        <v>034.2025</v>
      </c>
      <c r="D160" s="92">
        <f>'REGIÃO 14 - RESUMO'!E9</f>
        <v>8</v>
      </c>
      <c r="E160" s="91" t="str">
        <f>'REGIÃO 14 - RESUMO'!F9</f>
        <v>Julho</v>
      </c>
      <c r="F160" s="93">
        <f>'REGIÃO 14 - RESUMO'!H9</f>
        <v>30</v>
      </c>
      <c r="G160" t="str">
        <f>'REGIÃO 14 - RESUMO'!I9</f>
        <v xml:space="preserve">RODOVIA TO-404 - TRECHO AUGUSTINÓPOLIS - PRAIA NORTE </v>
      </c>
      <c r="H160" s="91" t="str">
        <f>'REGIÃO 14 - RESUMO'!J9</f>
        <v>Drenagem</v>
      </c>
      <c r="I160">
        <f>'REGIÃO 14 - RESUMO'!K9</f>
        <v>3317978.7</v>
      </c>
      <c r="J160">
        <f>'REGIÃO 14 - HISTÓRICO'!F9</f>
        <v>2032701.05</v>
      </c>
      <c r="K160">
        <f>'REGIÃO 14 - HISTÓRICO'!G9</f>
        <v>1285277.6500000001</v>
      </c>
      <c r="L160" t="str">
        <f>IF(OR('REGIÃO 14 - RESUMO'!L9="",'REGIÃO 14 - RESUMO'!L9=0),"",'REGIÃO 14 - RESUMO'!L9)</f>
        <v>Em andamento</v>
      </c>
      <c r="M160">
        <f>'REGIÃO 14 - HISTÓRICO'!J9</f>
        <v>0</v>
      </c>
      <c r="N160">
        <f>'REGIÃO 14 - HISTÓRICO'!L9</f>
        <v>0</v>
      </c>
      <c r="O160">
        <f>'REGIÃO 14 - HISTÓRICO'!N9</f>
        <v>0</v>
      </c>
      <c r="P160">
        <f>'REGIÃO 14 - HISTÓRICO'!P9</f>
        <v>0</v>
      </c>
      <c r="Q160">
        <f>'REGIÃO 14 - HISTÓRICO'!R9</f>
        <v>0</v>
      </c>
      <c r="R160">
        <f>'REGIÃO 14 - HISTÓRICO'!T9</f>
        <v>0</v>
      </c>
      <c r="S160">
        <f>'REGIÃO 14 - HISTÓRICO'!V9</f>
        <v>699114.55</v>
      </c>
      <c r="T160">
        <f>'REGIÃO 14 - HISTÓRICO'!X9</f>
        <v>1333586.5</v>
      </c>
      <c r="U160">
        <f>'REGIÃO 14 - HISTÓRICO'!Z9</f>
        <v>0</v>
      </c>
      <c r="V160">
        <f>'REGIÃO 14 - HISTÓRICO'!AB9</f>
        <v>0</v>
      </c>
      <c r="W160">
        <f>'REGIÃO 14 - HISTÓRICO'!AD9</f>
        <v>0</v>
      </c>
      <c r="X160">
        <f>'REGIÃO 14 - HISTÓRICO'!AF9</f>
        <v>0</v>
      </c>
      <c r="AF160" s="91" t="str">
        <f t="shared" si="28"/>
        <v>R14</v>
      </c>
      <c r="AG160" t="str">
        <f t="shared" si="29"/>
        <v>034.2025.0008</v>
      </c>
      <c r="AH160">
        <f t="shared" si="30"/>
        <v>3317978.7</v>
      </c>
      <c r="AI160">
        <f t="shared" si="31"/>
        <v>3317978.6998400004</v>
      </c>
      <c r="AJ160">
        <f t="shared" si="32"/>
        <v>7</v>
      </c>
    </row>
    <row r="161" spans="2:36" x14ac:dyDescent="0.3">
      <c r="B161" s="91" t="str">
        <f>'REGIÃO 14 - RESUMO'!C10</f>
        <v>R14</v>
      </c>
      <c r="C161" t="str">
        <f>'REGIÃO 14 - RESUMO'!D10</f>
        <v>034.2025</v>
      </c>
      <c r="D161" s="92">
        <f>'REGIÃO 14 - RESUMO'!E10</f>
        <v>9</v>
      </c>
      <c r="E161" s="91" t="str">
        <f>'REGIÃO 14 - RESUMO'!F10</f>
        <v>Agosto</v>
      </c>
      <c r="F161" s="93">
        <f>'REGIÃO 14 - RESUMO'!H10</f>
        <v>24</v>
      </c>
      <c r="G161" t="str">
        <f>'REGIÃO 14 - RESUMO'!I10</f>
        <v>RODOVIA TO-210 - TRECHO NAZARÉ - ENTR. TO-134 (POVOADO GROTÃO DE NAZARÉ)</v>
      </c>
      <c r="H161" s="91" t="str">
        <f>'REGIÃO 14 - RESUMO'!J10</f>
        <v xml:space="preserve">Reciclagem do pavimento e execução de TSD / Microrrevestimento asfáltico 8 mm / Sinalização de Obras </v>
      </c>
      <c r="I161">
        <f>'REGIÃO 14 - RESUMO'!K10</f>
        <v>10717872.65</v>
      </c>
      <c r="J161">
        <f>'REGIÃO 14 - HISTÓRICO'!F10</f>
        <v>1668793.02</v>
      </c>
      <c r="K161">
        <f>'REGIÃO 14 - HISTÓRICO'!G10</f>
        <v>9049079.6300000008</v>
      </c>
      <c r="L161" t="str">
        <f>IF(OR('REGIÃO 14 - RESUMO'!L10="",'REGIÃO 14 - RESUMO'!L10=0),"",'REGIÃO 14 - RESUMO'!L10)</f>
        <v>Em andamento</v>
      </c>
      <c r="M161">
        <f>'REGIÃO 14 - HISTÓRICO'!J10</f>
        <v>0</v>
      </c>
      <c r="N161">
        <f>'REGIÃO 14 - HISTÓRICO'!L10</f>
        <v>0</v>
      </c>
      <c r="O161">
        <f>'REGIÃO 14 - HISTÓRICO'!N10</f>
        <v>0</v>
      </c>
      <c r="P161">
        <f>'REGIÃO 14 - HISTÓRICO'!P10</f>
        <v>0</v>
      </c>
      <c r="Q161">
        <f>'REGIÃO 14 - HISTÓRICO'!R10</f>
        <v>0</v>
      </c>
      <c r="R161">
        <f>'REGIÃO 14 - HISTÓRICO'!T10</f>
        <v>0</v>
      </c>
      <c r="S161">
        <f>'REGIÃO 14 - HISTÓRICO'!V10</f>
        <v>0</v>
      </c>
      <c r="T161">
        <f>'REGIÃO 14 - HISTÓRICO'!X10</f>
        <v>1668793.02</v>
      </c>
      <c r="U161">
        <f>'REGIÃO 14 - HISTÓRICO'!Z10</f>
        <v>0</v>
      </c>
      <c r="V161">
        <f>'REGIÃO 14 - HISTÓRICO'!AB10</f>
        <v>0</v>
      </c>
      <c r="W161">
        <f>'REGIÃO 14 - HISTÓRICO'!AD10</f>
        <v>0</v>
      </c>
      <c r="X161">
        <f>'REGIÃO 14 - HISTÓRICO'!AF10</f>
        <v>0</v>
      </c>
      <c r="AF161" s="91" t="str">
        <f t="shared" si="28"/>
        <v>R14</v>
      </c>
      <c r="AG161" t="str">
        <f t="shared" si="29"/>
        <v>034.2025.0009</v>
      </c>
      <c r="AH161">
        <f t="shared" si="30"/>
        <v>10717872.65</v>
      </c>
      <c r="AI161">
        <f t="shared" si="31"/>
        <v>10717872.649839001</v>
      </c>
      <c r="AJ161">
        <f t="shared" si="32"/>
        <v>2</v>
      </c>
    </row>
    <row r="162" spans="2:36" x14ac:dyDescent="0.3">
      <c r="B162" s="91" t="str">
        <f>'REGIÃO 15 - RESUMO'!C4</f>
        <v>R15</v>
      </c>
      <c r="C162" t="str">
        <f>'REGIÃO 15 - RESUMO'!D4</f>
        <v>035.2025</v>
      </c>
      <c r="D162" s="92">
        <f>'REGIÃO 15 - RESUMO'!E4</f>
        <v>2</v>
      </c>
      <c r="E162" s="91" t="str">
        <f>'REGIÃO 15 - RESUMO'!F4</f>
        <v>Abril</v>
      </c>
      <c r="F162" s="93">
        <f>'REGIÃO 15 - RESUMO'!H4</f>
        <v>58</v>
      </c>
      <c r="G162" t="str">
        <f>'REGIÃO 15 - RESUMO'!I4</f>
        <v>RODOVIA TO-416 - TRECHO ENTR. TO-222 - POVOADO COCALINHO</v>
      </c>
      <c r="H162" s="91" t="str">
        <f>'REGIÃO 15 - RESUMO'!J4</f>
        <v xml:space="preserve">Reciclagem do pavimento e execução de TSD / Sinalização de Obras </v>
      </c>
      <c r="I162">
        <f>'REGIÃO 15 - RESUMO'!K4</f>
        <v>4007975.34</v>
      </c>
      <c r="J162">
        <f>'REGIÃO 15 - HISTÓRICO'!F4</f>
        <v>2877414.09</v>
      </c>
      <c r="K162">
        <f>'REGIÃO 15 - HISTÓRICO'!G4</f>
        <v>1130561.25</v>
      </c>
      <c r="L162" t="str">
        <f>IF(OR('REGIÃO 15 - RESUMO'!L4="",'REGIÃO 15 - RESUMO'!L4=0),"",'REGIÃO 15 - RESUMO'!L4)</f>
        <v>Concluída</v>
      </c>
      <c r="M162">
        <f>'REGIÃO 15 - HISTÓRICO'!J4</f>
        <v>0</v>
      </c>
      <c r="N162">
        <f>'REGIÃO 15 - HISTÓRICO'!L4</f>
        <v>0</v>
      </c>
      <c r="O162">
        <f>'REGIÃO 15 - HISTÓRICO'!N4</f>
        <v>0</v>
      </c>
      <c r="P162">
        <f>'REGIÃO 15 - HISTÓRICO'!P4</f>
        <v>1477327.38</v>
      </c>
      <c r="Q162">
        <f>'REGIÃO 15 - HISTÓRICO'!R4</f>
        <v>1106577.99</v>
      </c>
      <c r="R162">
        <f>'REGIÃO 15 - HISTÓRICO'!T4</f>
        <v>293508.71999999997</v>
      </c>
      <c r="S162">
        <f>'REGIÃO 15 - HISTÓRICO'!V4</f>
        <v>0</v>
      </c>
      <c r="T162">
        <f>'REGIÃO 15 - HISTÓRICO'!X4</f>
        <v>0</v>
      </c>
      <c r="U162">
        <f>'REGIÃO 15 - HISTÓRICO'!Z4</f>
        <v>0</v>
      </c>
      <c r="V162">
        <f>'REGIÃO 15 - HISTÓRICO'!AB4</f>
        <v>0</v>
      </c>
      <c r="W162">
        <f>'REGIÃO 15 - HISTÓRICO'!AD4</f>
        <v>0</v>
      </c>
      <c r="X162">
        <f>'REGIÃO 15 - HISTÓRICO'!AF4</f>
        <v>0</v>
      </c>
      <c r="AF162" t="str">
        <f t="shared" si="28"/>
        <v>R15</v>
      </c>
      <c r="AG162" t="str">
        <f t="shared" si="29"/>
        <v>035.2025.0002</v>
      </c>
      <c r="AH162">
        <f t="shared" si="30"/>
        <v>4007975.34</v>
      </c>
      <c r="AI162">
        <f t="shared" si="31"/>
        <v>4007975.339838</v>
      </c>
      <c r="AJ162">
        <f t="shared" si="32"/>
        <v>6</v>
      </c>
    </row>
    <row r="163" spans="2:36" x14ac:dyDescent="0.3">
      <c r="B163" s="91" t="str">
        <f>'REGIÃO 16 - RESUMO'!C4</f>
        <v>R16</v>
      </c>
      <c r="C163" t="str">
        <f>'REGIÃO 16 - RESUMO'!D4</f>
        <v>036.2025</v>
      </c>
      <c r="D163" s="92">
        <f>'REGIÃO 16 - RESUMO'!E4</f>
        <v>1</v>
      </c>
      <c r="E163" s="91" t="str">
        <f>'REGIÃO 16 - RESUMO'!F4</f>
        <v>Março</v>
      </c>
      <c r="F163" s="93">
        <f>'REGIÃO 16 - RESUMO'!H4</f>
        <v>73</v>
      </c>
      <c r="G163" t="str">
        <f>'REGIÃO 16 - RESUMO'!I4</f>
        <v>RODOVIA TO-130 - TRECHO ENTR. TO-010 - TRECHO BARRA DO OURO - ENTR. BR-010 (POVOADO MORRO GRANDE)</v>
      </c>
      <c r="H163" s="91" t="str">
        <f>'REGIÃO 16 - RESUMO'!J4</f>
        <v xml:space="preserve">Reciclagem do pavimento e execução de TSD / Fornecimento e aplicação de CBUQ / Sinalização de Obras </v>
      </c>
      <c r="I163">
        <f>'REGIÃO 16 - RESUMO'!K4</f>
        <v>20918755.530000001</v>
      </c>
      <c r="J163">
        <f>'REGIÃO 16 - HISTÓRICO'!F4</f>
        <v>20301976.329999998</v>
      </c>
      <c r="K163">
        <f>'REGIÃO 16 - HISTÓRICO'!G4</f>
        <v>616779.20000000298</v>
      </c>
      <c r="L163" t="str">
        <f>IF(OR('REGIÃO 16 - RESUMO'!L4="",'REGIÃO 16 - RESUMO'!L4=0),"",'REGIÃO 16 - RESUMO'!L4)</f>
        <v>Concluída</v>
      </c>
      <c r="M163">
        <f>'REGIÃO 16 - HISTÓRICO'!J4</f>
        <v>0</v>
      </c>
      <c r="N163">
        <f>'REGIÃO 16 - HISTÓRICO'!L4</f>
        <v>0</v>
      </c>
      <c r="O163">
        <f>'REGIÃO 16 - HISTÓRICO'!N4</f>
        <v>1530229.79</v>
      </c>
      <c r="P163">
        <f>'REGIÃO 16 - HISTÓRICO'!P4</f>
        <v>7232414.29</v>
      </c>
      <c r="Q163">
        <f>'REGIÃO 16 - HISTÓRICO'!R4</f>
        <v>11539332.25</v>
      </c>
      <c r="R163">
        <f>'REGIÃO 16 - HISTÓRICO'!T4</f>
        <v>0</v>
      </c>
      <c r="S163">
        <f>'REGIÃO 16 - HISTÓRICO'!V4</f>
        <v>0</v>
      </c>
      <c r="T163">
        <f>'REGIÃO 16 - HISTÓRICO'!X4</f>
        <v>0</v>
      </c>
      <c r="U163">
        <f>'REGIÃO 16 - HISTÓRICO'!Z4</f>
        <v>0</v>
      </c>
      <c r="V163">
        <f>'REGIÃO 16 - HISTÓRICO'!AB4</f>
        <v>0</v>
      </c>
      <c r="W163">
        <f>'REGIÃO 16 - HISTÓRICO'!AD4</f>
        <v>0</v>
      </c>
      <c r="X163">
        <f>'REGIÃO 16 - HISTÓRICO'!AF4</f>
        <v>0</v>
      </c>
      <c r="AF163" t="str">
        <f t="shared" si="28"/>
        <v>R16</v>
      </c>
      <c r="AG163" t="str">
        <f t="shared" si="29"/>
        <v>036.2025.0001</v>
      </c>
      <c r="AH163">
        <f t="shared" si="30"/>
        <v>20918755.530000001</v>
      </c>
      <c r="AI163">
        <f t="shared" si="31"/>
        <v>20918755.529837001</v>
      </c>
      <c r="AJ163">
        <f t="shared" si="32"/>
        <v>1</v>
      </c>
    </row>
    <row r="164" spans="2:36" x14ac:dyDescent="0.3">
      <c r="B164" s="91" t="str">
        <f>'REGIÃO 16 - RESUMO'!C5</f>
        <v>R16</v>
      </c>
      <c r="C164" t="str">
        <f>'REGIÃO 16 - RESUMO'!D5</f>
        <v>036.2025</v>
      </c>
      <c r="D164" s="92">
        <f>'REGIÃO 16 - RESUMO'!E5</f>
        <v>2</v>
      </c>
      <c r="E164" s="91" t="str">
        <f>'REGIÃO 16 - RESUMO'!F5</f>
        <v>Junho</v>
      </c>
      <c r="F164" s="93">
        <f>'REGIÃO 16 - RESUMO'!H5</f>
        <v>68</v>
      </c>
      <c r="G164" t="str">
        <f>'REGIÃO 16 - RESUMO'!I5</f>
        <v>RODOVIA TO-010 - TRECHO PALMEIRANTE - ENTR. TO-222 (POVOADO BIELÂNDIA)</v>
      </c>
      <c r="H164" s="91" t="str">
        <f>'REGIÃO 16 - RESUMO'!J5</f>
        <v>Reciclagem do pavimento e execução de TSD / Microrrevestimento asfáltico 8 mm</v>
      </c>
      <c r="I164">
        <f>'REGIÃO 16 - RESUMO'!K5</f>
        <v>5613050.5800000001</v>
      </c>
      <c r="J164">
        <f>'REGIÃO 16 - HISTÓRICO'!F5</f>
        <v>5550900.46</v>
      </c>
      <c r="K164">
        <f>'REGIÃO 16 - HISTÓRICO'!G5</f>
        <v>62150.120000000112</v>
      </c>
      <c r="L164" t="str">
        <f>IF(OR('REGIÃO 16 - RESUMO'!L5="",'REGIÃO 16 - RESUMO'!L5=0),"",'REGIÃO 16 - RESUMO'!L5)</f>
        <v>Concluída</v>
      </c>
      <c r="M164">
        <f>'REGIÃO 16 - HISTÓRICO'!J5</f>
        <v>0</v>
      </c>
      <c r="N164">
        <f>'REGIÃO 16 - HISTÓRICO'!L5</f>
        <v>0</v>
      </c>
      <c r="O164">
        <f>'REGIÃO 16 - HISTÓRICO'!N5</f>
        <v>0</v>
      </c>
      <c r="P164">
        <f>'REGIÃO 16 - HISTÓRICO'!P5</f>
        <v>0</v>
      </c>
      <c r="Q164">
        <f>'REGIÃO 16 - HISTÓRICO'!R5</f>
        <v>0</v>
      </c>
      <c r="R164">
        <f>'REGIÃO 16 - HISTÓRICO'!T5</f>
        <v>5550900.46</v>
      </c>
      <c r="S164">
        <f>'REGIÃO 16 - HISTÓRICO'!V5</f>
        <v>0</v>
      </c>
      <c r="T164">
        <f>'REGIÃO 16 - HISTÓRICO'!X5</f>
        <v>0</v>
      </c>
      <c r="U164">
        <f>'REGIÃO 16 - HISTÓRICO'!Z5</f>
        <v>0</v>
      </c>
      <c r="V164">
        <f>'REGIÃO 16 - HISTÓRICO'!AB5</f>
        <v>0</v>
      </c>
      <c r="W164">
        <f>'REGIÃO 16 - HISTÓRICO'!AD5</f>
        <v>0</v>
      </c>
      <c r="X164">
        <f>'REGIÃO 16 - HISTÓRICO'!AF5</f>
        <v>0</v>
      </c>
      <c r="AF164" s="91" t="str">
        <f t="shared" si="28"/>
        <v>R16</v>
      </c>
      <c r="AG164" t="str">
        <f t="shared" si="29"/>
        <v>036.2025.0002</v>
      </c>
      <c r="AH164">
        <f t="shared" si="30"/>
        <v>5613050.5800000001</v>
      </c>
      <c r="AI164">
        <f t="shared" si="31"/>
        <v>5613050.5798359998</v>
      </c>
      <c r="AJ164">
        <f t="shared" si="32"/>
        <v>4</v>
      </c>
    </row>
    <row r="165" spans="2:36" x14ac:dyDescent="0.3">
      <c r="B165" s="91" t="str">
        <f>'REGIÃO 16 - RESUMO'!C6</f>
        <v>R16</v>
      </c>
      <c r="C165" s="91" t="str">
        <f>'REGIÃO 16 - RESUMO'!D6</f>
        <v>036.2025</v>
      </c>
      <c r="D165" s="92">
        <f>'REGIÃO 16 - RESUMO'!E6</f>
        <v>3</v>
      </c>
      <c r="E165" s="91" t="str">
        <f>'REGIÃO 16 - RESUMO'!F6</f>
        <v>Junho</v>
      </c>
      <c r="F165" s="93">
        <f>'REGIÃO 16 - RESUMO'!H6</f>
        <v>68</v>
      </c>
      <c r="G165" s="91" t="str">
        <f>'REGIÃO 16 - RESUMO'!I6</f>
        <v>RODOVIA TO-010 - TRECHO PALMEIRANTE - ENTR. TO-222 (POVOADO BIELÂNDIA)</v>
      </c>
      <c r="H165" s="91" t="str">
        <f>'REGIÃO 16 - RESUMO'!J6</f>
        <v xml:space="preserve">Reciclagem do pavimento e execução de TSD / Microrrevestimento asfáltico 8 mm / Fornecimento e aplicação de CBUQ / Sinalização de Obras </v>
      </c>
      <c r="I165">
        <f>'REGIÃO 16 - RESUMO'!K6</f>
        <v>5839446.1399999997</v>
      </c>
      <c r="J165">
        <f>'REGIÃO 16 - HISTÓRICO'!F6</f>
        <v>5645703</v>
      </c>
      <c r="K165">
        <f>'REGIÃO 16 - HISTÓRICO'!G6</f>
        <v>193743.13999999966</v>
      </c>
      <c r="L165" t="str">
        <f>IF(OR('REGIÃO 16 - RESUMO'!L6="",'REGIÃO 16 - RESUMO'!L6=0),"",'REGIÃO 16 - RESUMO'!L6)</f>
        <v>Concluída</v>
      </c>
      <c r="M165">
        <f>'REGIÃO 16 - HISTÓRICO'!J6</f>
        <v>0</v>
      </c>
      <c r="N165">
        <f>'REGIÃO 16 - HISTÓRICO'!L6</f>
        <v>0</v>
      </c>
      <c r="O165">
        <f>'REGIÃO 16 - HISTÓRICO'!N6</f>
        <v>0</v>
      </c>
      <c r="P165">
        <f>'REGIÃO 16 - HISTÓRICO'!P6</f>
        <v>0</v>
      </c>
      <c r="Q165">
        <f>'REGIÃO 16 - HISTÓRICO'!R6</f>
        <v>0</v>
      </c>
      <c r="R165">
        <f>'REGIÃO 16 - HISTÓRICO'!T6</f>
        <v>5276893.41</v>
      </c>
      <c r="S165">
        <f>'REGIÃO 16 - HISTÓRICO'!V6</f>
        <v>368809.59</v>
      </c>
      <c r="T165">
        <f>'REGIÃO 16 - HISTÓRICO'!X6</f>
        <v>0</v>
      </c>
      <c r="U165">
        <f>'REGIÃO 16 - HISTÓRICO'!Z6</f>
        <v>0</v>
      </c>
      <c r="V165">
        <f>'REGIÃO 16 - HISTÓRICO'!AB6</f>
        <v>0</v>
      </c>
      <c r="W165">
        <f>'REGIÃO 16 - HISTÓRICO'!AD6</f>
        <v>0</v>
      </c>
      <c r="X165">
        <f>'REGIÃO 16 - HISTÓRICO'!AF6</f>
        <v>0</v>
      </c>
      <c r="AF165" s="91" t="str">
        <f t="shared" si="28"/>
        <v>R16</v>
      </c>
      <c r="AG165" t="str">
        <f t="shared" si="29"/>
        <v>036.2025.0003</v>
      </c>
      <c r="AH165">
        <f t="shared" si="30"/>
        <v>5839446.1399999997</v>
      </c>
      <c r="AI165">
        <f t="shared" si="31"/>
        <v>5839446.139835</v>
      </c>
      <c r="AJ165">
        <f t="shared" si="32"/>
        <v>3</v>
      </c>
    </row>
    <row r="166" spans="2:36" x14ac:dyDescent="0.3">
      <c r="B166" s="91" t="str">
        <f>'REGIÃO 16 - RESUMO'!C7</f>
        <v>R16</v>
      </c>
      <c r="C166" s="91" t="str">
        <f>'REGIÃO 16 - RESUMO'!D7</f>
        <v>036.2025</v>
      </c>
      <c r="D166" s="92">
        <f>'REGIÃO 16 - RESUMO'!E7</f>
        <v>4</v>
      </c>
      <c r="E166" t="str">
        <f>'REGIÃO 16 - RESUMO'!F7</f>
        <v>Agosto</v>
      </c>
      <c r="F166" s="93">
        <f>'REGIÃO 16 - RESUMO'!H7</f>
        <v>74</v>
      </c>
      <c r="G166" s="91" t="str">
        <f>'REGIÃO 16 - RESUMO'!I7</f>
        <v>RODOVIA TO-222 - TRECHO ARAGUAÍNA - FILADÉLFIA</v>
      </c>
      <c r="H166" s="91" t="str">
        <f>'REGIÃO 16 - RESUMO'!J7</f>
        <v xml:space="preserve">Reciclagem do pavimento e execução de TSD / Fornecimento e aplicação de CBUQ / Sinalização de Obras </v>
      </c>
      <c r="I166">
        <f>'REGIÃO 16 - RESUMO'!K7</f>
        <v>1304987.33</v>
      </c>
      <c r="J166">
        <f>'REGIÃO 16 - HISTÓRICO'!F7</f>
        <v>0</v>
      </c>
      <c r="K166">
        <f>'REGIÃO 16 - HISTÓRICO'!G7</f>
        <v>1304987.33</v>
      </c>
      <c r="L166" t="str">
        <f>IF(OR('REGIÃO 16 - RESUMO'!L7="",'REGIÃO 16 - RESUMO'!L7=0),"",'REGIÃO 16 - RESUMO'!L7)</f>
        <v>Em elaboração</v>
      </c>
      <c r="M166">
        <f>'REGIÃO 16 - HISTÓRICO'!J7</f>
        <v>0</v>
      </c>
      <c r="N166">
        <f>'REGIÃO 16 - HISTÓRICO'!L7</f>
        <v>0</v>
      </c>
      <c r="O166">
        <f>'REGIÃO 16 - HISTÓRICO'!N7</f>
        <v>0</v>
      </c>
      <c r="P166">
        <f>'REGIÃO 16 - HISTÓRICO'!P7</f>
        <v>0</v>
      </c>
      <c r="Q166">
        <f>'REGIÃO 16 - HISTÓRICO'!R7</f>
        <v>0</v>
      </c>
      <c r="R166">
        <f>'REGIÃO 16 - HISTÓRICO'!T7</f>
        <v>0</v>
      </c>
      <c r="S166">
        <f>'REGIÃO 16 - HISTÓRICO'!V7</f>
        <v>0</v>
      </c>
      <c r="T166">
        <f>'REGIÃO 16 - HISTÓRICO'!X7</f>
        <v>0</v>
      </c>
      <c r="U166">
        <f>'REGIÃO 16 - HISTÓRICO'!Z7</f>
        <v>0</v>
      </c>
      <c r="V166">
        <f>'REGIÃO 16 - HISTÓRICO'!AB7</f>
        <v>0</v>
      </c>
      <c r="W166">
        <f>'REGIÃO 16 - HISTÓRICO'!AD7</f>
        <v>0</v>
      </c>
      <c r="X166">
        <f>'REGIÃO 16 - HISTÓRICO'!AF7</f>
        <v>0</v>
      </c>
      <c r="AF166" s="91" t="str">
        <f t="shared" si="28"/>
        <v>R16</v>
      </c>
      <c r="AG166" t="str">
        <f t="shared" si="29"/>
        <v>036.2025.0004</v>
      </c>
      <c r="AH166">
        <f t="shared" si="30"/>
        <v>1304987.33</v>
      </c>
      <c r="AI166">
        <f t="shared" si="31"/>
        <v>1304987.329834</v>
      </c>
      <c r="AJ166">
        <f t="shared" si="32"/>
        <v>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19</vt:i4>
      </vt:variant>
      <vt:variant>
        <vt:lpstr>Intervalos Nomeados</vt:lpstr>
      </vt:variant>
      <vt:variant>
        <vt:i4>9</vt:i4>
      </vt:variant>
    </vt:vector>
  </HeadingPairs>
  <TitlesOfParts>
    <vt:vector size="28" baseType="lpstr">
      <vt:lpstr>DASHBOARD</vt:lpstr>
      <vt:lpstr>DETALHAMENTO</vt:lpstr>
      <vt:lpstr>REGIÃO 01 - RESUMO</vt:lpstr>
      <vt:lpstr>REGIÃO 01 - HISTÓRICO</vt:lpstr>
      <vt:lpstr>REGIÃO 02 - RESUMO</vt:lpstr>
      <vt:lpstr>REGIÃO 02 - HISTÓRICO</vt:lpstr>
      <vt:lpstr>REGIÃO 03 - RESUMO</vt:lpstr>
      <vt:lpstr>REGIÃO 03 - HISTÓRICO</vt:lpstr>
      <vt:lpstr>REGIÃO 14 - RESUMO</vt:lpstr>
      <vt:lpstr>REGIÃO 14 - HISTÓRICO</vt:lpstr>
      <vt:lpstr>REGIÃO 15 - RESUMO</vt:lpstr>
      <vt:lpstr>REGIÃO 15 - HISTÓRICO</vt:lpstr>
      <vt:lpstr>REGIÃO 16 - RESUMO</vt:lpstr>
      <vt:lpstr>REGIÃO 16 - HISTÓRICO</vt:lpstr>
      <vt:lpstr>REGIÃO 01 - TRECHOS</vt:lpstr>
      <vt:lpstr>REGIÃO 02 - TRECHOS</vt:lpstr>
      <vt:lpstr>REGIÃO 03 - TRECHOS</vt:lpstr>
      <vt:lpstr>Tabelas Auxiliares</vt:lpstr>
      <vt:lpstr>BASE DASHBOARD</vt:lpstr>
      <vt:lpstr>'REGIÃO 02 - HISTÓRICO'!tabOSP</vt:lpstr>
      <vt:lpstr>'REGIÃO 03 - HISTÓRICO'!tabOSP</vt:lpstr>
      <vt:lpstr>'REGIÃO 14 - HISTÓRICO'!tabOSP</vt:lpstr>
      <vt:lpstr>'REGIÃO 15 - HISTÓRICO'!tabOSP</vt:lpstr>
      <vt:lpstr>'REGIÃO 16 - HISTÓRICO'!tabOSP</vt:lpstr>
      <vt:lpstr>tabOSP</vt:lpstr>
      <vt:lpstr>tbContratos</vt:lpstr>
      <vt:lpstr>tbServicos</vt:lpstr>
      <vt:lpstr>tbSituacao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Guilherme Vaz Freire</dc:creator>
  <cp:keywords/>
  <dc:description/>
  <cp:lastModifiedBy>Guilherme Vaz Freire</cp:lastModifiedBy>
  <cp:revision/>
  <cp:lastPrinted>2026-08-03T20:02:15Z</cp:lastPrinted>
  <dcterms:created xsi:type="dcterms:W3CDTF">2026-03-27T12:35:14Z</dcterms:created>
  <dcterms:modified xsi:type="dcterms:W3CDTF">2026-09-18T14:52:29Z</dcterms:modified>
  <cp:category/>
  <cp:contentStatus/>
</cp:coreProperties>
</file>