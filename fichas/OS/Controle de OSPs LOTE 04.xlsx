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Guilherme\Desktop\-\1. ENGENHARIA\1. TRABALHO\1. RTA\03. OSP\"/>
    </mc:Choice>
  </mc:AlternateContent>
  <xr:revisionPtr revIDLastSave="0" documentId="13_ncr:2001_{D47D006B-5B4B-45E4-9D55-A059609665CB}" xr6:coauthVersionLast="47" xr6:coauthVersionMax="47" xr10:uidLastSave="{00000000-0000-0000-0000-000000000000}"/>
  <bookViews>
    <workbookView xWindow="-108" yWindow="-108" windowWidth="23256" windowHeight="12456" tabRatio="620" activeTab="1" xr2:uid="{00000000-000D-0000-FFFF-FFFF00000000}"/>
  </bookViews>
  <sheets>
    <sheet name="DASHBOARD" sheetId="4" r:id="rId1"/>
    <sheet name="DETALHAMENTO" sheetId="23" r:id="rId2"/>
    <sheet name="REGIÃO 11 - RESUMO" sheetId="8" state="hidden" r:id="rId3"/>
    <sheet name="REGIÃO 11 - HISTÓRICO" sheetId="3" state="hidden" r:id="rId4"/>
    <sheet name="REGIÃO 12 - RESUMO" sheetId="12" state="hidden" r:id="rId5"/>
    <sheet name="REGIÃO 12 - HISTÓRICO" sheetId="13" state="hidden" r:id="rId6"/>
    <sheet name="REGIÃO 13 - RESUMO" sheetId="15" r:id="rId7"/>
    <sheet name="REGIÃO 13 - HISTÓRICO" sheetId="14" r:id="rId8"/>
    <sheet name="REGIÃO 22 - RESUMO" sheetId="16" state="hidden" r:id="rId9"/>
    <sheet name="REGIÃO 22 - HISTÓRICO" sheetId="18" state="hidden" r:id="rId10"/>
    <sheet name="REGIÃO 23 - RESUMO" sheetId="19" state="hidden" r:id="rId11"/>
    <sheet name="REGIÃO 23 - HISTÓRICO" sheetId="17" state="hidden" r:id="rId12"/>
    <sheet name="REGIÃO 24 - RESUMO" sheetId="20" state="hidden" r:id="rId13"/>
    <sheet name="REGIÃO 24 - HISTÓRICO" sheetId="21" state="hidden" r:id="rId14"/>
    <sheet name="REGIÃO 11 - TRECHOS" sheetId="7" state="hidden" r:id="rId15"/>
    <sheet name="REGIÃO 12 - TRECHOS" sheetId="10" state="hidden" r:id="rId16"/>
    <sheet name="REGIÃO 13 - TRECHOS" sheetId="11" state="hidden" r:id="rId17"/>
    <sheet name="Tabelas Auxiliares" sheetId="6" r:id="rId18"/>
    <sheet name="BASE DASHBOARD" sheetId="22" state="hidden" r:id="rId19"/>
  </sheets>
  <definedNames>
    <definedName name="tabOSP" comment="Tabela ''Cadastro de OSPs" localSheetId="5">tbResumoR11[#All]</definedName>
    <definedName name="tabOSP" comment="Tabela ''Cadastro de OSPs" localSheetId="4">#REF!</definedName>
    <definedName name="tabOSP" comment="Tabela ''Cadastro de OSPs" localSheetId="7">tbResumoR11[#All]</definedName>
    <definedName name="tabOSP" comment="Tabela ''Cadastro de OSPs" localSheetId="6">#REF!</definedName>
    <definedName name="tabOSP" comment="Tabela ''Cadastro de OSPs" localSheetId="9">tbResumoR11[#All]</definedName>
    <definedName name="tabOSP" comment="Tabela ''Cadastro de OSPs" localSheetId="8">#REF!</definedName>
    <definedName name="tabOSP" comment="Tabela ''Cadastro de OSPs" localSheetId="11">tbResumoR11[#All]</definedName>
    <definedName name="tabOSP" comment="Tabela ''Cadastro de OSPs" localSheetId="10">#REF!</definedName>
    <definedName name="tabOSP" comment="Tabela ''Cadastro de OSPs" localSheetId="13">tbResumoR11[#All]</definedName>
    <definedName name="tabOSP" comment="Tabela ''Cadastro de OSPs" localSheetId="12">#REF!</definedName>
    <definedName name="tabOSP" comment="Tabela ''Cadastro de OSPs">tbResumoR11[#All]</definedName>
    <definedName name="tbContratos">'Tabelas Auxiliares'!$D$3:$E$9</definedName>
    <definedName name="tbServicos">'Tabelas Auxiliares'!$H$4:$H$60</definedName>
    <definedName name="tbSituacao">'Tabelas Auxiliares'!$M$2:$M$10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2" l="1"/>
  <c r="B56" i="12"/>
  <c r="B55" i="12"/>
  <c r="B54" i="12"/>
  <c r="B53" i="12"/>
  <c r="B9" i="21"/>
  <c r="B8" i="21"/>
  <c r="B7" i="21"/>
  <c r="B6" i="21"/>
  <c r="B6" i="20" s="1"/>
  <c r="B5" i="21"/>
  <c r="B56" i="13"/>
  <c r="B55" i="13"/>
  <c r="B54" i="13"/>
  <c r="B53" i="13"/>
  <c r="B52" i="13"/>
  <c r="B51" i="13"/>
  <c r="B51" i="12" s="1"/>
  <c r="B50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5" i="20"/>
  <c r="B57" i="12"/>
  <c r="B52" i="12"/>
  <c r="B50" i="12"/>
  <c r="E176" i="22"/>
  <c r="F176" i="22"/>
  <c r="H176" i="22"/>
  <c r="M176" i="22"/>
  <c r="N176" i="22"/>
  <c r="O176" i="22"/>
  <c r="P176" i="22"/>
  <c r="Q176" i="22"/>
  <c r="R176" i="22"/>
  <c r="S176" i="22"/>
  <c r="T176" i="22"/>
  <c r="U176" i="22"/>
  <c r="V176" i="22"/>
  <c r="W176" i="22"/>
  <c r="X176" i="22"/>
  <c r="AA176" i="22"/>
  <c r="AB176" i="22"/>
  <c r="AC176" i="22"/>
  <c r="AD176" i="22" s="1"/>
  <c r="E177" i="22"/>
  <c r="F177" i="22"/>
  <c r="H177" i="22"/>
  <c r="M177" i="22"/>
  <c r="N177" i="22"/>
  <c r="O177" i="22"/>
  <c r="P177" i="22"/>
  <c r="Q177" i="22"/>
  <c r="R177" i="22"/>
  <c r="S177" i="22"/>
  <c r="T177" i="22"/>
  <c r="U177" i="22"/>
  <c r="V177" i="22"/>
  <c r="W177" i="22"/>
  <c r="X177" i="22"/>
  <c r="AA177" i="22"/>
  <c r="AB177" i="22"/>
  <c r="AC177" i="22"/>
  <c r="AD177" i="22" s="1"/>
  <c r="E178" i="22"/>
  <c r="F178" i="22"/>
  <c r="H178" i="22"/>
  <c r="M178" i="22"/>
  <c r="N178" i="22"/>
  <c r="O178" i="22"/>
  <c r="P178" i="22"/>
  <c r="Q178" i="22"/>
  <c r="R178" i="22"/>
  <c r="S178" i="22"/>
  <c r="T178" i="22"/>
  <c r="U178" i="22"/>
  <c r="V178" i="22"/>
  <c r="W178" i="22"/>
  <c r="X178" i="22"/>
  <c r="AA178" i="22"/>
  <c r="AB178" i="22"/>
  <c r="AC178" i="22"/>
  <c r="AD178" i="22" s="1"/>
  <c r="E179" i="22"/>
  <c r="F179" i="22"/>
  <c r="H179" i="22"/>
  <c r="M179" i="22"/>
  <c r="N179" i="22"/>
  <c r="O179" i="22"/>
  <c r="P179" i="22"/>
  <c r="Q179" i="22"/>
  <c r="R179" i="22"/>
  <c r="S179" i="22"/>
  <c r="T179" i="22"/>
  <c r="U179" i="22"/>
  <c r="V179" i="22"/>
  <c r="W179" i="22"/>
  <c r="X179" i="22"/>
  <c r="AA179" i="22"/>
  <c r="AB179" i="22"/>
  <c r="AC179" i="22"/>
  <c r="AD179" i="22" s="1"/>
  <c r="E180" i="22"/>
  <c r="F180" i="22"/>
  <c r="H180" i="22"/>
  <c r="M180" i="22"/>
  <c r="N180" i="22"/>
  <c r="O180" i="22"/>
  <c r="P180" i="22"/>
  <c r="Q180" i="22"/>
  <c r="R180" i="22"/>
  <c r="S180" i="22"/>
  <c r="T180" i="22"/>
  <c r="U180" i="22"/>
  <c r="V180" i="22"/>
  <c r="W180" i="22"/>
  <c r="X180" i="22"/>
  <c r="AA180" i="22"/>
  <c r="AB180" i="22"/>
  <c r="AC180" i="22"/>
  <c r="AD180" i="22" s="1"/>
  <c r="E181" i="22"/>
  <c r="F181" i="22"/>
  <c r="H181" i="22"/>
  <c r="M181" i="22"/>
  <c r="N181" i="22"/>
  <c r="O181" i="22"/>
  <c r="P181" i="22"/>
  <c r="Q181" i="22"/>
  <c r="R181" i="22"/>
  <c r="S181" i="22"/>
  <c r="T181" i="22"/>
  <c r="U181" i="22"/>
  <c r="V181" i="22"/>
  <c r="W181" i="22"/>
  <c r="X181" i="22"/>
  <c r="AA181" i="22"/>
  <c r="AB181" i="22"/>
  <c r="AC181" i="22"/>
  <c r="AD181" i="22" s="1"/>
  <c r="E182" i="22"/>
  <c r="F182" i="22"/>
  <c r="H182" i="22"/>
  <c r="M182" i="22"/>
  <c r="N182" i="22"/>
  <c r="O182" i="22"/>
  <c r="P182" i="22"/>
  <c r="Q182" i="22"/>
  <c r="R182" i="22"/>
  <c r="S182" i="22"/>
  <c r="T182" i="22"/>
  <c r="U182" i="22"/>
  <c r="V182" i="22"/>
  <c r="W182" i="22"/>
  <c r="X182" i="22"/>
  <c r="AA182" i="22"/>
  <c r="AB182" i="22"/>
  <c r="AC182" i="22"/>
  <c r="AD182" i="22"/>
  <c r="E183" i="22"/>
  <c r="F183" i="22"/>
  <c r="H183" i="22"/>
  <c r="M183" i="22"/>
  <c r="N183" i="22"/>
  <c r="O183" i="22"/>
  <c r="P183" i="22"/>
  <c r="Q183" i="22"/>
  <c r="R183" i="22"/>
  <c r="S183" i="22"/>
  <c r="T183" i="22"/>
  <c r="U183" i="22"/>
  <c r="V183" i="22"/>
  <c r="W183" i="22"/>
  <c r="X183" i="22"/>
  <c r="AA183" i="22"/>
  <c r="AB183" i="22"/>
  <c r="AC183" i="22"/>
  <c r="AD183" i="22" s="1"/>
  <c r="E184" i="22"/>
  <c r="F184" i="22"/>
  <c r="H184" i="22"/>
  <c r="M184" i="22"/>
  <c r="N184" i="22"/>
  <c r="O184" i="22"/>
  <c r="P184" i="22"/>
  <c r="Q184" i="22"/>
  <c r="R184" i="22"/>
  <c r="S184" i="22"/>
  <c r="T184" i="22"/>
  <c r="U184" i="22"/>
  <c r="V184" i="22"/>
  <c r="W184" i="22"/>
  <c r="X184" i="22"/>
  <c r="AA184" i="22"/>
  <c r="AB184" i="22"/>
  <c r="AC184" i="22"/>
  <c r="AD184" i="22" s="1"/>
  <c r="E185" i="22"/>
  <c r="F185" i="22"/>
  <c r="H185" i="22"/>
  <c r="M185" i="22"/>
  <c r="N185" i="22"/>
  <c r="O185" i="22"/>
  <c r="P185" i="22"/>
  <c r="Q185" i="22"/>
  <c r="R185" i="22"/>
  <c r="S185" i="22"/>
  <c r="T185" i="22"/>
  <c r="U185" i="22"/>
  <c r="V185" i="22"/>
  <c r="W185" i="22"/>
  <c r="X185" i="22"/>
  <c r="AA185" i="22"/>
  <c r="AB185" i="22"/>
  <c r="AC185" i="22"/>
  <c r="AD185" i="22"/>
  <c r="E186" i="22"/>
  <c r="F186" i="22"/>
  <c r="H186" i="22"/>
  <c r="M186" i="22"/>
  <c r="N186" i="22"/>
  <c r="O186" i="22"/>
  <c r="P186" i="22"/>
  <c r="Q186" i="22"/>
  <c r="R186" i="22"/>
  <c r="S186" i="22"/>
  <c r="T186" i="22"/>
  <c r="U186" i="22"/>
  <c r="V186" i="22"/>
  <c r="W186" i="22"/>
  <c r="X186" i="22"/>
  <c r="AA186" i="22"/>
  <c r="AB186" i="22"/>
  <c r="AC186" i="22"/>
  <c r="AD186" i="22" s="1"/>
  <c r="E187" i="22"/>
  <c r="F187" i="22"/>
  <c r="H187" i="22"/>
  <c r="M187" i="22"/>
  <c r="N187" i="22"/>
  <c r="O187" i="22"/>
  <c r="P187" i="22"/>
  <c r="Q187" i="22"/>
  <c r="R187" i="22"/>
  <c r="S187" i="22"/>
  <c r="T187" i="22"/>
  <c r="U187" i="22"/>
  <c r="V187" i="22"/>
  <c r="W187" i="22"/>
  <c r="X187" i="22"/>
  <c r="AA187" i="22"/>
  <c r="AB187" i="22"/>
  <c r="AC187" i="22"/>
  <c r="AD187" i="22" s="1"/>
  <c r="E188" i="22"/>
  <c r="F188" i="22"/>
  <c r="H188" i="22"/>
  <c r="M188" i="22"/>
  <c r="N188" i="22"/>
  <c r="O188" i="22"/>
  <c r="P188" i="22"/>
  <c r="Q188" i="22"/>
  <c r="R188" i="22"/>
  <c r="S188" i="22"/>
  <c r="T188" i="22"/>
  <c r="U188" i="22"/>
  <c r="V188" i="22"/>
  <c r="W188" i="22"/>
  <c r="X188" i="22"/>
  <c r="AA188" i="22"/>
  <c r="AB188" i="22"/>
  <c r="AC188" i="22"/>
  <c r="AD188" i="22" s="1"/>
  <c r="E189" i="22"/>
  <c r="F189" i="22"/>
  <c r="H189" i="22"/>
  <c r="M189" i="22"/>
  <c r="N189" i="22"/>
  <c r="O189" i="22"/>
  <c r="P189" i="22"/>
  <c r="Q189" i="22"/>
  <c r="R189" i="22"/>
  <c r="S189" i="22"/>
  <c r="T189" i="22"/>
  <c r="U189" i="22"/>
  <c r="V189" i="22"/>
  <c r="W189" i="22"/>
  <c r="X189" i="22"/>
  <c r="AA189" i="22"/>
  <c r="AB189" i="22"/>
  <c r="AC189" i="22"/>
  <c r="AD189" i="22" s="1"/>
  <c r="B190" i="22"/>
  <c r="D190" i="22"/>
  <c r="E190" i="22"/>
  <c r="F190" i="22"/>
  <c r="H190" i="22"/>
  <c r="I190" i="22"/>
  <c r="J190" i="22"/>
  <c r="K190" i="22"/>
  <c r="L190" i="22"/>
  <c r="M190" i="22"/>
  <c r="N190" i="22"/>
  <c r="O190" i="22"/>
  <c r="P190" i="22"/>
  <c r="Q190" i="22"/>
  <c r="R190" i="22"/>
  <c r="S190" i="22"/>
  <c r="T190" i="22"/>
  <c r="U190" i="22"/>
  <c r="V190" i="22"/>
  <c r="W190" i="22"/>
  <c r="X190" i="22"/>
  <c r="AA190" i="22"/>
  <c r="AB190" i="22"/>
  <c r="AC190" i="22"/>
  <c r="AD190" i="22" s="1"/>
  <c r="E191" i="22"/>
  <c r="F191" i="22"/>
  <c r="H191" i="22"/>
  <c r="M191" i="22"/>
  <c r="N191" i="22"/>
  <c r="O191" i="22"/>
  <c r="P191" i="22"/>
  <c r="Q191" i="22"/>
  <c r="R191" i="22"/>
  <c r="S191" i="22"/>
  <c r="T191" i="22"/>
  <c r="U191" i="22"/>
  <c r="V191" i="22"/>
  <c r="W191" i="22"/>
  <c r="X191" i="22"/>
  <c r="AA191" i="22"/>
  <c r="AB191" i="22"/>
  <c r="AC191" i="22"/>
  <c r="AD191" i="22" s="1"/>
  <c r="E192" i="22"/>
  <c r="F192" i="22"/>
  <c r="H192" i="22"/>
  <c r="M192" i="22"/>
  <c r="N192" i="22"/>
  <c r="O192" i="22"/>
  <c r="P192" i="22"/>
  <c r="Q192" i="22"/>
  <c r="R192" i="22"/>
  <c r="S192" i="22"/>
  <c r="T192" i="22"/>
  <c r="U192" i="22"/>
  <c r="V192" i="22"/>
  <c r="W192" i="22"/>
  <c r="X192" i="22"/>
  <c r="AA192" i="22"/>
  <c r="AB192" i="22"/>
  <c r="AC192" i="22"/>
  <c r="AD192" i="22"/>
  <c r="E193" i="22"/>
  <c r="F193" i="22"/>
  <c r="H193" i="22"/>
  <c r="M193" i="22"/>
  <c r="N193" i="22"/>
  <c r="O193" i="22"/>
  <c r="P193" i="22"/>
  <c r="Q193" i="22"/>
  <c r="R193" i="22"/>
  <c r="S193" i="22"/>
  <c r="T193" i="22"/>
  <c r="U193" i="22"/>
  <c r="V193" i="22"/>
  <c r="W193" i="22"/>
  <c r="X193" i="22"/>
  <c r="AA193" i="22"/>
  <c r="AB193" i="22"/>
  <c r="AC193" i="22"/>
  <c r="AD193" i="22"/>
  <c r="E194" i="22"/>
  <c r="F194" i="22"/>
  <c r="H194" i="22"/>
  <c r="M194" i="22"/>
  <c r="N194" i="22"/>
  <c r="O194" i="22"/>
  <c r="P194" i="22"/>
  <c r="Q194" i="22"/>
  <c r="R194" i="22"/>
  <c r="S194" i="22"/>
  <c r="T194" i="22"/>
  <c r="U194" i="22"/>
  <c r="V194" i="22"/>
  <c r="W194" i="22"/>
  <c r="X194" i="22"/>
  <c r="AA194" i="22"/>
  <c r="AB194" i="22"/>
  <c r="AC194" i="22"/>
  <c r="AD194" i="22" s="1"/>
  <c r="E195" i="22"/>
  <c r="F195" i="22"/>
  <c r="H195" i="22"/>
  <c r="M195" i="22"/>
  <c r="N195" i="22"/>
  <c r="O195" i="22"/>
  <c r="P195" i="22"/>
  <c r="Q195" i="22"/>
  <c r="R195" i="22"/>
  <c r="S195" i="22"/>
  <c r="T195" i="22"/>
  <c r="U195" i="22"/>
  <c r="V195" i="22"/>
  <c r="W195" i="22"/>
  <c r="X195" i="22"/>
  <c r="AA195" i="22"/>
  <c r="AB195" i="22"/>
  <c r="AC195" i="22"/>
  <c r="AD195" i="22"/>
  <c r="E196" i="22"/>
  <c r="F196" i="22"/>
  <c r="H196" i="22"/>
  <c r="M196" i="22"/>
  <c r="N196" i="22"/>
  <c r="O196" i="22"/>
  <c r="P196" i="22"/>
  <c r="Q196" i="22"/>
  <c r="R196" i="22"/>
  <c r="S196" i="22"/>
  <c r="T196" i="22"/>
  <c r="U196" i="22"/>
  <c r="V196" i="22"/>
  <c r="W196" i="22"/>
  <c r="X196" i="22"/>
  <c r="AA196" i="22"/>
  <c r="AB196" i="22"/>
  <c r="AC196" i="22"/>
  <c r="AD196" i="22" s="1"/>
  <c r="E197" i="22"/>
  <c r="F197" i="22"/>
  <c r="H197" i="22"/>
  <c r="M197" i="22"/>
  <c r="N197" i="22"/>
  <c r="O197" i="22"/>
  <c r="P197" i="22"/>
  <c r="Q197" i="22"/>
  <c r="R197" i="22"/>
  <c r="S197" i="22"/>
  <c r="T197" i="22"/>
  <c r="U197" i="22"/>
  <c r="V197" i="22"/>
  <c r="W197" i="22"/>
  <c r="X197" i="22"/>
  <c r="AA197" i="22"/>
  <c r="AB197" i="22"/>
  <c r="AC197" i="22"/>
  <c r="AD197" i="22" s="1"/>
  <c r="B198" i="22"/>
  <c r="D198" i="22"/>
  <c r="E198" i="22"/>
  <c r="F198" i="22"/>
  <c r="G198" i="22"/>
  <c r="H198" i="22"/>
  <c r="I198" i="22"/>
  <c r="J198" i="22"/>
  <c r="K198" i="22"/>
  <c r="L198" i="22"/>
  <c r="M198" i="22"/>
  <c r="N198" i="22"/>
  <c r="O198" i="22"/>
  <c r="P198" i="22"/>
  <c r="Q198" i="22"/>
  <c r="R198" i="22"/>
  <c r="S198" i="22"/>
  <c r="T198" i="22"/>
  <c r="U198" i="22"/>
  <c r="V198" i="22"/>
  <c r="W198" i="22"/>
  <c r="X198" i="22"/>
  <c r="AA198" i="22"/>
  <c r="AB198" i="22"/>
  <c r="AC198" i="22"/>
  <c r="AD198" i="22"/>
  <c r="B199" i="22"/>
  <c r="AF199" i="22" s="1"/>
  <c r="D199" i="22"/>
  <c r="E199" i="22"/>
  <c r="F199" i="22"/>
  <c r="H199" i="22"/>
  <c r="I199" i="22"/>
  <c r="J199" i="22"/>
  <c r="K199" i="22"/>
  <c r="L199" i="22"/>
  <c r="M199" i="22"/>
  <c r="N199" i="22"/>
  <c r="O199" i="22"/>
  <c r="P199" i="22"/>
  <c r="Q199" i="22"/>
  <c r="R199" i="22"/>
  <c r="S199" i="22"/>
  <c r="T199" i="22"/>
  <c r="U199" i="22"/>
  <c r="V199" i="22"/>
  <c r="W199" i="22"/>
  <c r="X199" i="22"/>
  <c r="AA199" i="22"/>
  <c r="AB199" i="22"/>
  <c r="AC199" i="22"/>
  <c r="AD199" i="22" s="1"/>
  <c r="E200" i="22"/>
  <c r="F200" i="22"/>
  <c r="H200" i="22"/>
  <c r="M200" i="22"/>
  <c r="N200" i="22"/>
  <c r="O200" i="22"/>
  <c r="P200" i="22"/>
  <c r="Q200" i="22"/>
  <c r="R200" i="22"/>
  <c r="S200" i="22"/>
  <c r="T200" i="22"/>
  <c r="U200" i="22"/>
  <c r="V200" i="22"/>
  <c r="W200" i="22"/>
  <c r="X200" i="22"/>
  <c r="AA200" i="22"/>
  <c r="AB200" i="22"/>
  <c r="AC200" i="22"/>
  <c r="AD200" i="22"/>
  <c r="E201" i="22"/>
  <c r="F201" i="22"/>
  <c r="H201" i="22"/>
  <c r="M201" i="22"/>
  <c r="N201" i="22"/>
  <c r="O201" i="22"/>
  <c r="P201" i="22"/>
  <c r="Q201" i="22"/>
  <c r="R201" i="22"/>
  <c r="S201" i="22"/>
  <c r="T201" i="22"/>
  <c r="U201" i="22"/>
  <c r="V201" i="22"/>
  <c r="W201" i="22"/>
  <c r="X201" i="22"/>
  <c r="AA201" i="22"/>
  <c r="AB201" i="22"/>
  <c r="AC201" i="22"/>
  <c r="AD201" i="22" s="1"/>
  <c r="E202" i="22"/>
  <c r="F202" i="22"/>
  <c r="H202" i="22"/>
  <c r="M202" i="22"/>
  <c r="N202" i="22"/>
  <c r="O202" i="22"/>
  <c r="P202" i="22"/>
  <c r="Q202" i="22"/>
  <c r="R202" i="22"/>
  <c r="S202" i="22"/>
  <c r="T202" i="22"/>
  <c r="U202" i="22"/>
  <c r="V202" i="22"/>
  <c r="W202" i="22"/>
  <c r="X202" i="22"/>
  <c r="AA202" i="22"/>
  <c r="AB202" i="22"/>
  <c r="AC202" i="22"/>
  <c r="AD202" i="22"/>
  <c r="E203" i="22"/>
  <c r="F203" i="22"/>
  <c r="H203" i="22"/>
  <c r="M203" i="22"/>
  <c r="N203" i="22"/>
  <c r="O203" i="22"/>
  <c r="P203" i="22"/>
  <c r="Q203" i="22"/>
  <c r="R203" i="22"/>
  <c r="S203" i="22"/>
  <c r="T203" i="22"/>
  <c r="U203" i="22"/>
  <c r="V203" i="22"/>
  <c r="W203" i="22"/>
  <c r="X203" i="22"/>
  <c r="AA203" i="22"/>
  <c r="AB203" i="22"/>
  <c r="AC203" i="22"/>
  <c r="AD203" i="22" s="1"/>
  <c r="E204" i="22"/>
  <c r="F204" i="22"/>
  <c r="H204" i="22"/>
  <c r="M204" i="22"/>
  <c r="N204" i="22"/>
  <c r="O204" i="22"/>
  <c r="P204" i="22"/>
  <c r="Q204" i="22"/>
  <c r="R204" i="22"/>
  <c r="S204" i="22"/>
  <c r="T204" i="22"/>
  <c r="U204" i="22"/>
  <c r="V204" i="22"/>
  <c r="W204" i="22"/>
  <c r="X204" i="22"/>
  <c r="AA204" i="22"/>
  <c r="AB204" i="22"/>
  <c r="AC204" i="22"/>
  <c r="AD204" i="22" s="1"/>
  <c r="E205" i="22"/>
  <c r="F205" i="22"/>
  <c r="H205" i="22"/>
  <c r="M205" i="22"/>
  <c r="N205" i="22"/>
  <c r="O205" i="22"/>
  <c r="P205" i="22"/>
  <c r="Q205" i="22"/>
  <c r="R205" i="22"/>
  <c r="S205" i="22"/>
  <c r="T205" i="22"/>
  <c r="U205" i="22"/>
  <c r="V205" i="22"/>
  <c r="W205" i="22"/>
  <c r="X205" i="22"/>
  <c r="AA205" i="22"/>
  <c r="AB205" i="22"/>
  <c r="AC205" i="22"/>
  <c r="AD205" i="22" s="1"/>
  <c r="E206" i="22"/>
  <c r="F206" i="22"/>
  <c r="H206" i="22"/>
  <c r="M206" i="22"/>
  <c r="N206" i="22"/>
  <c r="O206" i="22"/>
  <c r="P206" i="22"/>
  <c r="Q206" i="22"/>
  <c r="R206" i="22"/>
  <c r="S206" i="22"/>
  <c r="T206" i="22"/>
  <c r="U206" i="22"/>
  <c r="V206" i="22"/>
  <c r="W206" i="22"/>
  <c r="X206" i="22"/>
  <c r="AA206" i="22"/>
  <c r="AB206" i="22"/>
  <c r="AC206" i="22"/>
  <c r="AD206" i="22" s="1"/>
  <c r="E207" i="22"/>
  <c r="F207" i="22"/>
  <c r="H207" i="22"/>
  <c r="M207" i="22"/>
  <c r="N207" i="22"/>
  <c r="O207" i="22"/>
  <c r="P207" i="22"/>
  <c r="Q207" i="22"/>
  <c r="R207" i="22"/>
  <c r="S207" i="22"/>
  <c r="T207" i="22"/>
  <c r="U207" i="22"/>
  <c r="V207" i="22"/>
  <c r="W207" i="22"/>
  <c r="X207" i="22"/>
  <c r="AA207" i="22"/>
  <c r="AB207" i="22"/>
  <c r="AC207" i="22"/>
  <c r="AD207" i="22" s="1"/>
  <c r="E208" i="22"/>
  <c r="F208" i="22"/>
  <c r="H208" i="22"/>
  <c r="J208" i="22"/>
  <c r="K208" i="22"/>
  <c r="M208" i="22"/>
  <c r="N208" i="22"/>
  <c r="O208" i="22"/>
  <c r="P208" i="22"/>
  <c r="Q208" i="22"/>
  <c r="R208" i="22"/>
  <c r="S208" i="22"/>
  <c r="T208" i="22"/>
  <c r="U208" i="22"/>
  <c r="V208" i="22"/>
  <c r="W208" i="22"/>
  <c r="X208" i="22"/>
  <c r="AA208" i="22"/>
  <c r="AB208" i="22"/>
  <c r="AC208" i="22"/>
  <c r="AD208" i="22" s="1"/>
  <c r="E209" i="22"/>
  <c r="F209" i="22"/>
  <c r="H209" i="22"/>
  <c r="M209" i="22"/>
  <c r="N209" i="22"/>
  <c r="O209" i="22"/>
  <c r="P209" i="22"/>
  <c r="Q209" i="22"/>
  <c r="R209" i="22"/>
  <c r="S209" i="22"/>
  <c r="T209" i="22"/>
  <c r="U209" i="22"/>
  <c r="V209" i="22"/>
  <c r="W209" i="22"/>
  <c r="X209" i="22"/>
  <c r="AA209" i="22"/>
  <c r="AB209" i="22"/>
  <c r="AC209" i="22"/>
  <c r="AD209" i="22" s="1"/>
  <c r="E210" i="22"/>
  <c r="F210" i="22"/>
  <c r="H210" i="22"/>
  <c r="M210" i="22"/>
  <c r="N210" i="22"/>
  <c r="O210" i="22"/>
  <c r="P210" i="22"/>
  <c r="Q210" i="22"/>
  <c r="R210" i="22"/>
  <c r="S210" i="22"/>
  <c r="T210" i="22"/>
  <c r="U210" i="22"/>
  <c r="V210" i="22"/>
  <c r="W210" i="22"/>
  <c r="X210" i="22"/>
  <c r="AA210" i="22"/>
  <c r="AB210" i="22"/>
  <c r="AC210" i="22"/>
  <c r="AD210" i="22" s="1"/>
  <c r="E211" i="22"/>
  <c r="F211" i="22"/>
  <c r="H211" i="22"/>
  <c r="M211" i="22"/>
  <c r="N211" i="22"/>
  <c r="O211" i="22"/>
  <c r="P211" i="22"/>
  <c r="Q211" i="22"/>
  <c r="R211" i="22"/>
  <c r="S211" i="22"/>
  <c r="T211" i="22"/>
  <c r="U211" i="22"/>
  <c r="V211" i="22"/>
  <c r="W211" i="22"/>
  <c r="X211" i="22"/>
  <c r="AA211" i="22"/>
  <c r="AB211" i="22"/>
  <c r="AC211" i="22"/>
  <c r="AD211" i="22" s="1"/>
  <c r="E212" i="22"/>
  <c r="F212" i="22"/>
  <c r="H212" i="22"/>
  <c r="M212" i="22"/>
  <c r="N212" i="22"/>
  <c r="O212" i="22"/>
  <c r="P212" i="22"/>
  <c r="Q212" i="22"/>
  <c r="R212" i="22"/>
  <c r="S212" i="22"/>
  <c r="T212" i="22"/>
  <c r="U212" i="22"/>
  <c r="V212" i="22"/>
  <c r="W212" i="22"/>
  <c r="X212" i="22"/>
  <c r="AA212" i="22"/>
  <c r="AB212" i="22"/>
  <c r="AC212" i="22"/>
  <c r="AD212" i="22" s="1"/>
  <c r="E213" i="22"/>
  <c r="F213" i="22"/>
  <c r="H213" i="22"/>
  <c r="M213" i="22"/>
  <c r="N213" i="22"/>
  <c r="O213" i="22"/>
  <c r="P213" i="22"/>
  <c r="Q213" i="22"/>
  <c r="R213" i="22"/>
  <c r="S213" i="22"/>
  <c r="T213" i="22"/>
  <c r="U213" i="22"/>
  <c r="V213" i="22"/>
  <c r="W213" i="22"/>
  <c r="X213" i="22"/>
  <c r="AA213" i="22"/>
  <c r="AB213" i="22"/>
  <c r="AC213" i="22"/>
  <c r="AD213" i="22" s="1"/>
  <c r="E214" i="22"/>
  <c r="F214" i="22"/>
  <c r="H214" i="22"/>
  <c r="M214" i="22"/>
  <c r="N214" i="22"/>
  <c r="O214" i="22"/>
  <c r="P214" i="22"/>
  <c r="Q214" i="22"/>
  <c r="R214" i="22"/>
  <c r="S214" i="22"/>
  <c r="T214" i="22"/>
  <c r="U214" i="22"/>
  <c r="V214" i="22"/>
  <c r="W214" i="22"/>
  <c r="X214" i="22"/>
  <c r="AA214" i="22"/>
  <c r="AB214" i="22"/>
  <c r="AC214" i="22"/>
  <c r="AD214" i="22" s="1"/>
  <c r="B215" i="22"/>
  <c r="D215" i="22"/>
  <c r="E215" i="22"/>
  <c r="F215" i="22"/>
  <c r="G215" i="22"/>
  <c r="H215" i="22"/>
  <c r="I215" i="22"/>
  <c r="J215" i="22"/>
  <c r="K215" i="22"/>
  <c r="L215" i="22"/>
  <c r="M215" i="22"/>
  <c r="N215" i="22"/>
  <c r="O215" i="22"/>
  <c r="P215" i="22"/>
  <c r="Q215" i="22"/>
  <c r="R215" i="22"/>
  <c r="S215" i="22"/>
  <c r="T215" i="22"/>
  <c r="U215" i="22"/>
  <c r="V215" i="22"/>
  <c r="W215" i="22"/>
  <c r="X215" i="22"/>
  <c r="AA215" i="22"/>
  <c r="AB215" i="22"/>
  <c r="AC215" i="22"/>
  <c r="AD215" i="22" s="1"/>
  <c r="B216" i="22"/>
  <c r="AF216" i="22" s="1"/>
  <c r="D216" i="22"/>
  <c r="E216" i="22"/>
  <c r="F216" i="22"/>
  <c r="G216" i="22"/>
  <c r="H216" i="22"/>
  <c r="I216" i="22"/>
  <c r="J216" i="22"/>
  <c r="K216" i="22"/>
  <c r="L216" i="22"/>
  <c r="M216" i="22"/>
  <c r="N216" i="22"/>
  <c r="O216" i="22"/>
  <c r="P216" i="22"/>
  <c r="Q216" i="22"/>
  <c r="R216" i="22"/>
  <c r="S216" i="22"/>
  <c r="T216" i="22"/>
  <c r="U216" i="22"/>
  <c r="V216" i="22"/>
  <c r="W216" i="22"/>
  <c r="X216" i="22"/>
  <c r="AA216" i="22"/>
  <c r="AB216" i="22"/>
  <c r="AC216" i="22"/>
  <c r="AD216" i="22" s="1"/>
  <c r="AH216" i="22"/>
  <c r="AI216" i="22" s="1"/>
  <c r="AJ216" i="22" s="1"/>
  <c r="B217" i="22"/>
  <c r="AH217" i="22" s="1"/>
  <c r="AI217" i="22" s="1"/>
  <c r="AJ217" i="22" s="1"/>
  <c r="D217" i="22"/>
  <c r="E217" i="22"/>
  <c r="F217" i="22"/>
  <c r="H217" i="22"/>
  <c r="I217" i="22"/>
  <c r="J217" i="22"/>
  <c r="K217" i="22"/>
  <c r="L217" i="22"/>
  <c r="M217" i="22"/>
  <c r="N217" i="22"/>
  <c r="O217" i="22"/>
  <c r="P217" i="22"/>
  <c r="Q217" i="22"/>
  <c r="R217" i="22"/>
  <c r="S217" i="22"/>
  <c r="T217" i="22"/>
  <c r="U217" i="22"/>
  <c r="V217" i="22"/>
  <c r="W217" i="22"/>
  <c r="X217" i="22"/>
  <c r="AA217" i="22"/>
  <c r="AB217" i="22"/>
  <c r="AC217" i="22"/>
  <c r="AD217" i="22"/>
  <c r="E133" i="22"/>
  <c r="F133" i="22"/>
  <c r="H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AA133" i="22"/>
  <c r="AB133" i="22"/>
  <c r="AC133" i="22"/>
  <c r="AD133" i="22" s="1"/>
  <c r="E134" i="22"/>
  <c r="F134" i="22"/>
  <c r="H134" i="22"/>
  <c r="M134" i="22"/>
  <c r="N134" i="22"/>
  <c r="O134" i="22"/>
  <c r="P134" i="22"/>
  <c r="Q134" i="22"/>
  <c r="R134" i="22"/>
  <c r="S134" i="22"/>
  <c r="T134" i="22"/>
  <c r="U134" i="22"/>
  <c r="V134" i="22"/>
  <c r="W134" i="22"/>
  <c r="X134" i="22"/>
  <c r="AA134" i="22"/>
  <c r="AB134" i="22"/>
  <c r="AC134" i="22"/>
  <c r="AD134" i="22" s="1"/>
  <c r="E135" i="22"/>
  <c r="F135" i="22"/>
  <c r="H135" i="22"/>
  <c r="M135" i="22"/>
  <c r="N135" i="22"/>
  <c r="O135" i="22"/>
  <c r="P135" i="22"/>
  <c r="Q135" i="22"/>
  <c r="R135" i="22"/>
  <c r="S135" i="22"/>
  <c r="T135" i="22"/>
  <c r="U135" i="22"/>
  <c r="V135" i="22"/>
  <c r="W135" i="22"/>
  <c r="X135" i="22"/>
  <c r="AA135" i="22"/>
  <c r="AB135" i="22"/>
  <c r="AC135" i="22"/>
  <c r="AD135" i="22"/>
  <c r="E136" i="22"/>
  <c r="F136" i="22"/>
  <c r="H136" i="22"/>
  <c r="M136" i="22"/>
  <c r="N136" i="22"/>
  <c r="O136" i="22"/>
  <c r="P136" i="22"/>
  <c r="Q136" i="22"/>
  <c r="R136" i="22"/>
  <c r="S136" i="22"/>
  <c r="T136" i="22"/>
  <c r="U136" i="22"/>
  <c r="V136" i="22"/>
  <c r="W136" i="22"/>
  <c r="X136" i="22"/>
  <c r="AA136" i="22"/>
  <c r="AB136" i="22"/>
  <c r="AC136" i="22"/>
  <c r="AD136" i="22" s="1"/>
  <c r="E137" i="22"/>
  <c r="F137" i="22"/>
  <c r="H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AA137" i="22"/>
  <c r="AB137" i="22"/>
  <c r="AC137" i="22"/>
  <c r="AD137" i="22"/>
  <c r="E138" i="22"/>
  <c r="F138" i="22"/>
  <c r="H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AA138" i="22"/>
  <c r="AB138" i="22"/>
  <c r="AC138" i="22"/>
  <c r="AD138" i="22" s="1"/>
  <c r="E139" i="22"/>
  <c r="F139" i="22"/>
  <c r="H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AA139" i="22"/>
  <c r="AB139" i="22"/>
  <c r="AC139" i="22"/>
  <c r="AD139" i="22" s="1"/>
  <c r="E140" i="22"/>
  <c r="F140" i="22"/>
  <c r="H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AA140" i="22"/>
  <c r="AB140" i="22"/>
  <c r="AC140" i="22"/>
  <c r="AD140" i="22" s="1"/>
  <c r="E141" i="22"/>
  <c r="F141" i="22"/>
  <c r="H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AA141" i="22"/>
  <c r="AB141" i="22"/>
  <c r="AC141" i="22"/>
  <c r="AD141" i="22" s="1"/>
  <c r="E142" i="22"/>
  <c r="F142" i="22"/>
  <c r="H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AA142" i="22"/>
  <c r="AB142" i="22"/>
  <c r="AC142" i="22"/>
  <c r="AD142" i="22" s="1"/>
  <c r="E143" i="22"/>
  <c r="F143" i="22"/>
  <c r="H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AA143" i="22"/>
  <c r="AB143" i="22"/>
  <c r="AC143" i="22"/>
  <c r="AD143" i="22" s="1"/>
  <c r="E144" i="22"/>
  <c r="F144" i="22"/>
  <c r="H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AA144" i="22"/>
  <c r="AB144" i="22"/>
  <c r="AC144" i="22"/>
  <c r="AD144" i="22"/>
  <c r="E145" i="22"/>
  <c r="F145" i="22"/>
  <c r="H145" i="22"/>
  <c r="M145" i="22"/>
  <c r="N145" i="22"/>
  <c r="O145" i="22"/>
  <c r="P145" i="22"/>
  <c r="Q145" i="22"/>
  <c r="R145" i="22"/>
  <c r="S145" i="22"/>
  <c r="T145" i="22"/>
  <c r="U145" i="22"/>
  <c r="V145" i="22"/>
  <c r="W145" i="22"/>
  <c r="X145" i="22"/>
  <c r="AA145" i="22"/>
  <c r="AB145" i="22"/>
  <c r="AC145" i="22"/>
  <c r="AD145" i="22" s="1"/>
  <c r="E146" i="22"/>
  <c r="F146" i="22"/>
  <c r="H146" i="22"/>
  <c r="M146" i="22"/>
  <c r="N146" i="22"/>
  <c r="O146" i="22"/>
  <c r="P146" i="22"/>
  <c r="Q146" i="22"/>
  <c r="R146" i="22"/>
  <c r="S146" i="22"/>
  <c r="T146" i="22"/>
  <c r="U146" i="22"/>
  <c r="V146" i="22"/>
  <c r="W146" i="22"/>
  <c r="X146" i="22"/>
  <c r="AA146" i="22"/>
  <c r="AB146" i="22"/>
  <c r="AC146" i="22"/>
  <c r="AD146" i="22" s="1"/>
  <c r="E147" i="22"/>
  <c r="F147" i="22"/>
  <c r="H147" i="22"/>
  <c r="M147" i="22"/>
  <c r="N147" i="22"/>
  <c r="O147" i="22"/>
  <c r="P147" i="22"/>
  <c r="Q147" i="22"/>
  <c r="R147" i="22"/>
  <c r="S147" i="22"/>
  <c r="T147" i="22"/>
  <c r="U147" i="22"/>
  <c r="V147" i="22"/>
  <c r="W147" i="22"/>
  <c r="X147" i="22"/>
  <c r="AA147" i="22"/>
  <c r="AB147" i="22"/>
  <c r="AC147" i="22"/>
  <c r="AD147" i="22" s="1"/>
  <c r="E148" i="22"/>
  <c r="F148" i="22"/>
  <c r="H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AA148" i="22"/>
  <c r="AB148" i="22"/>
  <c r="AC148" i="22"/>
  <c r="AD148" i="22" s="1"/>
  <c r="E149" i="22"/>
  <c r="F149" i="22"/>
  <c r="H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AA149" i="22"/>
  <c r="AB149" i="22"/>
  <c r="AC149" i="22"/>
  <c r="AD149" i="22" s="1"/>
  <c r="E150" i="22"/>
  <c r="F150" i="22"/>
  <c r="H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AA150" i="22"/>
  <c r="AB150" i="22"/>
  <c r="AC150" i="22"/>
  <c r="AD150" i="22" s="1"/>
  <c r="E151" i="22"/>
  <c r="F151" i="22"/>
  <c r="H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AA151" i="22"/>
  <c r="AB151" i="22"/>
  <c r="AC151" i="22"/>
  <c r="AD151" i="22" s="1"/>
  <c r="E152" i="22"/>
  <c r="F152" i="22"/>
  <c r="H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AA152" i="22"/>
  <c r="AB152" i="22"/>
  <c r="AC152" i="22"/>
  <c r="AD152" i="22" s="1"/>
  <c r="E153" i="22"/>
  <c r="F153" i="22"/>
  <c r="H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AA153" i="22"/>
  <c r="AB153" i="22"/>
  <c r="AC153" i="22"/>
  <c r="AD153" i="22" s="1"/>
  <c r="E154" i="22"/>
  <c r="F154" i="22"/>
  <c r="H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AA154" i="22"/>
  <c r="AB154" i="22"/>
  <c r="AC154" i="22"/>
  <c r="AD154" i="22"/>
  <c r="E155" i="22"/>
  <c r="F155" i="22"/>
  <c r="H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AA155" i="22"/>
  <c r="AB155" i="22"/>
  <c r="AC155" i="22"/>
  <c r="AD155" i="22" s="1"/>
  <c r="E156" i="22"/>
  <c r="F156" i="22"/>
  <c r="H156" i="22"/>
  <c r="M156" i="22"/>
  <c r="N156" i="22"/>
  <c r="O156" i="22"/>
  <c r="P156" i="22"/>
  <c r="Q156" i="22"/>
  <c r="R156" i="22"/>
  <c r="S156" i="22"/>
  <c r="T156" i="22"/>
  <c r="U156" i="22"/>
  <c r="V156" i="22"/>
  <c r="W156" i="22"/>
  <c r="X156" i="22"/>
  <c r="AA156" i="22"/>
  <c r="AB156" i="22"/>
  <c r="AC156" i="22"/>
  <c r="AD156" i="22" s="1"/>
  <c r="E157" i="22"/>
  <c r="F157" i="22"/>
  <c r="H157" i="22"/>
  <c r="M157" i="22"/>
  <c r="N157" i="22"/>
  <c r="O157" i="22"/>
  <c r="P157" i="22"/>
  <c r="Q157" i="22"/>
  <c r="R157" i="22"/>
  <c r="S157" i="22"/>
  <c r="T157" i="22"/>
  <c r="U157" i="22"/>
  <c r="V157" i="22"/>
  <c r="W157" i="22"/>
  <c r="X157" i="22"/>
  <c r="AA157" i="22"/>
  <c r="AB157" i="22"/>
  <c r="AC157" i="22"/>
  <c r="AD157" i="22" s="1"/>
  <c r="E158" i="22"/>
  <c r="F158" i="22"/>
  <c r="H158" i="22"/>
  <c r="M158" i="22"/>
  <c r="N158" i="22"/>
  <c r="O158" i="22"/>
  <c r="P158" i="22"/>
  <c r="Q158" i="22"/>
  <c r="R158" i="22"/>
  <c r="S158" i="22"/>
  <c r="T158" i="22"/>
  <c r="U158" i="22"/>
  <c r="V158" i="22"/>
  <c r="W158" i="22"/>
  <c r="X158" i="22"/>
  <c r="AA158" i="22"/>
  <c r="AB158" i="22"/>
  <c r="AC158" i="22"/>
  <c r="AD158" i="22" s="1"/>
  <c r="E159" i="22"/>
  <c r="F159" i="22"/>
  <c r="H159" i="22"/>
  <c r="M159" i="22"/>
  <c r="N159" i="22"/>
  <c r="O159" i="22"/>
  <c r="P159" i="22"/>
  <c r="Q159" i="22"/>
  <c r="R159" i="22"/>
  <c r="S159" i="22"/>
  <c r="T159" i="22"/>
  <c r="U159" i="22"/>
  <c r="V159" i="22"/>
  <c r="W159" i="22"/>
  <c r="X159" i="22"/>
  <c r="AA159" i="22"/>
  <c r="AB159" i="22"/>
  <c r="AC159" i="22"/>
  <c r="AD159" i="22" s="1"/>
  <c r="E160" i="22"/>
  <c r="F160" i="22"/>
  <c r="H160" i="22"/>
  <c r="M160" i="22"/>
  <c r="N160" i="22"/>
  <c r="O160" i="22"/>
  <c r="P160" i="22"/>
  <c r="Q160" i="22"/>
  <c r="R160" i="22"/>
  <c r="S160" i="22"/>
  <c r="T160" i="22"/>
  <c r="U160" i="22"/>
  <c r="V160" i="22"/>
  <c r="W160" i="22"/>
  <c r="X160" i="22"/>
  <c r="AA160" i="22"/>
  <c r="AB160" i="22"/>
  <c r="AC160" i="22"/>
  <c r="AD160" i="22" s="1"/>
  <c r="E161" i="22"/>
  <c r="F161" i="22"/>
  <c r="H161" i="22"/>
  <c r="M161" i="22"/>
  <c r="N161" i="22"/>
  <c r="O161" i="22"/>
  <c r="P161" i="22"/>
  <c r="Q161" i="22"/>
  <c r="R161" i="22"/>
  <c r="S161" i="22"/>
  <c r="T161" i="22"/>
  <c r="U161" i="22"/>
  <c r="V161" i="22"/>
  <c r="W161" i="22"/>
  <c r="X161" i="22"/>
  <c r="AA161" i="22"/>
  <c r="AB161" i="22"/>
  <c r="AC161" i="22"/>
  <c r="AD161" i="22" s="1"/>
  <c r="E162" i="22"/>
  <c r="F162" i="22"/>
  <c r="H162" i="22"/>
  <c r="M162" i="22"/>
  <c r="N162" i="22"/>
  <c r="O162" i="22"/>
  <c r="P162" i="22"/>
  <c r="Q162" i="22"/>
  <c r="R162" i="22"/>
  <c r="S162" i="22"/>
  <c r="T162" i="22"/>
  <c r="U162" i="22"/>
  <c r="V162" i="22"/>
  <c r="W162" i="22"/>
  <c r="X162" i="22"/>
  <c r="AA162" i="22"/>
  <c r="AB162" i="22"/>
  <c r="AC162" i="22"/>
  <c r="AD162" i="22"/>
  <c r="E163" i="22"/>
  <c r="F163" i="22"/>
  <c r="H163" i="22"/>
  <c r="M163" i="22"/>
  <c r="N163" i="22"/>
  <c r="O163" i="22"/>
  <c r="P163" i="22"/>
  <c r="Q163" i="22"/>
  <c r="R163" i="22"/>
  <c r="S163" i="22"/>
  <c r="T163" i="22"/>
  <c r="U163" i="22"/>
  <c r="V163" i="22"/>
  <c r="W163" i="22"/>
  <c r="X163" i="22"/>
  <c r="AA163" i="22"/>
  <c r="AB163" i="22"/>
  <c r="AC163" i="22"/>
  <c r="AD163" i="22" s="1"/>
  <c r="E164" i="22"/>
  <c r="F164" i="22"/>
  <c r="H164" i="22"/>
  <c r="M164" i="22"/>
  <c r="N164" i="22"/>
  <c r="O164" i="22"/>
  <c r="P164" i="22"/>
  <c r="Q164" i="22"/>
  <c r="R164" i="22"/>
  <c r="S164" i="22"/>
  <c r="T164" i="22"/>
  <c r="U164" i="22"/>
  <c r="V164" i="22"/>
  <c r="W164" i="22"/>
  <c r="X164" i="22"/>
  <c r="AA164" i="22"/>
  <c r="AB164" i="22"/>
  <c r="AC164" i="22"/>
  <c r="AD164" i="22" s="1"/>
  <c r="E165" i="22"/>
  <c r="F165" i="22"/>
  <c r="H165" i="22"/>
  <c r="M165" i="22"/>
  <c r="N165" i="22"/>
  <c r="O165" i="22"/>
  <c r="P165" i="22"/>
  <c r="Q165" i="22"/>
  <c r="R165" i="22"/>
  <c r="S165" i="22"/>
  <c r="T165" i="22"/>
  <c r="U165" i="22"/>
  <c r="V165" i="22"/>
  <c r="W165" i="22"/>
  <c r="X165" i="22"/>
  <c r="AA165" i="22"/>
  <c r="AB165" i="22"/>
  <c r="AC165" i="22"/>
  <c r="AD165" i="22" s="1"/>
  <c r="E166" i="22"/>
  <c r="F166" i="22"/>
  <c r="H166" i="22"/>
  <c r="M166" i="22"/>
  <c r="N166" i="22"/>
  <c r="O166" i="22"/>
  <c r="P166" i="22"/>
  <c r="Q166" i="22"/>
  <c r="R166" i="22"/>
  <c r="S166" i="22"/>
  <c r="T166" i="22"/>
  <c r="U166" i="22"/>
  <c r="V166" i="22"/>
  <c r="W166" i="22"/>
  <c r="X166" i="22"/>
  <c r="AA166" i="22"/>
  <c r="AB166" i="22"/>
  <c r="AC166" i="22"/>
  <c r="AD166" i="22" s="1"/>
  <c r="E167" i="22"/>
  <c r="F167" i="22"/>
  <c r="H167" i="22"/>
  <c r="M167" i="22"/>
  <c r="N167" i="22"/>
  <c r="O167" i="22"/>
  <c r="P167" i="22"/>
  <c r="Q167" i="22"/>
  <c r="R167" i="22"/>
  <c r="S167" i="22"/>
  <c r="T167" i="22"/>
  <c r="U167" i="22"/>
  <c r="V167" i="22"/>
  <c r="W167" i="22"/>
  <c r="X167" i="22"/>
  <c r="AA167" i="22"/>
  <c r="AB167" i="22"/>
  <c r="AC167" i="22"/>
  <c r="AD167" i="22" s="1"/>
  <c r="E168" i="22"/>
  <c r="F168" i="22"/>
  <c r="H168" i="22"/>
  <c r="M168" i="22"/>
  <c r="N168" i="22"/>
  <c r="O168" i="22"/>
  <c r="P168" i="22"/>
  <c r="Q168" i="22"/>
  <c r="R168" i="22"/>
  <c r="S168" i="22"/>
  <c r="T168" i="22"/>
  <c r="U168" i="22"/>
  <c r="V168" i="22"/>
  <c r="W168" i="22"/>
  <c r="X168" i="22"/>
  <c r="AA168" i="22"/>
  <c r="AB168" i="22"/>
  <c r="AC168" i="22"/>
  <c r="AD168" i="22" s="1"/>
  <c r="E169" i="22"/>
  <c r="F169" i="22"/>
  <c r="H169" i="22"/>
  <c r="M169" i="22"/>
  <c r="N169" i="22"/>
  <c r="O169" i="22"/>
  <c r="P169" i="22"/>
  <c r="Q169" i="22"/>
  <c r="R169" i="22"/>
  <c r="S169" i="22"/>
  <c r="T169" i="22"/>
  <c r="U169" i="22"/>
  <c r="V169" i="22"/>
  <c r="W169" i="22"/>
  <c r="X169" i="22"/>
  <c r="AA169" i="22"/>
  <c r="AB169" i="22"/>
  <c r="AC169" i="22"/>
  <c r="AD169" i="22"/>
  <c r="E170" i="22"/>
  <c r="F170" i="22"/>
  <c r="H170" i="22"/>
  <c r="M170" i="22"/>
  <c r="N170" i="22"/>
  <c r="O170" i="22"/>
  <c r="P170" i="22"/>
  <c r="Q170" i="22"/>
  <c r="R170" i="22"/>
  <c r="S170" i="22"/>
  <c r="T170" i="22"/>
  <c r="U170" i="22"/>
  <c r="V170" i="22"/>
  <c r="W170" i="22"/>
  <c r="X170" i="22"/>
  <c r="AA170" i="22"/>
  <c r="AB170" i="22"/>
  <c r="AC170" i="22"/>
  <c r="AD170" i="22" s="1"/>
  <c r="E171" i="22"/>
  <c r="F171" i="22"/>
  <c r="H171" i="22"/>
  <c r="M171" i="22"/>
  <c r="N171" i="22"/>
  <c r="O171" i="22"/>
  <c r="P171" i="22"/>
  <c r="Q171" i="22"/>
  <c r="R171" i="22"/>
  <c r="S171" i="22"/>
  <c r="T171" i="22"/>
  <c r="U171" i="22"/>
  <c r="V171" i="22"/>
  <c r="W171" i="22"/>
  <c r="X171" i="22"/>
  <c r="AA171" i="22"/>
  <c r="AB171" i="22"/>
  <c r="AC171" i="22"/>
  <c r="AD171" i="22" s="1"/>
  <c r="E172" i="22"/>
  <c r="F172" i="22"/>
  <c r="H172" i="22"/>
  <c r="M172" i="22"/>
  <c r="N172" i="22"/>
  <c r="O172" i="22"/>
  <c r="P172" i="22"/>
  <c r="Q172" i="22"/>
  <c r="R172" i="22"/>
  <c r="S172" i="22"/>
  <c r="T172" i="22"/>
  <c r="U172" i="22"/>
  <c r="V172" i="22"/>
  <c r="W172" i="22"/>
  <c r="X172" i="22"/>
  <c r="AA172" i="22"/>
  <c r="AB172" i="22"/>
  <c r="AC172" i="22"/>
  <c r="AD172" i="22" s="1"/>
  <c r="E173" i="22"/>
  <c r="F173" i="22"/>
  <c r="H173" i="22"/>
  <c r="M173" i="22"/>
  <c r="N173" i="22"/>
  <c r="O173" i="22"/>
  <c r="P173" i="22"/>
  <c r="Q173" i="22"/>
  <c r="R173" i="22"/>
  <c r="S173" i="22"/>
  <c r="T173" i="22"/>
  <c r="U173" i="22"/>
  <c r="V173" i="22"/>
  <c r="W173" i="22"/>
  <c r="X173" i="22"/>
  <c r="AA173" i="22"/>
  <c r="AB173" i="22"/>
  <c r="AC173" i="22"/>
  <c r="AD173" i="22" s="1"/>
  <c r="E174" i="22"/>
  <c r="F174" i="22"/>
  <c r="H174" i="22"/>
  <c r="M174" i="22"/>
  <c r="N174" i="22"/>
  <c r="O174" i="22"/>
  <c r="P174" i="22"/>
  <c r="Q174" i="22"/>
  <c r="R174" i="22"/>
  <c r="S174" i="22"/>
  <c r="T174" i="22"/>
  <c r="U174" i="22"/>
  <c r="V174" i="22"/>
  <c r="W174" i="22"/>
  <c r="X174" i="22"/>
  <c r="AA174" i="22"/>
  <c r="AB174" i="22"/>
  <c r="AC174" i="22"/>
  <c r="AD174" i="22"/>
  <c r="E175" i="22"/>
  <c r="F175" i="22"/>
  <c r="H175" i="22"/>
  <c r="M175" i="22"/>
  <c r="N175" i="22"/>
  <c r="O175" i="22"/>
  <c r="P175" i="22"/>
  <c r="Q175" i="22"/>
  <c r="R175" i="22"/>
  <c r="S175" i="22"/>
  <c r="T175" i="22"/>
  <c r="U175" i="22"/>
  <c r="V175" i="22"/>
  <c r="W175" i="22"/>
  <c r="X175" i="22"/>
  <c r="AA175" i="22"/>
  <c r="AB175" i="22"/>
  <c r="AC175" i="22"/>
  <c r="AD175" i="22" s="1"/>
  <c r="E90" i="22"/>
  <c r="F90" i="22"/>
  <c r="H90" i="22"/>
  <c r="M90" i="22"/>
  <c r="N90" i="22"/>
  <c r="O90" i="22"/>
  <c r="P90" i="22"/>
  <c r="Q90" i="22"/>
  <c r="R90" i="22"/>
  <c r="S90" i="22"/>
  <c r="T90" i="22"/>
  <c r="U90" i="22"/>
  <c r="V90" i="22"/>
  <c r="W90" i="22"/>
  <c r="X90" i="22"/>
  <c r="AA90" i="22"/>
  <c r="AB90" i="22"/>
  <c r="AC90" i="22"/>
  <c r="AD90" i="22" s="1"/>
  <c r="E91" i="22"/>
  <c r="F91" i="22"/>
  <c r="H91" i="22"/>
  <c r="M91" i="22"/>
  <c r="N91" i="22"/>
  <c r="O91" i="22"/>
  <c r="P91" i="22"/>
  <c r="Q91" i="22"/>
  <c r="R91" i="22"/>
  <c r="S91" i="22"/>
  <c r="T91" i="22"/>
  <c r="U91" i="22"/>
  <c r="V91" i="22"/>
  <c r="W91" i="22"/>
  <c r="X91" i="22"/>
  <c r="AA91" i="22"/>
  <c r="AB91" i="22"/>
  <c r="AC91" i="22"/>
  <c r="AD91" i="22"/>
  <c r="E92" i="22"/>
  <c r="F92" i="22"/>
  <c r="H92" i="22"/>
  <c r="M92" i="22"/>
  <c r="N92" i="22"/>
  <c r="O92" i="22"/>
  <c r="P92" i="22"/>
  <c r="Q92" i="22"/>
  <c r="R92" i="22"/>
  <c r="S92" i="22"/>
  <c r="T92" i="22"/>
  <c r="U92" i="22"/>
  <c r="V92" i="22"/>
  <c r="W92" i="22"/>
  <c r="X92" i="22"/>
  <c r="AA92" i="22"/>
  <c r="AB92" i="22"/>
  <c r="AC92" i="22"/>
  <c r="AD92" i="22" s="1"/>
  <c r="E93" i="22"/>
  <c r="F93" i="22"/>
  <c r="H93" i="22"/>
  <c r="M93" i="22"/>
  <c r="N93" i="22"/>
  <c r="O93" i="22"/>
  <c r="P93" i="22"/>
  <c r="Q93" i="22"/>
  <c r="R93" i="22"/>
  <c r="S93" i="22"/>
  <c r="T93" i="22"/>
  <c r="U93" i="22"/>
  <c r="V93" i="22"/>
  <c r="W93" i="22"/>
  <c r="X93" i="22"/>
  <c r="AA93" i="22"/>
  <c r="AB93" i="22"/>
  <c r="AC93" i="22"/>
  <c r="AD93" i="22" s="1"/>
  <c r="E94" i="22"/>
  <c r="F94" i="22"/>
  <c r="H94" i="22"/>
  <c r="M94" i="22"/>
  <c r="N94" i="22"/>
  <c r="O94" i="22"/>
  <c r="P94" i="22"/>
  <c r="Q94" i="22"/>
  <c r="R94" i="22"/>
  <c r="S94" i="22"/>
  <c r="T94" i="22"/>
  <c r="U94" i="22"/>
  <c r="V94" i="22"/>
  <c r="W94" i="22"/>
  <c r="X94" i="22"/>
  <c r="AA94" i="22"/>
  <c r="AB94" i="22"/>
  <c r="AC94" i="22"/>
  <c r="AD94" i="22"/>
  <c r="E95" i="22"/>
  <c r="F95" i="22"/>
  <c r="H95" i="22"/>
  <c r="M95" i="22"/>
  <c r="N95" i="22"/>
  <c r="O95" i="22"/>
  <c r="P95" i="22"/>
  <c r="Q95" i="22"/>
  <c r="R95" i="22"/>
  <c r="S95" i="22"/>
  <c r="T95" i="22"/>
  <c r="U95" i="22"/>
  <c r="V95" i="22"/>
  <c r="W95" i="22"/>
  <c r="X95" i="22"/>
  <c r="AA95" i="22"/>
  <c r="AB95" i="22"/>
  <c r="AC95" i="22"/>
  <c r="AD95" i="22" s="1"/>
  <c r="E96" i="22"/>
  <c r="F96" i="22"/>
  <c r="H96" i="22"/>
  <c r="M96" i="22"/>
  <c r="N96" i="22"/>
  <c r="O96" i="22"/>
  <c r="P96" i="22"/>
  <c r="Q96" i="22"/>
  <c r="R96" i="22"/>
  <c r="S96" i="22"/>
  <c r="T96" i="22"/>
  <c r="U96" i="22"/>
  <c r="V96" i="22"/>
  <c r="W96" i="22"/>
  <c r="X96" i="22"/>
  <c r="AA96" i="22"/>
  <c r="AB96" i="22"/>
  <c r="AC96" i="22"/>
  <c r="AD96" i="22" s="1"/>
  <c r="B97" i="22"/>
  <c r="AF97" i="22" s="1"/>
  <c r="D97" i="22"/>
  <c r="E97" i="22"/>
  <c r="F97" i="22"/>
  <c r="H97" i="22"/>
  <c r="I97" i="22"/>
  <c r="J97" i="22"/>
  <c r="K97" i="22"/>
  <c r="L97" i="22"/>
  <c r="M97" i="22"/>
  <c r="N97" i="22"/>
  <c r="O97" i="22"/>
  <c r="P97" i="22"/>
  <c r="Q97" i="22"/>
  <c r="R97" i="22"/>
  <c r="S97" i="22"/>
  <c r="T97" i="22"/>
  <c r="U97" i="22"/>
  <c r="V97" i="22"/>
  <c r="W97" i="22"/>
  <c r="X97" i="22"/>
  <c r="AA97" i="22"/>
  <c r="AB97" i="22"/>
  <c r="AC97" i="22"/>
  <c r="AD97" i="22" s="1"/>
  <c r="E98" i="22"/>
  <c r="F98" i="22"/>
  <c r="H98" i="22"/>
  <c r="M98" i="22"/>
  <c r="N98" i="22"/>
  <c r="O98" i="22"/>
  <c r="P98" i="22"/>
  <c r="Q98" i="22"/>
  <c r="R98" i="22"/>
  <c r="S98" i="22"/>
  <c r="T98" i="22"/>
  <c r="U98" i="22"/>
  <c r="V98" i="22"/>
  <c r="W98" i="22"/>
  <c r="X98" i="22"/>
  <c r="AA98" i="22"/>
  <c r="AB98" i="22"/>
  <c r="AC98" i="22"/>
  <c r="AD98" i="22" s="1"/>
  <c r="E99" i="22"/>
  <c r="F99" i="22"/>
  <c r="H99" i="22"/>
  <c r="M99" i="22"/>
  <c r="N99" i="22"/>
  <c r="O99" i="22"/>
  <c r="P99" i="22"/>
  <c r="Q99" i="22"/>
  <c r="R99" i="22"/>
  <c r="S99" i="22"/>
  <c r="T99" i="22"/>
  <c r="U99" i="22"/>
  <c r="V99" i="22"/>
  <c r="W99" i="22"/>
  <c r="X99" i="22"/>
  <c r="AA99" i="22"/>
  <c r="AB99" i="22"/>
  <c r="AC99" i="22"/>
  <c r="AD99" i="22" s="1"/>
  <c r="E100" i="22"/>
  <c r="F100" i="22"/>
  <c r="H100" i="22"/>
  <c r="M100" i="22"/>
  <c r="N100" i="22"/>
  <c r="O100" i="22"/>
  <c r="P100" i="22"/>
  <c r="Q100" i="22"/>
  <c r="R100" i="22"/>
  <c r="S100" i="22"/>
  <c r="T100" i="22"/>
  <c r="U100" i="22"/>
  <c r="V100" i="22"/>
  <c r="W100" i="22"/>
  <c r="X100" i="22"/>
  <c r="AA100" i="22"/>
  <c r="AB100" i="22"/>
  <c r="AC100" i="22"/>
  <c r="AD100" i="22"/>
  <c r="E101" i="22"/>
  <c r="F101" i="22"/>
  <c r="H101" i="22"/>
  <c r="M101" i="22"/>
  <c r="N101" i="22"/>
  <c r="O101" i="22"/>
  <c r="P101" i="22"/>
  <c r="Q101" i="22"/>
  <c r="R101" i="22"/>
  <c r="S101" i="22"/>
  <c r="T101" i="22"/>
  <c r="U101" i="22"/>
  <c r="V101" i="22"/>
  <c r="W101" i="22"/>
  <c r="X101" i="22"/>
  <c r="AA101" i="22"/>
  <c r="AB101" i="22"/>
  <c r="AC101" i="22"/>
  <c r="AD101" i="22" s="1"/>
  <c r="E102" i="22"/>
  <c r="F102" i="22"/>
  <c r="H102" i="22"/>
  <c r="M102" i="22"/>
  <c r="N102" i="22"/>
  <c r="O102" i="22"/>
  <c r="P102" i="22"/>
  <c r="Q102" i="22"/>
  <c r="R102" i="22"/>
  <c r="S102" i="22"/>
  <c r="T102" i="22"/>
  <c r="U102" i="22"/>
  <c r="V102" i="22"/>
  <c r="W102" i="22"/>
  <c r="X102" i="22"/>
  <c r="AA102" i="22"/>
  <c r="AB102" i="22"/>
  <c r="AC102" i="22"/>
  <c r="AD102" i="22" s="1"/>
  <c r="E103" i="22"/>
  <c r="F103" i="22"/>
  <c r="H103" i="22"/>
  <c r="M103" i="22"/>
  <c r="N103" i="22"/>
  <c r="O103" i="22"/>
  <c r="P103" i="22"/>
  <c r="Q103" i="22"/>
  <c r="R103" i="22"/>
  <c r="S103" i="22"/>
  <c r="T103" i="22"/>
  <c r="U103" i="22"/>
  <c r="V103" i="22"/>
  <c r="W103" i="22"/>
  <c r="X103" i="22"/>
  <c r="AA103" i="22"/>
  <c r="AB103" i="22"/>
  <c r="AC103" i="22"/>
  <c r="AD103" i="22" s="1"/>
  <c r="E104" i="22"/>
  <c r="F104" i="22"/>
  <c r="H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AA104" i="22"/>
  <c r="AB104" i="22"/>
  <c r="AC104" i="22"/>
  <c r="AD104" i="22" s="1"/>
  <c r="E105" i="22"/>
  <c r="F105" i="22"/>
  <c r="H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AA105" i="22"/>
  <c r="AB105" i="22"/>
  <c r="AC105" i="22"/>
  <c r="AD105" i="22"/>
  <c r="E106" i="22"/>
  <c r="F106" i="22"/>
  <c r="H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AA106" i="22"/>
  <c r="AB106" i="22"/>
  <c r="AC106" i="22"/>
  <c r="AD106" i="22"/>
  <c r="E107" i="22"/>
  <c r="F107" i="22"/>
  <c r="H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AA107" i="22"/>
  <c r="AB107" i="22"/>
  <c r="AC107" i="22"/>
  <c r="AD107" i="22" s="1"/>
  <c r="E108" i="22"/>
  <c r="F108" i="22"/>
  <c r="H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AA108" i="22"/>
  <c r="AB108" i="22"/>
  <c r="AC108" i="22"/>
  <c r="AD108" i="22" s="1"/>
  <c r="E109" i="22"/>
  <c r="F109" i="22"/>
  <c r="H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AA109" i="22"/>
  <c r="AB109" i="22"/>
  <c r="AC109" i="22"/>
  <c r="AD109" i="22" s="1"/>
  <c r="E110" i="22"/>
  <c r="F110" i="22"/>
  <c r="H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AA110" i="22"/>
  <c r="AB110" i="22"/>
  <c r="AC110" i="22"/>
  <c r="AD110" i="22"/>
  <c r="E111" i="22"/>
  <c r="F111" i="22"/>
  <c r="H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AA111" i="22"/>
  <c r="AB111" i="22"/>
  <c r="AC111" i="22"/>
  <c r="AD111" i="22" s="1"/>
  <c r="E112" i="22"/>
  <c r="F112" i="22"/>
  <c r="H112" i="22"/>
  <c r="M112" i="22"/>
  <c r="N112" i="22"/>
  <c r="O112" i="22"/>
  <c r="P112" i="22"/>
  <c r="Q112" i="22"/>
  <c r="R112" i="22"/>
  <c r="S112" i="22"/>
  <c r="T112" i="22"/>
  <c r="U112" i="22"/>
  <c r="V112" i="22"/>
  <c r="W112" i="22"/>
  <c r="X112" i="22"/>
  <c r="AA112" i="22"/>
  <c r="AB112" i="22"/>
  <c r="AC112" i="22"/>
  <c r="AD112" i="22" s="1"/>
  <c r="E113" i="22"/>
  <c r="F113" i="22"/>
  <c r="H113" i="22"/>
  <c r="M113" i="22"/>
  <c r="N113" i="22"/>
  <c r="O113" i="22"/>
  <c r="P113" i="22"/>
  <c r="Q113" i="22"/>
  <c r="R113" i="22"/>
  <c r="S113" i="22"/>
  <c r="T113" i="22"/>
  <c r="U113" i="22"/>
  <c r="V113" i="22"/>
  <c r="W113" i="22"/>
  <c r="X113" i="22"/>
  <c r="AA113" i="22"/>
  <c r="AB113" i="22"/>
  <c r="AC113" i="22"/>
  <c r="AD113" i="22" s="1"/>
  <c r="E114" i="22"/>
  <c r="F114" i="22"/>
  <c r="H114" i="22"/>
  <c r="M114" i="22"/>
  <c r="N114" i="22"/>
  <c r="O114" i="22"/>
  <c r="P114" i="22"/>
  <c r="Q114" i="22"/>
  <c r="R114" i="22"/>
  <c r="S114" i="22"/>
  <c r="T114" i="22"/>
  <c r="U114" i="22"/>
  <c r="V114" i="22"/>
  <c r="W114" i="22"/>
  <c r="X114" i="22"/>
  <c r="AA114" i="22"/>
  <c r="AB114" i="22"/>
  <c r="AC114" i="22"/>
  <c r="AD114" i="22" s="1"/>
  <c r="E115" i="22"/>
  <c r="F115" i="22"/>
  <c r="H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AA115" i="22"/>
  <c r="AB115" i="22"/>
  <c r="AC115" i="22"/>
  <c r="AD115" i="22" s="1"/>
  <c r="E116" i="22"/>
  <c r="F116" i="22"/>
  <c r="H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AA116" i="22"/>
  <c r="AB116" i="22"/>
  <c r="AC116" i="22"/>
  <c r="AD116" i="22" s="1"/>
  <c r="E117" i="22"/>
  <c r="F117" i="22"/>
  <c r="H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AA117" i="22"/>
  <c r="AB117" i="22"/>
  <c r="AC117" i="22"/>
  <c r="AD117" i="22"/>
  <c r="E118" i="22"/>
  <c r="F118" i="22"/>
  <c r="H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AA118" i="22"/>
  <c r="AB118" i="22"/>
  <c r="AC118" i="22"/>
  <c r="AD118" i="22" s="1"/>
  <c r="E119" i="22"/>
  <c r="F119" i="22"/>
  <c r="H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AA119" i="22"/>
  <c r="AB119" i="22"/>
  <c r="AC119" i="22"/>
  <c r="AD119" i="22"/>
  <c r="E120" i="22"/>
  <c r="F120" i="22"/>
  <c r="H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AA120" i="22"/>
  <c r="AB120" i="22"/>
  <c r="AC120" i="22"/>
  <c r="AD120" i="22" s="1"/>
  <c r="E121" i="22"/>
  <c r="F121" i="22"/>
  <c r="H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AA121" i="22"/>
  <c r="AB121" i="22"/>
  <c r="AC121" i="22"/>
  <c r="AD121" i="22" s="1"/>
  <c r="E122" i="22"/>
  <c r="F122" i="22"/>
  <c r="H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AA122" i="22"/>
  <c r="AB122" i="22"/>
  <c r="AC122" i="22"/>
  <c r="AD122" i="22" s="1"/>
  <c r="E123" i="22"/>
  <c r="F123" i="22"/>
  <c r="H123" i="22"/>
  <c r="M123" i="22"/>
  <c r="N123" i="22"/>
  <c r="O123" i="22"/>
  <c r="P123" i="22"/>
  <c r="Q123" i="22"/>
  <c r="R123" i="22"/>
  <c r="S123" i="22"/>
  <c r="T123" i="22"/>
  <c r="U123" i="22"/>
  <c r="V123" i="22"/>
  <c r="W123" i="22"/>
  <c r="X123" i="22"/>
  <c r="AA123" i="22"/>
  <c r="AB123" i="22"/>
  <c r="AC123" i="22"/>
  <c r="AD123" i="22" s="1"/>
  <c r="E124" i="22"/>
  <c r="F124" i="22"/>
  <c r="H124" i="22"/>
  <c r="M124" i="22"/>
  <c r="N124" i="22"/>
  <c r="O124" i="22"/>
  <c r="P124" i="22"/>
  <c r="Q124" i="22"/>
  <c r="R124" i="22"/>
  <c r="S124" i="22"/>
  <c r="T124" i="22"/>
  <c r="U124" i="22"/>
  <c r="V124" i="22"/>
  <c r="W124" i="22"/>
  <c r="X124" i="22"/>
  <c r="AA124" i="22"/>
  <c r="AB124" i="22"/>
  <c r="AC124" i="22"/>
  <c r="AD124" i="22" s="1"/>
  <c r="E125" i="22"/>
  <c r="F125" i="22"/>
  <c r="H125" i="22"/>
  <c r="M125" i="22"/>
  <c r="N125" i="22"/>
  <c r="O125" i="22"/>
  <c r="P125" i="22"/>
  <c r="Q125" i="22"/>
  <c r="R125" i="22"/>
  <c r="S125" i="22"/>
  <c r="T125" i="22"/>
  <c r="U125" i="22"/>
  <c r="V125" i="22"/>
  <c r="W125" i="22"/>
  <c r="X125" i="22"/>
  <c r="AA125" i="22"/>
  <c r="AB125" i="22"/>
  <c r="AC125" i="22"/>
  <c r="AD125" i="22" s="1"/>
  <c r="E126" i="22"/>
  <c r="F126" i="22"/>
  <c r="H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AA126" i="22"/>
  <c r="AB126" i="22"/>
  <c r="AC126" i="22"/>
  <c r="AD126" i="22" s="1"/>
  <c r="E127" i="22"/>
  <c r="F127" i="22"/>
  <c r="H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AA127" i="22"/>
  <c r="AB127" i="22"/>
  <c r="AC127" i="22"/>
  <c r="AD127" i="22" s="1"/>
  <c r="E128" i="22"/>
  <c r="F128" i="22"/>
  <c r="H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AA128" i="22"/>
  <c r="AB128" i="22"/>
  <c r="AC128" i="22"/>
  <c r="AD128" i="22" s="1"/>
  <c r="E129" i="22"/>
  <c r="F129" i="22"/>
  <c r="H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AA129" i="22"/>
  <c r="AB129" i="22"/>
  <c r="AC129" i="22"/>
  <c r="AD129" i="22" s="1"/>
  <c r="E130" i="22"/>
  <c r="F130" i="22"/>
  <c r="H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AA130" i="22"/>
  <c r="AB130" i="22"/>
  <c r="AC130" i="22"/>
  <c r="AD130" i="22"/>
  <c r="E131" i="22"/>
  <c r="F131" i="22"/>
  <c r="H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AA131" i="22"/>
  <c r="AB131" i="22"/>
  <c r="AC131" i="22"/>
  <c r="AD131" i="22"/>
  <c r="E132" i="22"/>
  <c r="F132" i="22"/>
  <c r="H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AA132" i="22"/>
  <c r="AB132" i="22"/>
  <c r="AC132" i="22"/>
  <c r="AD132" i="22" s="1"/>
  <c r="E47" i="22"/>
  <c r="F47" i="22"/>
  <c r="H47" i="22"/>
  <c r="M47" i="22"/>
  <c r="N47" i="22"/>
  <c r="O47" i="22"/>
  <c r="P47" i="22"/>
  <c r="Q47" i="22"/>
  <c r="R47" i="22"/>
  <c r="S47" i="22"/>
  <c r="T47" i="22"/>
  <c r="U47" i="22"/>
  <c r="V47" i="22"/>
  <c r="W47" i="22"/>
  <c r="X47" i="22"/>
  <c r="AA47" i="22"/>
  <c r="AB47" i="22"/>
  <c r="AC47" i="22"/>
  <c r="AD47" i="22"/>
  <c r="E48" i="22"/>
  <c r="F48" i="22"/>
  <c r="H48" i="22"/>
  <c r="M48" i="22"/>
  <c r="N48" i="22"/>
  <c r="O48" i="22"/>
  <c r="P48" i="22"/>
  <c r="Q48" i="22"/>
  <c r="R48" i="22"/>
  <c r="S48" i="22"/>
  <c r="T48" i="22"/>
  <c r="U48" i="22"/>
  <c r="V48" i="22"/>
  <c r="W48" i="22"/>
  <c r="X48" i="22"/>
  <c r="AA48" i="22"/>
  <c r="AB48" i="22"/>
  <c r="AC48" i="22"/>
  <c r="AD48" i="22" s="1"/>
  <c r="E49" i="22"/>
  <c r="F49" i="22"/>
  <c r="H49" i="22"/>
  <c r="M49" i="22"/>
  <c r="N49" i="22"/>
  <c r="O49" i="22"/>
  <c r="P49" i="22"/>
  <c r="Q49" i="22"/>
  <c r="R49" i="22"/>
  <c r="S49" i="22"/>
  <c r="T49" i="22"/>
  <c r="U49" i="22"/>
  <c r="V49" i="22"/>
  <c r="W49" i="22"/>
  <c r="X49" i="22"/>
  <c r="AA49" i="22"/>
  <c r="AB49" i="22"/>
  <c r="AC49" i="22"/>
  <c r="AD49" i="22" s="1"/>
  <c r="E50" i="22"/>
  <c r="F50" i="22"/>
  <c r="H50" i="22"/>
  <c r="M50" i="22"/>
  <c r="N50" i="22"/>
  <c r="O50" i="22"/>
  <c r="P50" i="22"/>
  <c r="Q50" i="22"/>
  <c r="R50" i="22"/>
  <c r="S50" i="22"/>
  <c r="T50" i="22"/>
  <c r="U50" i="22"/>
  <c r="V50" i="22"/>
  <c r="W50" i="22"/>
  <c r="X50" i="22"/>
  <c r="AA50" i="22"/>
  <c r="AB50" i="22"/>
  <c r="AC50" i="22"/>
  <c r="AD50" i="22" s="1"/>
  <c r="E51" i="22"/>
  <c r="F51" i="22"/>
  <c r="H51" i="22"/>
  <c r="M51" i="22"/>
  <c r="N51" i="22"/>
  <c r="O51" i="22"/>
  <c r="P51" i="22"/>
  <c r="Q51" i="22"/>
  <c r="R51" i="22"/>
  <c r="S51" i="22"/>
  <c r="T51" i="22"/>
  <c r="U51" i="22"/>
  <c r="V51" i="22"/>
  <c r="W51" i="22"/>
  <c r="X51" i="22"/>
  <c r="AA51" i="22"/>
  <c r="AB51" i="22"/>
  <c r="AC51" i="22"/>
  <c r="AD51" i="22" s="1"/>
  <c r="E52" i="22"/>
  <c r="F52" i="22"/>
  <c r="H52" i="22"/>
  <c r="M52" i="22"/>
  <c r="N52" i="22"/>
  <c r="O52" i="22"/>
  <c r="P52" i="22"/>
  <c r="Q52" i="22"/>
  <c r="R52" i="22"/>
  <c r="S52" i="22"/>
  <c r="T52" i="22"/>
  <c r="U52" i="22"/>
  <c r="V52" i="22"/>
  <c r="W52" i="22"/>
  <c r="X52" i="22"/>
  <c r="AA52" i="22"/>
  <c r="AB52" i="22"/>
  <c r="AC52" i="22"/>
  <c r="AD52" i="22" s="1"/>
  <c r="E53" i="22"/>
  <c r="F53" i="22"/>
  <c r="H53" i="22"/>
  <c r="M53" i="22"/>
  <c r="N53" i="22"/>
  <c r="O53" i="22"/>
  <c r="P53" i="22"/>
  <c r="Q53" i="22"/>
  <c r="R53" i="22"/>
  <c r="S53" i="22"/>
  <c r="T53" i="22"/>
  <c r="U53" i="22"/>
  <c r="V53" i="22"/>
  <c r="W53" i="22"/>
  <c r="X53" i="22"/>
  <c r="AA53" i="22"/>
  <c r="AB53" i="22"/>
  <c r="AC53" i="22"/>
  <c r="AD53" i="22" s="1"/>
  <c r="E54" i="22"/>
  <c r="F54" i="22"/>
  <c r="H54" i="22"/>
  <c r="M54" i="22"/>
  <c r="N54" i="22"/>
  <c r="O54" i="22"/>
  <c r="P54" i="22"/>
  <c r="Q54" i="22"/>
  <c r="R54" i="22"/>
  <c r="S54" i="22"/>
  <c r="T54" i="22"/>
  <c r="U54" i="22"/>
  <c r="V54" i="22"/>
  <c r="W54" i="22"/>
  <c r="X54" i="22"/>
  <c r="AA54" i="22"/>
  <c r="AB54" i="22"/>
  <c r="AC54" i="22"/>
  <c r="AD54" i="22" s="1"/>
  <c r="E55" i="22"/>
  <c r="F55" i="22"/>
  <c r="H55" i="22"/>
  <c r="M55" i="22"/>
  <c r="N55" i="22"/>
  <c r="O55" i="22"/>
  <c r="P55" i="22"/>
  <c r="Q55" i="22"/>
  <c r="R55" i="22"/>
  <c r="S55" i="22"/>
  <c r="T55" i="22"/>
  <c r="U55" i="22"/>
  <c r="V55" i="22"/>
  <c r="W55" i="22"/>
  <c r="X55" i="22"/>
  <c r="AA55" i="22"/>
  <c r="AB55" i="22"/>
  <c r="AC55" i="22"/>
  <c r="AD55" i="22" s="1"/>
  <c r="E56" i="22"/>
  <c r="F56" i="22"/>
  <c r="H56" i="22"/>
  <c r="M56" i="22"/>
  <c r="N56" i="22"/>
  <c r="O56" i="22"/>
  <c r="P56" i="22"/>
  <c r="Q56" i="22"/>
  <c r="R56" i="22"/>
  <c r="S56" i="22"/>
  <c r="T56" i="22"/>
  <c r="U56" i="22"/>
  <c r="V56" i="22"/>
  <c r="W56" i="22"/>
  <c r="X56" i="22"/>
  <c r="AA56" i="22"/>
  <c r="AB56" i="22"/>
  <c r="AC56" i="22"/>
  <c r="AD56" i="22" s="1"/>
  <c r="E57" i="22"/>
  <c r="F57" i="22"/>
  <c r="H57" i="22"/>
  <c r="M57" i="22"/>
  <c r="N57" i="22"/>
  <c r="O57" i="22"/>
  <c r="P57" i="22"/>
  <c r="Q57" i="22"/>
  <c r="R57" i="22"/>
  <c r="S57" i="22"/>
  <c r="T57" i="22"/>
  <c r="U57" i="22"/>
  <c r="V57" i="22"/>
  <c r="W57" i="22"/>
  <c r="X57" i="22"/>
  <c r="AA57" i="22"/>
  <c r="AB57" i="22"/>
  <c r="AC57" i="22"/>
  <c r="AD57" i="22" s="1"/>
  <c r="E58" i="22"/>
  <c r="F58" i="22"/>
  <c r="H58" i="22"/>
  <c r="M58" i="22"/>
  <c r="N58" i="22"/>
  <c r="O58" i="22"/>
  <c r="P58" i="22"/>
  <c r="Q58" i="22"/>
  <c r="R58" i="22"/>
  <c r="S58" i="22"/>
  <c r="T58" i="22"/>
  <c r="U58" i="22"/>
  <c r="V58" i="22"/>
  <c r="W58" i="22"/>
  <c r="X58" i="22"/>
  <c r="AA58" i="22"/>
  <c r="AB58" i="22"/>
  <c r="AC58" i="22"/>
  <c r="AD58" i="22" s="1"/>
  <c r="E59" i="22"/>
  <c r="F59" i="22"/>
  <c r="H59" i="22"/>
  <c r="M59" i="22"/>
  <c r="N59" i="22"/>
  <c r="O59" i="22"/>
  <c r="P59" i="22"/>
  <c r="Q59" i="22"/>
  <c r="R59" i="22"/>
  <c r="S59" i="22"/>
  <c r="T59" i="22"/>
  <c r="U59" i="22"/>
  <c r="V59" i="22"/>
  <c r="W59" i="22"/>
  <c r="X59" i="22"/>
  <c r="AA59" i="22"/>
  <c r="AB59" i="22"/>
  <c r="AC59" i="22"/>
  <c r="AD59" i="22" s="1"/>
  <c r="E60" i="22"/>
  <c r="F60" i="22"/>
  <c r="H60" i="22"/>
  <c r="M60" i="22"/>
  <c r="N60" i="22"/>
  <c r="O60" i="22"/>
  <c r="P60" i="22"/>
  <c r="Q60" i="22"/>
  <c r="R60" i="22"/>
  <c r="S60" i="22"/>
  <c r="T60" i="22"/>
  <c r="U60" i="22"/>
  <c r="V60" i="22"/>
  <c r="W60" i="22"/>
  <c r="X60" i="22"/>
  <c r="AA60" i="22"/>
  <c r="AB60" i="22"/>
  <c r="AC60" i="22"/>
  <c r="AD60" i="22" s="1"/>
  <c r="E61" i="22"/>
  <c r="F61" i="22"/>
  <c r="H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AA61" i="22"/>
  <c r="AB61" i="22"/>
  <c r="AC61" i="22"/>
  <c r="AD61" i="22" s="1"/>
  <c r="E62" i="22"/>
  <c r="F62" i="22"/>
  <c r="H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AA62" i="22"/>
  <c r="AB62" i="22"/>
  <c r="AC62" i="22"/>
  <c r="AD62" i="22" s="1"/>
  <c r="E63" i="22"/>
  <c r="F63" i="22"/>
  <c r="H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AA63" i="22"/>
  <c r="AB63" i="22"/>
  <c r="AC63" i="22"/>
  <c r="AD63" i="22" s="1"/>
  <c r="E64" i="22"/>
  <c r="F64" i="22"/>
  <c r="H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AA64" i="22"/>
  <c r="AB64" i="22"/>
  <c r="AC64" i="22"/>
  <c r="AD64" i="22" s="1"/>
  <c r="E65" i="22"/>
  <c r="F65" i="22"/>
  <c r="H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AA65" i="22"/>
  <c r="AB65" i="22"/>
  <c r="AC65" i="22"/>
  <c r="AD65" i="22" s="1"/>
  <c r="E66" i="22"/>
  <c r="F66" i="22"/>
  <c r="H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AA66" i="22"/>
  <c r="AB66" i="22"/>
  <c r="AC66" i="22"/>
  <c r="AD66" i="22" s="1"/>
  <c r="E67" i="22"/>
  <c r="F67" i="22"/>
  <c r="H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AA67" i="22"/>
  <c r="AB67" i="22"/>
  <c r="AC67" i="22"/>
  <c r="AD67" i="22" s="1"/>
  <c r="E68" i="22"/>
  <c r="F68" i="22"/>
  <c r="H68" i="22"/>
  <c r="M68" i="22"/>
  <c r="N68" i="22"/>
  <c r="O68" i="22"/>
  <c r="P68" i="22"/>
  <c r="Q68" i="22"/>
  <c r="R68" i="22"/>
  <c r="S68" i="22"/>
  <c r="T68" i="22"/>
  <c r="U68" i="22"/>
  <c r="V68" i="22"/>
  <c r="W68" i="22"/>
  <c r="X68" i="22"/>
  <c r="AA68" i="22"/>
  <c r="AB68" i="22"/>
  <c r="AC68" i="22"/>
  <c r="AD68" i="22" s="1"/>
  <c r="E69" i="22"/>
  <c r="F69" i="22"/>
  <c r="H69" i="22"/>
  <c r="M69" i="22"/>
  <c r="N69" i="22"/>
  <c r="O69" i="22"/>
  <c r="P69" i="22"/>
  <c r="Q69" i="22"/>
  <c r="R69" i="22"/>
  <c r="S69" i="22"/>
  <c r="T69" i="22"/>
  <c r="U69" i="22"/>
  <c r="V69" i="22"/>
  <c r="W69" i="22"/>
  <c r="X69" i="22"/>
  <c r="AA69" i="22"/>
  <c r="AB69" i="22"/>
  <c r="AC69" i="22"/>
  <c r="AD69" i="22" s="1"/>
  <c r="E70" i="22"/>
  <c r="F70" i="22"/>
  <c r="H70" i="22"/>
  <c r="M70" i="22"/>
  <c r="N70" i="22"/>
  <c r="O70" i="22"/>
  <c r="P70" i="22"/>
  <c r="Q70" i="22"/>
  <c r="R70" i="22"/>
  <c r="S70" i="22"/>
  <c r="T70" i="22"/>
  <c r="U70" i="22"/>
  <c r="V70" i="22"/>
  <c r="W70" i="22"/>
  <c r="X70" i="22"/>
  <c r="AA70" i="22"/>
  <c r="AB70" i="22"/>
  <c r="AC70" i="22"/>
  <c r="AD70" i="22" s="1"/>
  <c r="E71" i="22"/>
  <c r="F71" i="22"/>
  <c r="H71" i="22"/>
  <c r="M71" i="22"/>
  <c r="N71" i="22"/>
  <c r="O71" i="22"/>
  <c r="P71" i="22"/>
  <c r="Q71" i="22"/>
  <c r="R71" i="22"/>
  <c r="S71" i="22"/>
  <c r="T71" i="22"/>
  <c r="U71" i="22"/>
  <c r="V71" i="22"/>
  <c r="W71" i="22"/>
  <c r="X71" i="22"/>
  <c r="AA71" i="22"/>
  <c r="AB71" i="22"/>
  <c r="AC71" i="22"/>
  <c r="AD71" i="22" s="1"/>
  <c r="E72" i="22"/>
  <c r="F72" i="22"/>
  <c r="H72" i="22"/>
  <c r="M72" i="22"/>
  <c r="N72" i="22"/>
  <c r="O72" i="22"/>
  <c r="P72" i="22"/>
  <c r="Q72" i="22"/>
  <c r="R72" i="22"/>
  <c r="S72" i="22"/>
  <c r="T72" i="22"/>
  <c r="U72" i="22"/>
  <c r="V72" i="22"/>
  <c r="W72" i="22"/>
  <c r="X72" i="22"/>
  <c r="AA72" i="22"/>
  <c r="AB72" i="22"/>
  <c r="AC72" i="22"/>
  <c r="AD72" i="22"/>
  <c r="E73" i="22"/>
  <c r="F73" i="22"/>
  <c r="H73" i="22"/>
  <c r="M73" i="22"/>
  <c r="N73" i="22"/>
  <c r="O73" i="22"/>
  <c r="P73" i="22"/>
  <c r="Q73" i="22"/>
  <c r="R73" i="22"/>
  <c r="S73" i="22"/>
  <c r="T73" i="22"/>
  <c r="U73" i="22"/>
  <c r="V73" i="22"/>
  <c r="W73" i="22"/>
  <c r="X73" i="22"/>
  <c r="AA73" i="22"/>
  <c r="AB73" i="22"/>
  <c r="AC73" i="22"/>
  <c r="AD73" i="22" s="1"/>
  <c r="E74" i="22"/>
  <c r="F74" i="22"/>
  <c r="H74" i="22"/>
  <c r="M74" i="22"/>
  <c r="N74" i="22"/>
  <c r="O74" i="22"/>
  <c r="P74" i="22"/>
  <c r="Q74" i="22"/>
  <c r="R74" i="22"/>
  <c r="S74" i="22"/>
  <c r="T74" i="22"/>
  <c r="U74" i="22"/>
  <c r="V74" i="22"/>
  <c r="W74" i="22"/>
  <c r="X74" i="22"/>
  <c r="AA74" i="22"/>
  <c r="AB74" i="22"/>
  <c r="AC74" i="22"/>
  <c r="AD74" i="22" s="1"/>
  <c r="E75" i="22"/>
  <c r="F75" i="22"/>
  <c r="H75" i="22"/>
  <c r="M75" i="22"/>
  <c r="N75" i="22"/>
  <c r="O75" i="22"/>
  <c r="P75" i="22"/>
  <c r="Q75" i="22"/>
  <c r="R75" i="22"/>
  <c r="S75" i="22"/>
  <c r="T75" i="22"/>
  <c r="U75" i="22"/>
  <c r="V75" i="22"/>
  <c r="W75" i="22"/>
  <c r="X75" i="22"/>
  <c r="AA75" i="22"/>
  <c r="AB75" i="22"/>
  <c r="AC75" i="22"/>
  <c r="AD75" i="22" s="1"/>
  <c r="E76" i="22"/>
  <c r="F76" i="22"/>
  <c r="H76" i="22"/>
  <c r="M76" i="22"/>
  <c r="N76" i="22"/>
  <c r="O76" i="22"/>
  <c r="P76" i="22"/>
  <c r="Q76" i="22"/>
  <c r="R76" i="22"/>
  <c r="S76" i="22"/>
  <c r="T76" i="22"/>
  <c r="U76" i="22"/>
  <c r="V76" i="22"/>
  <c r="W76" i="22"/>
  <c r="X76" i="22"/>
  <c r="AA76" i="22"/>
  <c r="AB76" i="22"/>
  <c r="AC76" i="22"/>
  <c r="AD76" i="22" s="1"/>
  <c r="E77" i="22"/>
  <c r="F77" i="22"/>
  <c r="H77" i="22"/>
  <c r="M77" i="22"/>
  <c r="N77" i="22"/>
  <c r="O77" i="22"/>
  <c r="P77" i="22"/>
  <c r="Q77" i="22"/>
  <c r="R77" i="22"/>
  <c r="S77" i="22"/>
  <c r="T77" i="22"/>
  <c r="U77" i="22"/>
  <c r="V77" i="22"/>
  <c r="W77" i="22"/>
  <c r="X77" i="22"/>
  <c r="AA77" i="22"/>
  <c r="AB77" i="22"/>
  <c r="AC77" i="22"/>
  <c r="AD77" i="22" s="1"/>
  <c r="E78" i="22"/>
  <c r="F78" i="22"/>
  <c r="H78" i="22"/>
  <c r="M78" i="22"/>
  <c r="N78" i="22"/>
  <c r="O78" i="22"/>
  <c r="P78" i="22"/>
  <c r="Q78" i="22"/>
  <c r="R78" i="22"/>
  <c r="S78" i="22"/>
  <c r="T78" i="22"/>
  <c r="U78" i="22"/>
  <c r="V78" i="22"/>
  <c r="W78" i="22"/>
  <c r="X78" i="22"/>
  <c r="AA78" i="22"/>
  <c r="AB78" i="22"/>
  <c r="AC78" i="22"/>
  <c r="AD78" i="22"/>
  <c r="E79" i="22"/>
  <c r="F79" i="22"/>
  <c r="H79" i="22"/>
  <c r="M79" i="22"/>
  <c r="N79" i="22"/>
  <c r="O79" i="22"/>
  <c r="P79" i="22"/>
  <c r="Q79" i="22"/>
  <c r="R79" i="22"/>
  <c r="S79" i="22"/>
  <c r="T79" i="22"/>
  <c r="U79" i="22"/>
  <c r="V79" i="22"/>
  <c r="W79" i="22"/>
  <c r="X79" i="22"/>
  <c r="AA79" i="22"/>
  <c r="AB79" i="22"/>
  <c r="AC79" i="22"/>
  <c r="AD79" i="22" s="1"/>
  <c r="E80" i="22"/>
  <c r="F80" i="22"/>
  <c r="H80" i="22"/>
  <c r="M80" i="22"/>
  <c r="N80" i="22"/>
  <c r="O80" i="22"/>
  <c r="P80" i="22"/>
  <c r="Q80" i="22"/>
  <c r="R80" i="22"/>
  <c r="S80" i="22"/>
  <c r="T80" i="22"/>
  <c r="U80" i="22"/>
  <c r="V80" i="22"/>
  <c r="W80" i="22"/>
  <c r="X80" i="22"/>
  <c r="AA80" i="22"/>
  <c r="AB80" i="22"/>
  <c r="AC80" i="22"/>
  <c r="AD80" i="22" s="1"/>
  <c r="E81" i="22"/>
  <c r="F81" i="22"/>
  <c r="H81" i="22"/>
  <c r="M81" i="22"/>
  <c r="N81" i="22"/>
  <c r="O81" i="22"/>
  <c r="P81" i="22"/>
  <c r="Q81" i="22"/>
  <c r="R81" i="22"/>
  <c r="S81" i="22"/>
  <c r="T81" i="22"/>
  <c r="U81" i="22"/>
  <c r="V81" i="22"/>
  <c r="W81" i="22"/>
  <c r="X81" i="22"/>
  <c r="AA81" i="22"/>
  <c r="AB81" i="22"/>
  <c r="AC81" i="22"/>
  <c r="AD81" i="22" s="1"/>
  <c r="E82" i="22"/>
  <c r="F82" i="22"/>
  <c r="H82" i="22"/>
  <c r="M82" i="22"/>
  <c r="N82" i="22"/>
  <c r="O82" i="22"/>
  <c r="P82" i="22"/>
  <c r="Q82" i="22"/>
  <c r="R82" i="22"/>
  <c r="S82" i="22"/>
  <c r="T82" i="22"/>
  <c r="U82" i="22"/>
  <c r="V82" i="22"/>
  <c r="W82" i="22"/>
  <c r="X82" i="22"/>
  <c r="AA82" i="22"/>
  <c r="AB82" i="22"/>
  <c r="AC82" i="22"/>
  <c r="AD82" i="22" s="1"/>
  <c r="E83" i="22"/>
  <c r="F83" i="22"/>
  <c r="H83" i="22"/>
  <c r="M83" i="22"/>
  <c r="N83" i="22"/>
  <c r="O83" i="22"/>
  <c r="P83" i="22"/>
  <c r="Q83" i="22"/>
  <c r="R83" i="22"/>
  <c r="S83" i="22"/>
  <c r="T83" i="22"/>
  <c r="U83" i="22"/>
  <c r="V83" i="22"/>
  <c r="W83" i="22"/>
  <c r="X83" i="22"/>
  <c r="AA83" i="22"/>
  <c r="AB83" i="22"/>
  <c r="AC83" i="22"/>
  <c r="AD83" i="22" s="1"/>
  <c r="E84" i="22"/>
  <c r="F84" i="22"/>
  <c r="H84" i="22"/>
  <c r="M84" i="22"/>
  <c r="N84" i="22"/>
  <c r="O84" i="22"/>
  <c r="P84" i="22"/>
  <c r="Q84" i="22"/>
  <c r="R84" i="22"/>
  <c r="S84" i="22"/>
  <c r="T84" i="22"/>
  <c r="U84" i="22"/>
  <c r="V84" i="22"/>
  <c r="W84" i="22"/>
  <c r="X84" i="22"/>
  <c r="AA84" i="22"/>
  <c r="AB84" i="22"/>
  <c r="AC84" i="22"/>
  <c r="AD84" i="22" s="1"/>
  <c r="E85" i="22"/>
  <c r="F85" i="22"/>
  <c r="H85" i="22"/>
  <c r="M85" i="22"/>
  <c r="N85" i="22"/>
  <c r="O85" i="22"/>
  <c r="P85" i="22"/>
  <c r="Q85" i="22"/>
  <c r="R85" i="22"/>
  <c r="S85" i="22"/>
  <c r="T85" i="22"/>
  <c r="U85" i="22"/>
  <c r="V85" i="22"/>
  <c r="W85" i="22"/>
  <c r="X85" i="22"/>
  <c r="AA85" i="22"/>
  <c r="AB85" i="22"/>
  <c r="AC85" i="22"/>
  <c r="AD85" i="22" s="1"/>
  <c r="E86" i="22"/>
  <c r="F86" i="22"/>
  <c r="H86" i="22"/>
  <c r="M86" i="22"/>
  <c r="N86" i="22"/>
  <c r="O86" i="22"/>
  <c r="P86" i="22"/>
  <c r="Q86" i="22"/>
  <c r="R86" i="22"/>
  <c r="S86" i="22"/>
  <c r="T86" i="22"/>
  <c r="U86" i="22"/>
  <c r="V86" i="22"/>
  <c r="W86" i="22"/>
  <c r="X86" i="22"/>
  <c r="AA86" i="22"/>
  <c r="AB86" i="22"/>
  <c r="AC86" i="22"/>
  <c r="AD86" i="22" s="1"/>
  <c r="E87" i="22"/>
  <c r="F87" i="22"/>
  <c r="H87" i="22"/>
  <c r="M87" i="22"/>
  <c r="N87" i="22"/>
  <c r="O87" i="22"/>
  <c r="P87" i="22"/>
  <c r="Q87" i="22"/>
  <c r="R87" i="22"/>
  <c r="S87" i="22"/>
  <c r="T87" i="22"/>
  <c r="U87" i="22"/>
  <c r="V87" i="22"/>
  <c r="W87" i="22"/>
  <c r="X87" i="22"/>
  <c r="AA87" i="22"/>
  <c r="AB87" i="22"/>
  <c r="AC87" i="22"/>
  <c r="AD87" i="22" s="1"/>
  <c r="E88" i="22"/>
  <c r="F88" i="22"/>
  <c r="H88" i="22"/>
  <c r="M88" i="22"/>
  <c r="N88" i="22"/>
  <c r="O88" i="22"/>
  <c r="P88" i="22"/>
  <c r="Q88" i="22"/>
  <c r="R88" i="22"/>
  <c r="S88" i="22"/>
  <c r="T88" i="22"/>
  <c r="U88" i="22"/>
  <c r="V88" i="22"/>
  <c r="W88" i="22"/>
  <c r="X88" i="22"/>
  <c r="AA88" i="22"/>
  <c r="AB88" i="22"/>
  <c r="AC88" i="22"/>
  <c r="AD88" i="22" s="1"/>
  <c r="E89" i="22"/>
  <c r="F89" i="22"/>
  <c r="H89" i="22"/>
  <c r="M89" i="22"/>
  <c r="N89" i="22"/>
  <c r="O89" i="22"/>
  <c r="P89" i="22"/>
  <c r="Q89" i="22"/>
  <c r="R89" i="22"/>
  <c r="S89" i="22"/>
  <c r="T89" i="22"/>
  <c r="U89" i="22"/>
  <c r="V89" i="22"/>
  <c r="W89" i="22"/>
  <c r="X89" i="22"/>
  <c r="AA89" i="22"/>
  <c r="AB89" i="22"/>
  <c r="AC89" i="22"/>
  <c r="AD89" i="22" s="1"/>
  <c r="E4" i="22"/>
  <c r="F4" i="22"/>
  <c r="H4" i="22"/>
  <c r="M4" i="22"/>
  <c r="N4" i="22"/>
  <c r="O4" i="22"/>
  <c r="P4" i="22"/>
  <c r="Q4" i="22"/>
  <c r="R4" i="22"/>
  <c r="S4" i="22"/>
  <c r="T4" i="22"/>
  <c r="U4" i="22"/>
  <c r="V4" i="22"/>
  <c r="W4" i="22"/>
  <c r="X4" i="22"/>
  <c r="E5" i="22"/>
  <c r="F5" i="22"/>
  <c r="H5" i="22"/>
  <c r="M5" i="22"/>
  <c r="N5" i="22"/>
  <c r="O5" i="22"/>
  <c r="P5" i="22"/>
  <c r="Q5" i="22"/>
  <c r="R5" i="22"/>
  <c r="S5" i="22"/>
  <c r="T5" i="22"/>
  <c r="U5" i="22"/>
  <c r="V5" i="22"/>
  <c r="W5" i="22"/>
  <c r="X5" i="22"/>
  <c r="E6" i="22"/>
  <c r="F6" i="22"/>
  <c r="H6" i="22"/>
  <c r="M6" i="22"/>
  <c r="N6" i="22"/>
  <c r="O6" i="22"/>
  <c r="P6" i="22"/>
  <c r="Q6" i="22"/>
  <c r="R6" i="22"/>
  <c r="S6" i="22"/>
  <c r="T6" i="22"/>
  <c r="U6" i="22"/>
  <c r="V6" i="22"/>
  <c r="W6" i="22"/>
  <c r="X6" i="22"/>
  <c r="E7" i="22"/>
  <c r="F7" i="22"/>
  <c r="H7" i="22"/>
  <c r="M7" i="22"/>
  <c r="N7" i="22"/>
  <c r="O7" i="22"/>
  <c r="P7" i="22"/>
  <c r="Q7" i="22"/>
  <c r="R7" i="22"/>
  <c r="S7" i="22"/>
  <c r="T7" i="22"/>
  <c r="U7" i="22"/>
  <c r="V7" i="22"/>
  <c r="W7" i="22"/>
  <c r="X7" i="22"/>
  <c r="E8" i="22"/>
  <c r="F8" i="22"/>
  <c r="H8" i="22"/>
  <c r="M8" i="22"/>
  <c r="N8" i="22"/>
  <c r="O8" i="22"/>
  <c r="P8" i="22"/>
  <c r="Q8" i="22"/>
  <c r="R8" i="22"/>
  <c r="S8" i="22"/>
  <c r="T8" i="22"/>
  <c r="U8" i="22"/>
  <c r="V8" i="22"/>
  <c r="W8" i="22"/>
  <c r="X8" i="22"/>
  <c r="E9" i="22"/>
  <c r="F9" i="22"/>
  <c r="H9" i="22"/>
  <c r="M9" i="22"/>
  <c r="N9" i="22"/>
  <c r="O9" i="22"/>
  <c r="P9" i="22"/>
  <c r="Q9" i="22"/>
  <c r="R9" i="22"/>
  <c r="S9" i="22"/>
  <c r="T9" i="22"/>
  <c r="U9" i="22"/>
  <c r="V9" i="22"/>
  <c r="W9" i="22"/>
  <c r="X9" i="22"/>
  <c r="E10" i="22"/>
  <c r="F10" i="22"/>
  <c r="H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E11" i="22"/>
  <c r="F11" i="22"/>
  <c r="H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E12" i="22"/>
  <c r="F12" i="22"/>
  <c r="H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E13" i="22"/>
  <c r="F13" i="22"/>
  <c r="H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E14" i="22"/>
  <c r="F14" i="22"/>
  <c r="H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E15" i="22"/>
  <c r="F15" i="22"/>
  <c r="H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E16" i="22"/>
  <c r="F16" i="22"/>
  <c r="H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E17" i="22"/>
  <c r="F17" i="22"/>
  <c r="H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E18" i="22"/>
  <c r="F18" i="22"/>
  <c r="H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E19" i="22"/>
  <c r="F19" i="22"/>
  <c r="H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E20" i="22"/>
  <c r="F20" i="22"/>
  <c r="H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E21" i="22"/>
  <c r="F21" i="22"/>
  <c r="H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E22" i="22"/>
  <c r="F22" i="22"/>
  <c r="H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E23" i="22"/>
  <c r="F23" i="22"/>
  <c r="H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E24" i="22"/>
  <c r="F24" i="22"/>
  <c r="H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E25" i="22"/>
  <c r="F25" i="22"/>
  <c r="H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E26" i="22"/>
  <c r="F26" i="22"/>
  <c r="H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E27" i="22"/>
  <c r="F27" i="22"/>
  <c r="H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E28" i="22"/>
  <c r="F28" i="22"/>
  <c r="H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E29" i="22"/>
  <c r="F29" i="22"/>
  <c r="H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E30" i="22"/>
  <c r="F30" i="22"/>
  <c r="H30" i="22"/>
  <c r="M30" i="22"/>
  <c r="N30" i="22"/>
  <c r="O30" i="22"/>
  <c r="P30" i="22"/>
  <c r="Q30" i="22"/>
  <c r="R30" i="22"/>
  <c r="S30" i="22"/>
  <c r="T30" i="22"/>
  <c r="U30" i="22"/>
  <c r="V30" i="22"/>
  <c r="W30" i="22"/>
  <c r="X30" i="22"/>
  <c r="E31" i="22"/>
  <c r="F31" i="22"/>
  <c r="H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E32" i="22"/>
  <c r="F32" i="22"/>
  <c r="H32" i="22"/>
  <c r="M32" i="22"/>
  <c r="N32" i="22"/>
  <c r="O32" i="22"/>
  <c r="P32" i="22"/>
  <c r="Q32" i="22"/>
  <c r="R32" i="22"/>
  <c r="S32" i="22"/>
  <c r="T32" i="22"/>
  <c r="U32" i="22"/>
  <c r="V32" i="22"/>
  <c r="W32" i="22"/>
  <c r="X32" i="22"/>
  <c r="E33" i="22"/>
  <c r="F33" i="22"/>
  <c r="H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E34" i="22"/>
  <c r="F34" i="22"/>
  <c r="H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E35" i="22"/>
  <c r="F35" i="22"/>
  <c r="H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E36" i="22"/>
  <c r="F36" i="22"/>
  <c r="H36" i="22"/>
  <c r="M36" i="22"/>
  <c r="N36" i="22"/>
  <c r="O36" i="22"/>
  <c r="P36" i="22"/>
  <c r="Q36" i="22"/>
  <c r="R36" i="22"/>
  <c r="S36" i="22"/>
  <c r="T36" i="22"/>
  <c r="U36" i="22"/>
  <c r="V36" i="22"/>
  <c r="W36" i="22"/>
  <c r="X36" i="22"/>
  <c r="E37" i="22"/>
  <c r="F37" i="22"/>
  <c r="H37" i="22"/>
  <c r="M37" i="22"/>
  <c r="N37" i="22"/>
  <c r="O37" i="22"/>
  <c r="P37" i="22"/>
  <c r="Q37" i="22"/>
  <c r="R37" i="22"/>
  <c r="S37" i="22"/>
  <c r="T37" i="22"/>
  <c r="U37" i="22"/>
  <c r="V37" i="22"/>
  <c r="W37" i="22"/>
  <c r="X37" i="22"/>
  <c r="E38" i="22"/>
  <c r="F38" i="22"/>
  <c r="H38" i="22"/>
  <c r="M38" i="22"/>
  <c r="N38" i="22"/>
  <c r="O38" i="22"/>
  <c r="P38" i="22"/>
  <c r="Q38" i="22"/>
  <c r="R38" i="22"/>
  <c r="S38" i="22"/>
  <c r="T38" i="22"/>
  <c r="U38" i="22"/>
  <c r="V38" i="22"/>
  <c r="W38" i="22"/>
  <c r="X38" i="22"/>
  <c r="E39" i="22"/>
  <c r="F39" i="22"/>
  <c r="H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E40" i="22"/>
  <c r="F40" i="22"/>
  <c r="H40" i="22"/>
  <c r="M40" i="22"/>
  <c r="N40" i="22"/>
  <c r="O40" i="22"/>
  <c r="P40" i="22"/>
  <c r="Q40" i="22"/>
  <c r="R40" i="22"/>
  <c r="S40" i="22"/>
  <c r="T40" i="22"/>
  <c r="U40" i="22"/>
  <c r="V40" i="22"/>
  <c r="W40" i="22"/>
  <c r="X40" i="22"/>
  <c r="E41" i="22"/>
  <c r="F41" i="22"/>
  <c r="H41" i="22"/>
  <c r="M41" i="22"/>
  <c r="N41" i="22"/>
  <c r="O41" i="22"/>
  <c r="P41" i="22"/>
  <c r="Q41" i="22"/>
  <c r="R41" i="22"/>
  <c r="S41" i="22"/>
  <c r="T41" i="22"/>
  <c r="U41" i="22"/>
  <c r="V41" i="22"/>
  <c r="W41" i="22"/>
  <c r="X41" i="22"/>
  <c r="E42" i="22"/>
  <c r="F42" i="22"/>
  <c r="H42" i="22"/>
  <c r="M42" i="22"/>
  <c r="N42" i="22"/>
  <c r="O42" i="22"/>
  <c r="P42" i="22"/>
  <c r="Q42" i="22"/>
  <c r="R42" i="22"/>
  <c r="S42" i="22"/>
  <c r="T42" i="22"/>
  <c r="U42" i="22"/>
  <c r="V42" i="22"/>
  <c r="W42" i="22"/>
  <c r="X42" i="22"/>
  <c r="AA42" i="22"/>
  <c r="AB42" i="22"/>
  <c r="AC42" i="22"/>
  <c r="AD42" i="22" s="1"/>
  <c r="B43" i="22"/>
  <c r="C43" i="22"/>
  <c r="D43" i="22"/>
  <c r="E43" i="22"/>
  <c r="F43" i="22"/>
  <c r="G43" i="22"/>
  <c r="H43" i="22"/>
  <c r="I43" i="22"/>
  <c r="J43" i="22"/>
  <c r="K43" i="22"/>
  <c r="L43" i="22"/>
  <c r="M43" i="22"/>
  <c r="N43" i="22"/>
  <c r="O43" i="22"/>
  <c r="P43" i="22"/>
  <c r="Q43" i="22"/>
  <c r="R43" i="22"/>
  <c r="S43" i="22"/>
  <c r="T43" i="22"/>
  <c r="U43" i="22"/>
  <c r="V43" i="22"/>
  <c r="W43" i="22"/>
  <c r="X43" i="22"/>
  <c r="AA43" i="22"/>
  <c r="AB43" i="22"/>
  <c r="AC43" i="22"/>
  <c r="AD43" i="22" s="1"/>
  <c r="AF43" i="22"/>
  <c r="AG43" i="22"/>
  <c r="AH43" i="22"/>
  <c r="AI43" i="22" s="1"/>
  <c r="AJ43" i="22" s="1"/>
  <c r="E44" i="22"/>
  <c r="F44" i="22"/>
  <c r="H44" i="22"/>
  <c r="M44" i="22"/>
  <c r="N44" i="22"/>
  <c r="O44" i="22"/>
  <c r="P44" i="22"/>
  <c r="Q44" i="22"/>
  <c r="R44" i="22"/>
  <c r="S44" i="22"/>
  <c r="T44" i="22"/>
  <c r="U44" i="22"/>
  <c r="V44" i="22"/>
  <c r="W44" i="22"/>
  <c r="X44" i="22"/>
  <c r="AA44" i="22"/>
  <c r="AB44" i="22"/>
  <c r="AC44" i="22"/>
  <c r="AD44" i="22" s="1"/>
  <c r="E45" i="22"/>
  <c r="F45" i="22"/>
  <c r="H45" i="22"/>
  <c r="M45" i="22"/>
  <c r="N45" i="22"/>
  <c r="O45" i="22"/>
  <c r="P45" i="22"/>
  <c r="Q45" i="22"/>
  <c r="R45" i="22"/>
  <c r="S45" i="22"/>
  <c r="T45" i="22"/>
  <c r="U45" i="22"/>
  <c r="V45" i="22"/>
  <c r="W45" i="22"/>
  <c r="X45" i="22"/>
  <c r="AA45" i="22"/>
  <c r="AB45" i="22"/>
  <c r="AC45" i="22"/>
  <c r="AD45" i="22" s="1"/>
  <c r="E46" i="22"/>
  <c r="F46" i="22"/>
  <c r="H46" i="22"/>
  <c r="M46" i="22"/>
  <c r="N46" i="22"/>
  <c r="O46" i="22"/>
  <c r="P46" i="22"/>
  <c r="Q46" i="22"/>
  <c r="R46" i="22"/>
  <c r="S46" i="22"/>
  <c r="T46" i="22"/>
  <c r="U46" i="22"/>
  <c r="V46" i="22"/>
  <c r="W46" i="22"/>
  <c r="X46" i="22"/>
  <c r="AA46" i="22"/>
  <c r="AB46" i="22"/>
  <c r="AC46" i="22"/>
  <c r="AD46" i="22"/>
  <c r="AF198" i="22" l="1"/>
  <c r="AH198" i="22"/>
  <c r="AI198" i="22" s="1"/>
  <c r="AJ198" i="22" s="1"/>
  <c r="AF215" i="22"/>
  <c r="AH215" i="22"/>
  <c r="AI215" i="22" s="1"/>
  <c r="AJ215" i="22" s="1"/>
  <c r="AH97" i="22"/>
  <c r="AI97" i="22" s="1"/>
  <c r="AJ97" i="22" s="1"/>
  <c r="AF190" i="22"/>
  <c r="AH190" i="22"/>
  <c r="AI190" i="22" s="1"/>
  <c r="AJ190" i="22" s="1"/>
  <c r="AF217" i="22"/>
  <c r="AH199" i="22"/>
  <c r="AI199" i="22" s="1"/>
  <c r="AJ199" i="22" s="1"/>
  <c r="I9" i="21" a="1"/>
  <c r="I9" i="21" s="1"/>
  <c r="I7" i="21" a="1"/>
  <c r="I7" i="21" s="1"/>
  <c r="I8" i="21" a="1"/>
  <c r="I8" i="21" s="1"/>
  <c r="AA37" i="22" l="1"/>
  <c r="AA39" i="22"/>
  <c r="AB39" i="22"/>
  <c r="AC39" i="22"/>
  <c r="AB37" i="22"/>
  <c r="AC37" i="22" s="1"/>
  <c r="AB38" i="22"/>
  <c r="AA40" i="22"/>
  <c r="AA38" i="22"/>
  <c r="AB40" i="22"/>
  <c r="AC40" i="22"/>
  <c r="AD40" i="22" s="1"/>
  <c r="AC38" i="22"/>
  <c r="AA41" i="22"/>
  <c r="AB41" i="22"/>
  <c r="AC41" i="22"/>
  <c r="AD41" i="22" s="1"/>
  <c r="K5" i="20"/>
  <c r="I210" i="22" s="1"/>
  <c r="K6" i="20"/>
  <c r="I211" i="22" s="1"/>
  <c r="K7" i="20"/>
  <c r="I212" i="22" s="1"/>
  <c r="K8" i="20"/>
  <c r="I213" i="22" s="1"/>
  <c r="K9" i="20"/>
  <c r="I214" i="22" s="1"/>
  <c r="L7" i="20"/>
  <c r="L212" i="22" s="1"/>
  <c r="L8" i="20"/>
  <c r="L213" i="22" s="1"/>
  <c r="L9" i="20"/>
  <c r="L214" i="22" s="1"/>
  <c r="E6" i="20"/>
  <c r="E7" i="20"/>
  <c r="E8" i="20"/>
  <c r="E9" i="20"/>
  <c r="B9" i="20"/>
  <c r="B10" i="20"/>
  <c r="D9" i="20"/>
  <c r="C214" i="22" s="1"/>
  <c r="D10" i="20"/>
  <c r="C215" i="22" s="1"/>
  <c r="AG215" i="22" s="1"/>
  <c r="G9" i="20"/>
  <c r="I9" i="20"/>
  <c r="G214" i="22" s="1"/>
  <c r="B7" i="20"/>
  <c r="B8" i="20"/>
  <c r="D7" i="20"/>
  <c r="C212" i="22" s="1"/>
  <c r="D8" i="20"/>
  <c r="C213" i="22" s="1"/>
  <c r="G7" i="20"/>
  <c r="G8" i="20"/>
  <c r="I7" i="20"/>
  <c r="G212" i="22" s="1"/>
  <c r="I8" i="20"/>
  <c r="G213" i="22" s="1"/>
  <c r="B11" i="20"/>
  <c r="D11" i="20"/>
  <c r="C216" i="22" s="1"/>
  <c r="AG216" i="22" s="1"/>
  <c r="D214" i="22" l="1"/>
  <c r="AG214" i="22" s="1"/>
  <c r="B214" i="22"/>
  <c r="B213" i="22"/>
  <c r="D213" i="22"/>
  <c r="AG213" i="22" s="1"/>
  <c r="D212" i="22"/>
  <c r="AG212" i="22" s="1"/>
  <c r="B212" i="22"/>
  <c r="D211" i="22"/>
  <c r="B211" i="22"/>
  <c r="F7" i="21"/>
  <c r="J212" i="22" s="1"/>
  <c r="F8" i="21"/>
  <c r="J213" i="22" s="1"/>
  <c r="F9" i="21"/>
  <c r="J214" i="22" s="1"/>
  <c r="AF211" i="22" l="1"/>
  <c r="AF212" i="22"/>
  <c r="AF213" i="22"/>
  <c r="AF214" i="22"/>
  <c r="AD38" i="22"/>
  <c r="AD39" i="22"/>
  <c r="AD37" i="22"/>
  <c r="H8" i="21"/>
  <c r="H7" i="21"/>
  <c r="G9" i="21"/>
  <c r="K214" i="22" s="1"/>
  <c r="H9" i="21"/>
  <c r="G8" i="21"/>
  <c r="K213" i="22" s="1"/>
  <c r="G7" i="21"/>
  <c r="K212" i="22" s="1"/>
  <c r="K45" i="12" l="1"/>
  <c r="I85" i="22" s="1"/>
  <c r="K46" i="12"/>
  <c r="I86" i="22" s="1"/>
  <c r="K47" i="12"/>
  <c r="I87" i="22" s="1"/>
  <c r="K48" i="12"/>
  <c r="I88" i="22" s="1"/>
  <c r="K49" i="12"/>
  <c r="I89" i="22" s="1"/>
  <c r="K50" i="12"/>
  <c r="I90" i="22" s="1"/>
  <c r="K51" i="12"/>
  <c r="I91" i="22" s="1"/>
  <c r="K52" i="12"/>
  <c r="I92" i="22" s="1"/>
  <c r="K53" i="12"/>
  <c r="I93" i="22" s="1"/>
  <c r="K54" i="12"/>
  <c r="I94" i="22" s="1"/>
  <c r="K55" i="12"/>
  <c r="I95" i="22" s="1"/>
  <c r="K56" i="12"/>
  <c r="I96" i="22" s="1"/>
  <c r="I55" i="12"/>
  <c r="G95" i="22" s="1"/>
  <c r="I56" i="12"/>
  <c r="G96" i="22" s="1"/>
  <c r="G55" i="12"/>
  <c r="G56" i="12"/>
  <c r="E55" i="12"/>
  <c r="E56" i="12"/>
  <c r="I49" i="13" a="1"/>
  <c r="I49" i="13" s="1"/>
  <c r="L49" i="12" s="1"/>
  <c r="L89" i="22" s="1"/>
  <c r="I50" i="13" a="1"/>
  <c r="I50" i="13" s="1"/>
  <c r="L50" i="12" s="1"/>
  <c r="L90" i="22" s="1"/>
  <c r="I51" i="13" a="1"/>
  <c r="I51" i="13" s="1"/>
  <c r="L51" i="12" s="1"/>
  <c r="L91" i="22" s="1"/>
  <c r="I52" i="13" a="1"/>
  <c r="I52" i="13" s="1"/>
  <c r="L52" i="12" s="1"/>
  <c r="L92" i="22" s="1"/>
  <c r="I53" i="13" a="1"/>
  <c r="I53" i="13" s="1"/>
  <c r="L53" i="12" s="1"/>
  <c r="L93" i="22" s="1"/>
  <c r="I54" i="13" a="1"/>
  <c r="I54" i="13" s="1"/>
  <c r="L54" i="12" s="1"/>
  <c r="L94" i="22" s="1"/>
  <c r="I55" i="13" a="1"/>
  <c r="I55" i="13" s="1"/>
  <c r="L55" i="12" s="1"/>
  <c r="L95" i="22" s="1"/>
  <c r="I56" i="13" a="1"/>
  <c r="I56" i="13" s="1"/>
  <c r="L56" i="12" s="1"/>
  <c r="L96" i="22" s="1"/>
  <c r="H56" i="13"/>
  <c r="F56" i="13"/>
  <c r="J96" i="22" s="1"/>
  <c r="F49" i="13"/>
  <c r="J89" i="22" s="1"/>
  <c r="F50" i="13"/>
  <c r="J90" i="22" s="1"/>
  <c r="F51" i="13"/>
  <c r="J91" i="22" s="1"/>
  <c r="F52" i="13"/>
  <c r="J92" i="22" s="1"/>
  <c r="F53" i="13"/>
  <c r="J93" i="22" s="1"/>
  <c r="F54" i="13"/>
  <c r="J94" i="22" s="1"/>
  <c r="F55" i="13"/>
  <c r="J95" i="22" s="1"/>
  <c r="D96" i="22" l="1"/>
  <c r="B96" i="22"/>
  <c r="D95" i="22"/>
  <c r="B95" i="22"/>
  <c r="H54" i="13"/>
  <c r="H52" i="13"/>
  <c r="H53" i="13"/>
  <c r="H51" i="13"/>
  <c r="G56" i="13"/>
  <c r="K96" i="22" s="1"/>
  <c r="H50" i="13"/>
  <c r="G55" i="13"/>
  <c r="K95" i="22" s="1"/>
  <c r="H49" i="13"/>
  <c r="G54" i="13"/>
  <c r="K94" i="22" s="1"/>
  <c r="G51" i="13"/>
  <c r="K91" i="22" s="1"/>
  <c r="G50" i="13"/>
  <c r="K90" i="22" s="1"/>
  <c r="H55" i="13"/>
  <c r="G53" i="13"/>
  <c r="K93" i="22" s="1"/>
  <c r="G52" i="13"/>
  <c r="K92" i="22" s="1"/>
  <c r="G49" i="13"/>
  <c r="K89" i="22" s="1"/>
  <c r="K40" i="12"/>
  <c r="I80" i="22" s="1"/>
  <c r="K41" i="12"/>
  <c r="I81" i="22" s="1"/>
  <c r="K42" i="12"/>
  <c r="I82" i="22" s="1"/>
  <c r="K43" i="12"/>
  <c r="I83" i="22" s="1"/>
  <c r="K44" i="12"/>
  <c r="I84" i="22" s="1"/>
  <c r="K36" i="8"/>
  <c r="I36" i="22" s="1"/>
  <c r="K37" i="8"/>
  <c r="I37" i="22" s="1"/>
  <c r="K38" i="8"/>
  <c r="I38" i="22" s="1"/>
  <c r="K39" i="8"/>
  <c r="I39" i="22" s="1"/>
  <c r="K40" i="8"/>
  <c r="I40" i="22" s="1"/>
  <c r="K41" i="8"/>
  <c r="I41" i="22" s="1"/>
  <c r="K42" i="8"/>
  <c r="I42" i="22" s="1"/>
  <c r="I36" i="8"/>
  <c r="G36" i="22" s="1"/>
  <c r="I37" i="8"/>
  <c r="G37" i="22" s="1"/>
  <c r="I38" i="8"/>
  <c r="G38" i="22" s="1"/>
  <c r="I39" i="8"/>
  <c r="G39" i="22" s="1"/>
  <c r="I40" i="8"/>
  <c r="G40" i="22" s="1"/>
  <c r="I41" i="8"/>
  <c r="G41" i="22" s="1"/>
  <c r="I42" i="8"/>
  <c r="G42" i="22" s="1"/>
  <c r="G36" i="8"/>
  <c r="G37" i="8"/>
  <c r="G38" i="8"/>
  <c r="G39" i="8"/>
  <c r="G40" i="8"/>
  <c r="G41" i="8"/>
  <c r="G42" i="8"/>
  <c r="D40" i="8"/>
  <c r="C40" i="22" s="1"/>
  <c r="D41" i="8"/>
  <c r="C41" i="22" s="1"/>
  <c r="D42" i="8"/>
  <c r="C42" i="22" s="1"/>
  <c r="E42" i="8"/>
  <c r="E40" i="8"/>
  <c r="E41" i="8"/>
  <c r="E36" i="8"/>
  <c r="E37" i="8"/>
  <c r="E38" i="8"/>
  <c r="E39" i="8"/>
  <c r="D38" i="8"/>
  <c r="C38" i="22" s="1"/>
  <c r="D39" i="8"/>
  <c r="C39" i="22" s="1"/>
  <c r="D36" i="8"/>
  <c r="C36" i="22" s="1"/>
  <c r="D37" i="8"/>
  <c r="C37" i="22" s="1"/>
  <c r="G30" i="8"/>
  <c r="G31" i="8"/>
  <c r="G32" i="8"/>
  <c r="G33" i="8"/>
  <c r="G34" i="8"/>
  <c r="G35" i="8"/>
  <c r="E31" i="8"/>
  <c r="E32" i="8"/>
  <c r="E33" i="8"/>
  <c r="E34" i="8"/>
  <c r="E35" i="8"/>
  <c r="K30" i="8"/>
  <c r="I30" i="22" s="1"/>
  <c r="K31" i="8"/>
  <c r="I31" i="22" s="1"/>
  <c r="K32" i="8"/>
  <c r="I32" i="22" s="1"/>
  <c r="K33" i="8"/>
  <c r="I33" i="22" s="1"/>
  <c r="K34" i="8"/>
  <c r="I34" i="22" s="1"/>
  <c r="K35" i="8"/>
  <c r="I35" i="22" s="1"/>
  <c r="I30" i="8"/>
  <c r="G30" i="22" s="1"/>
  <c r="E30" i="8"/>
  <c r="I30" i="3" a="1"/>
  <c r="I30" i="3" s="1"/>
  <c r="L30" i="8" s="1"/>
  <c r="L30" i="22" s="1"/>
  <c r="F30" i="3"/>
  <c r="J30" i="22" s="1"/>
  <c r="D30" i="8"/>
  <c r="C30" i="22" s="1"/>
  <c r="AG37" i="22" l="1"/>
  <c r="B30" i="22"/>
  <c r="D30" i="22"/>
  <c r="AG30" i="22" s="1"/>
  <c r="AG38" i="22"/>
  <c r="B36" i="22"/>
  <c r="D36" i="22"/>
  <c r="AG36" i="22" s="1"/>
  <c r="B35" i="22"/>
  <c r="D35" i="22"/>
  <c r="B33" i="22"/>
  <c r="D33" i="22"/>
  <c r="AG42" i="22"/>
  <c r="AF96" i="22"/>
  <c r="B39" i="22"/>
  <c r="D39" i="22"/>
  <c r="AG39" i="22" s="1"/>
  <c r="B38" i="22"/>
  <c r="D38" i="22"/>
  <c r="D37" i="22"/>
  <c r="B37" i="22"/>
  <c r="D41" i="22"/>
  <c r="AG41" i="22" s="1"/>
  <c r="B41" i="22"/>
  <c r="B40" i="22"/>
  <c r="D40" i="22"/>
  <c r="AG40" i="22" s="1"/>
  <c r="B34" i="22"/>
  <c r="D34" i="22"/>
  <c r="B42" i="22"/>
  <c r="D42" i="22"/>
  <c r="D32" i="22"/>
  <c r="B32" i="22"/>
  <c r="D31" i="22"/>
  <c r="B31" i="22"/>
  <c r="AF95" i="22"/>
  <c r="G30" i="3"/>
  <c r="K30" i="22" s="1"/>
  <c r="H30" i="3"/>
  <c r="AF38" i="22" l="1"/>
  <c r="AF39" i="22"/>
  <c r="AF31" i="22"/>
  <c r="AF32" i="22"/>
  <c r="AF33" i="22"/>
  <c r="AF42" i="22"/>
  <c r="AF35" i="22"/>
  <c r="AF34" i="22"/>
  <c r="AF36" i="22"/>
  <c r="AF40" i="22"/>
  <c r="AF41" i="22"/>
  <c r="AF30" i="22"/>
  <c r="AF37" i="22"/>
  <c r="F31" i="3"/>
  <c r="J31" i="22" s="1"/>
  <c r="F32" i="3"/>
  <c r="J32" i="22" s="1"/>
  <c r="F33" i="3"/>
  <c r="J33" i="22" s="1"/>
  <c r="F34" i="3"/>
  <c r="J34" i="22" s="1"/>
  <c r="F35" i="3"/>
  <c r="J35" i="22" s="1"/>
  <c r="F36" i="3"/>
  <c r="J36" i="22" s="1"/>
  <c r="F37" i="3"/>
  <c r="J37" i="22" s="1"/>
  <c r="F38" i="3"/>
  <c r="J38" i="22" s="1"/>
  <c r="F39" i="3"/>
  <c r="J39" i="22" s="1"/>
  <c r="F40" i="3"/>
  <c r="J40" i="22" s="1"/>
  <c r="F41" i="3"/>
  <c r="J41" i="22" s="1"/>
  <c r="F42" i="3"/>
  <c r="J42" i="22" s="1"/>
  <c r="K59" i="15" l="1"/>
  <c r="I153" i="22" s="1"/>
  <c r="K60" i="15"/>
  <c r="I154" i="22" s="1"/>
  <c r="K61" i="15"/>
  <c r="I155" i="22" s="1"/>
  <c r="K62" i="15"/>
  <c r="I156" i="22" s="1"/>
  <c r="K63" i="15"/>
  <c r="I157" i="22" s="1"/>
  <c r="K64" i="15"/>
  <c r="I158" i="22" s="1"/>
  <c r="K65" i="15"/>
  <c r="I159" i="22" s="1"/>
  <c r="K66" i="15"/>
  <c r="I160" i="22" s="1"/>
  <c r="K67" i="15"/>
  <c r="I161" i="22" s="1"/>
  <c r="K68" i="15"/>
  <c r="I162" i="22" s="1"/>
  <c r="K69" i="15"/>
  <c r="I163" i="22" s="1"/>
  <c r="K70" i="15"/>
  <c r="I164" i="22" s="1"/>
  <c r="K71" i="15"/>
  <c r="I165" i="22" s="1"/>
  <c r="K72" i="15"/>
  <c r="I166" i="22" s="1"/>
  <c r="K73" i="15"/>
  <c r="I167" i="22" s="1"/>
  <c r="K74" i="15"/>
  <c r="I168" i="22" s="1"/>
  <c r="K75" i="15"/>
  <c r="I169" i="22" s="1"/>
  <c r="K76" i="15"/>
  <c r="I170" i="22" s="1"/>
  <c r="K77" i="15"/>
  <c r="I171" i="22" s="1"/>
  <c r="K78" i="15"/>
  <c r="I172" i="22" s="1"/>
  <c r="K79" i="15"/>
  <c r="I173" i="22" s="1"/>
  <c r="K80" i="15"/>
  <c r="I174" i="22" s="1"/>
  <c r="K81" i="15"/>
  <c r="I175" i="22" s="1"/>
  <c r="K82" i="15"/>
  <c r="I176" i="22" s="1"/>
  <c r="K83" i="15"/>
  <c r="I177" i="22" s="1"/>
  <c r="K84" i="15"/>
  <c r="I178" i="22" s="1"/>
  <c r="K85" i="15"/>
  <c r="I179" i="22" s="1"/>
  <c r="K86" i="15"/>
  <c r="I180" i="22" s="1"/>
  <c r="K87" i="15"/>
  <c r="I181" i="22" s="1"/>
  <c r="K88" i="15"/>
  <c r="I182" i="22" s="1"/>
  <c r="K89" i="15"/>
  <c r="I183" i="22" s="1"/>
  <c r="K90" i="15"/>
  <c r="I184" i="22" s="1"/>
  <c r="K91" i="15"/>
  <c r="I185" i="22" s="1"/>
  <c r="K92" i="15"/>
  <c r="I186" i="22" s="1"/>
  <c r="K93" i="15"/>
  <c r="I187" i="22" s="1"/>
  <c r="K94" i="15"/>
  <c r="I188" i="22" s="1"/>
  <c r="K95" i="15"/>
  <c r="I189" i="22" s="1"/>
  <c r="K52" i="15" l="1"/>
  <c r="I146" i="22" s="1"/>
  <c r="K53" i="15"/>
  <c r="I147" i="22" s="1"/>
  <c r="K54" i="15"/>
  <c r="I148" i="22" s="1"/>
  <c r="K55" i="15"/>
  <c r="I149" i="22" s="1"/>
  <c r="K56" i="15"/>
  <c r="I150" i="22" s="1"/>
  <c r="K57" i="15"/>
  <c r="I151" i="22" s="1"/>
  <c r="K58" i="15"/>
  <c r="I152" i="22" s="1"/>
  <c r="I4" i="15" l="1"/>
  <c r="G98" i="22" s="1"/>
  <c r="I5" i="15"/>
  <c r="G99" i="22" s="1"/>
  <c r="I6" i="15"/>
  <c r="G100" i="22" s="1"/>
  <c r="I7" i="15"/>
  <c r="G101" i="22" s="1"/>
  <c r="I8" i="15"/>
  <c r="G102" i="22" s="1"/>
  <c r="I9" i="15"/>
  <c r="G103" i="22" s="1"/>
  <c r="I10" i="15"/>
  <c r="G104" i="22" s="1"/>
  <c r="I11" i="15"/>
  <c r="G105" i="22" s="1"/>
  <c r="I12" i="15"/>
  <c r="G106" i="22" s="1"/>
  <c r="I13" i="15"/>
  <c r="G107" i="22" s="1"/>
  <c r="I14" i="15"/>
  <c r="G108" i="22" s="1"/>
  <c r="I15" i="15"/>
  <c r="G109" i="22" s="1"/>
  <c r="I16" i="15"/>
  <c r="G110" i="22" s="1"/>
  <c r="I17" i="15"/>
  <c r="G111" i="22" s="1"/>
  <c r="I18" i="15"/>
  <c r="G112" i="22" s="1"/>
  <c r="I19" i="15"/>
  <c r="G113" i="22" s="1"/>
  <c r="I20" i="15"/>
  <c r="G114" i="22" s="1"/>
  <c r="I21" i="15"/>
  <c r="G115" i="22" s="1"/>
  <c r="I22" i="15"/>
  <c r="G116" i="22" s="1"/>
  <c r="I23" i="15"/>
  <c r="G117" i="22" s="1"/>
  <c r="I24" i="15"/>
  <c r="G118" i="22" s="1"/>
  <c r="I25" i="15"/>
  <c r="G119" i="22" s="1"/>
  <c r="I26" i="15"/>
  <c r="G120" i="22" s="1"/>
  <c r="I27" i="15"/>
  <c r="G121" i="22" s="1"/>
  <c r="I28" i="15"/>
  <c r="G122" i="22" s="1"/>
  <c r="I29" i="15"/>
  <c r="G123" i="22" s="1"/>
  <c r="I30" i="15"/>
  <c r="G124" i="22" s="1"/>
  <c r="I31" i="15"/>
  <c r="G125" i="22" s="1"/>
  <c r="I32" i="15"/>
  <c r="G126" i="22" s="1"/>
  <c r="I33" i="15"/>
  <c r="G127" i="22" s="1"/>
  <c r="I34" i="15"/>
  <c r="G128" i="22" s="1"/>
  <c r="I35" i="15"/>
  <c r="G129" i="22" s="1"/>
  <c r="I36" i="15"/>
  <c r="G130" i="22" s="1"/>
  <c r="I37" i="15"/>
  <c r="G131" i="22" s="1"/>
  <c r="I38" i="15"/>
  <c r="G132" i="22" s="1"/>
  <c r="I39" i="15"/>
  <c r="G133" i="22" s="1"/>
  <c r="I40" i="15"/>
  <c r="G134" i="22" s="1"/>
  <c r="I41" i="15"/>
  <c r="G135" i="22" s="1"/>
  <c r="I42" i="15"/>
  <c r="G136" i="22" s="1"/>
  <c r="I43" i="15"/>
  <c r="G137" i="22" s="1"/>
  <c r="I44" i="15"/>
  <c r="G138" i="22" s="1"/>
  <c r="I45" i="15"/>
  <c r="G139" i="22" s="1"/>
  <c r="I46" i="15"/>
  <c r="G140" i="22" s="1"/>
  <c r="I47" i="15"/>
  <c r="G141" i="22" s="1"/>
  <c r="I48" i="15"/>
  <c r="G142" i="22" s="1"/>
  <c r="I49" i="15"/>
  <c r="G143" i="22" s="1"/>
  <c r="I50" i="15"/>
  <c r="G144" i="22" s="1"/>
  <c r="I51" i="15"/>
  <c r="G145" i="22" s="1"/>
  <c r="I52" i="15"/>
  <c r="G146" i="22" s="1"/>
  <c r="I53" i="15"/>
  <c r="G147" i="22" s="1"/>
  <c r="I54" i="15"/>
  <c r="G148" i="22" s="1"/>
  <c r="I55" i="15"/>
  <c r="G149" i="22" s="1"/>
  <c r="I56" i="15"/>
  <c r="G150" i="22" s="1"/>
  <c r="I57" i="15"/>
  <c r="G151" i="22" s="1"/>
  <c r="I58" i="15"/>
  <c r="G152" i="22" s="1"/>
  <c r="I59" i="15"/>
  <c r="G153" i="22" s="1"/>
  <c r="I60" i="15"/>
  <c r="G154" i="22" s="1"/>
  <c r="I61" i="15"/>
  <c r="G155" i="22" s="1"/>
  <c r="I62" i="15"/>
  <c r="G156" i="22" s="1"/>
  <c r="I63" i="15"/>
  <c r="G157" i="22" s="1"/>
  <c r="I64" i="15"/>
  <c r="G158" i="22" s="1"/>
  <c r="I65" i="15"/>
  <c r="G159" i="22" s="1"/>
  <c r="I66" i="15"/>
  <c r="G160" i="22" s="1"/>
  <c r="I67" i="15"/>
  <c r="G161" i="22" s="1"/>
  <c r="I68" i="15"/>
  <c r="G162" i="22" s="1"/>
  <c r="I69" i="15"/>
  <c r="G163" i="22" s="1"/>
  <c r="I70" i="15"/>
  <c r="G164" i="22" s="1"/>
  <c r="I71" i="15"/>
  <c r="G165" i="22" s="1"/>
  <c r="I72" i="15"/>
  <c r="G166" i="22" s="1"/>
  <c r="I73" i="15"/>
  <c r="G167" i="22" s="1"/>
  <c r="I74" i="15"/>
  <c r="G168" i="22" s="1"/>
  <c r="I75" i="15"/>
  <c r="G169" i="22" s="1"/>
  <c r="I76" i="15"/>
  <c r="G170" i="22" s="1"/>
  <c r="I77" i="15"/>
  <c r="G171" i="22" s="1"/>
  <c r="I78" i="15"/>
  <c r="G172" i="22" s="1"/>
  <c r="I79" i="15"/>
  <c r="G173" i="22" s="1"/>
  <c r="I80" i="15"/>
  <c r="G174" i="22" s="1"/>
  <c r="I81" i="15"/>
  <c r="G175" i="22" s="1"/>
  <c r="I82" i="15"/>
  <c r="G176" i="22" s="1"/>
  <c r="I83" i="15"/>
  <c r="G177" i="22" s="1"/>
  <c r="I84" i="15"/>
  <c r="G178" i="22" s="1"/>
  <c r="I85" i="15"/>
  <c r="G179" i="22" s="1"/>
  <c r="I86" i="15"/>
  <c r="G180" i="22" s="1"/>
  <c r="I87" i="15"/>
  <c r="G181" i="22" s="1"/>
  <c r="I88" i="15"/>
  <c r="G182" i="22" s="1"/>
  <c r="I89" i="15"/>
  <c r="G183" i="22" s="1"/>
  <c r="I90" i="15"/>
  <c r="G184" i="22" s="1"/>
  <c r="I91" i="15"/>
  <c r="G185" i="22" s="1"/>
  <c r="I92" i="15"/>
  <c r="G186" i="22" s="1"/>
  <c r="I93" i="15"/>
  <c r="G187" i="22" s="1"/>
  <c r="I94" i="15"/>
  <c r="G188" i="22" s="1"/>
  <c r="I95" i="15"/>
  <c r="G189" i="22" s="1"/>
  <c r="I96" i="15"/>
  <c r="G190" i="22" s="1"/>
  <c r="G79" i="15" l="1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I85" i="14" a="1"/>
  <c r="I85" i="14" s="1"/>
  <c r="L85" i="15" s="1"/>
  <c r="L179" i="22" s="1"/>
  <c r="I86" i="14" a="1"/>
  <c r="I86" i="14" s="1"/>
  <c r="L86" i="15" s="1"/>
  <c r="L180" i="22" s="1"/>
  <c r="I87" i="14" a="1"/>
  <c r="I87" i="14" s="1"/>
  <c r="L87" i="15" s="1"/>
  <c r="L181" i="22" s="1"/>
  <c r="I88" i="14" a="1"/>
  <c r="I88" i="14" s="1"/>
  <c r="L88" i="15" s="1"/>
  <c r="L182" i="22" s="1"/>
  <c r="I89" i="14" a="1"/>
  <c r="I89" i="14" s="1"/>
  <c r="L89" i="15" s="1"/>
  <c r="L183" i="22" s="1"/>
  <c r="I90" i="14" a="1"/>
  <c r="I90" i="14" s="1"/>
  <c r="L90" i="15" s="1"/>
  <c r="L184" i="22" s="1"/>
  <c r="I91" i="14" a="1"/>
  <c r="I91" i="14" s="1"/>
  <c r="L91" i="15" s="1"/>
  <c r="L185" i="22" s="1"/>
  <c r="I92" i="14" a="1"/>
  <c r="I92" i="14" s="1"/>
  <c r="L92" i="15" s="1"/>
  <c r="L186" i="22" s="1"/>
  <c r="I93" i="14" a="1"/>
  <c r="I93" i="14" s="1"/>
  <c r="L93" i="15" s="1"/>
  <c r="L187" i="22" s="1"/>
  <c r="I94" i="14" a="1"/>
  <c r="I94" i="14" s="1"/>
  <c r="L94" i="15" s="1"/>
  <c r="L188" i="22" s="1"/>
  <c r="I95" i="14" a="1"/>
  <c r="I95" i="14" s="1"/>
  <c r="L95" i="15" s="1"/>
  <c r="L189" i="22" s="1"/>
  <c r="F85" i="14"/>
  <c r="F86" i="14"/>
  <c r="F87" i="14"/>
  <c r="J181" i="22" s="1"/>
  <c r="F88" i="14"/>
  <c r="J182" i="22" s="1"/>
  <c r="F89" i="14"/>
  <c r="J183" i="22" s="1"/>
  <c r="F90" i="14"/>
  <c r="J184" i="22" s="1"/>
  <c r="F91" i="14"/>
  <c r="J185" i="22" s="1"/>
  <c r="F92" i="14"/>
  <c r="J186" i="22" s="1"/>
  <c r="F93" i="14"/>
  <c r="J187" i="22" s="1"/>
  <c r="F94" i="14"/>
  <c r="J188" i="22" s="1"/>
  <c r="F95" i="14"/>
  <c r="J189" i="22" s="1"/>
  <c r="G85" i="14" l="1"/>
  <c r="K179" i="22" s="1"/>
  <c r="J179" i="22"/>
  <c r="G95" i="14"/>
  <c r="K189" i="22" s="1"/>
  <c r="G94" i="14"/>
  <c r="K188" i="22" s="1"/>
  <c r="G93" i="14"/>
  <c r="K187" i="22" s="1"/>
  <c r="G92" i="14"/>
  <c r="K186" i="22" s="1"/>
  <c r="G91" i="14"/>
  <c r="K185" i="22" s="1"/>
  <c r="G90" i="14"/>
  <c r="K184" i="22" s="1"/>
  <c r="G86" i="14"/>
  <c r="K180" i="22" s="1"/>
  <c r="J180" i="22"/>
  <c r="G89" i="14"/>
  <c r="K183" i="22" s="1"/>
  <c r="G87" i="14"/>
  <c r="K181" i="22" s="1"/>
  <c r="H95" i="14"/>
  <c r="H92" i="14"/>
  <c r="H93" i="14"/>
  <c r="H90" i="14"/>
  <c r="H86" i="14"/>
  <c r="H85" i="14"/>
  <c r="H94" i="14"/>
  <c r="H91" i="14"/>
  <c r="H89" i="14"/>
  <c r="G88" i="14"/>
  <c r="K182" i="22" s="1"/>
  <c r="H88" i="14"/>
  <c r="H87" i="14"/>
  <c r="I58" i="14" a="1"/>
  <c r="I58" i="14" s="1"/>
  <c r="L58" i="15" s="1"/>
  <c r="L152" i="22" s="1"/>
  <c r="I59" i="14" a="1"/>
  <c r="I59" i="14" s="1"/>
  <c r="L59" i="15" s="1"/>
  <c r="L153" i="22" s="1"/>
  <c r="I60" i="14" a="1"/>
  <c r="I60" i="14" s="1"/>
  <c r="L60" i="15" s="1"/>
  <c r="L154" i="22" s="1"/>
  <c r="I61" i="14" a="1"/>
  <c r="I61" i="14" s="1"/>
  <c r="L61" i="15" s="1"/>
  <c r="L155" i="22" s="1"/>
  <c r="I62" i="14" a="1"/>
  <c r="I62" i="14" s="1"/>
  <c r="L62" i="15" s="1"/>
  <c r="L156" i="22" s="1"/>
  <c r="I63" i="14" a="1"/>
  <c r="I63" i="14" s="1"/>
  <c r="L63" i="15" s="1"/>
  <c r="L157" i="22" s="1"/>
  <c r="I64" i="14" a="1"/>
  <c r="I64" i="14" s="1"/>
  <c r="L64" i="15" s="1"/>
  <c r="L158" i="22" s="1"/>
  <c r="I65" i="14" a="1"/>
  <c r="I65" i="14" s="1"/>
  <c r="L65" i="15" s="1"/>
  <c r="L159" i="22" s="1"/>
  <c r="I66" i="14" a="1"/>
  <c r="I66" i="14" s="1"/>
  <c r="L66" i="15" s="1"/>
  <c r="L160" i="22" s="1"/>
  <c r="I67" i="14" a="1"/>
  <c r="I67" i="14" s="1"/>
  <c r="L67" i="15" s="1"/>
  <c r="L161" i="22" s="1"/>
  <c r="I68" i="14" a="1"/>
  <c r="I68" i="14" s="1"/>
  <c r="L68" i="15" s="1"/>
  <c r="L162" i="22" s="1"/>
  <c r="I69" i="14" a="1"/>
  <c r="I69" i="14" s="1"/>
  <c r="L69" i="15" s="1"/>
  <c r="L163" i="22" s="1"/>
  <c r="I70" i="14" a="1"/>
  <c r="I70" i="14" s="1"/>
  <c r="L70" i="15" s="1"/>
  <c r="L164" i="22" s="1"/>
  <c r="I71" i="14" a="1"/>
  <c r="I71" i="14" s="1"/>
  <c r="L71" i="15" s="1"/>
  <c r="L165" i="22" s="1"/>
  <c r="I72" i="14" a="1"/>
  <c r="I72" i="14" s="1"/>
  <c r="L72" i="15" s="1"/>
  <c r="L166" i="22" s="1"/>
  <c r="I73" i="14" a="1"/>
  <c r="I73" i="14" s="1"/>
  <c r="L73" i="15" s="1"/>
  <c r="L167" i="22" s="1"/>
  <c r="I74" i="14" a="1"/>
  <c r="I74" i="14" s="1"/>
  <c r="L74" i="15" s="1"/>
  <c r="L168" i="22" s="1"/>
  <c r="I75" i="14" a="1"/>
  <c r="I75" i="14" s="1"/>
  <c r="L75" i="15" s="1"/>
  <c r="L169" i="22" s="1"/>
  <c r="I76" i="14" a="1"/>
  <c r="I76" i="14" s="1"/>
  <c r="L76" i="15" s="1"/>
  <c r="L170" i="22" s="1"/>
  <c r="I77" i="14" a="1"/>
  <c r="I77" i="14" s="1"/>
  <c r="L77" i="15" s="1"/>
  <c r="L171" i="22" s="1"/>
  <c r="I78" i="14" a="1"/>
  <c r="I78" i="14" s="1"/>
  <c r="L78" i="15" s="1"/>
  <c r="L172" i="22" s="1"/>
  <c r="I79" i="14" a="1"/>
  <c r="I79" i="14" s="1"/>
  <c r="L79" i="15" s="1"/>
  <c r="L173" i="22" s="1"/>
  <c r="I80" i="14" a="1"/>
  <c r="I80" i="14" s="1"/>
  <c r="L80" i="15" s="1"/>
  <c r="L174" i="22" s="1"/>
  <c r="I81" i="14" a="1"/>
  <c r="I81" i="14" s="1"/>
  <c r="L81" i="15" s="1"/>
  <c r="L175" i="22" s="1"/>
  <c r="I82" i="14" a="1"/>
  <c r="I82" i="14" s="1"/>
  <c r="L82" i="15" s="1"/>
  <c r="L176" i="22" s="1"/>
  <c r="I83" i="14" a="1"/>
  <c r="I83" i="14" s="1"/>
  <c r="L83" i="15" s="1"/>
  <c r="L177" i="22" s="1"/>
  <c r="I84" i="14" a="1"/>
  <c r="I84" i="14" s="1"/>
  <c r="L84" i="15" s="1"/>
  <c r="L178" i="22" s="1"/>
  <c r="F35" i="14"/>
  <c r="J129" i="22" s="1"/>
  <c r="F36" i="14"/>
  <c r="J130" i="22" s="1"/>
  <c r="F37" i="14"/>
  <c r="J131" i="22" s="1"/>
  <c r="F38" i="14"/>
  <c r="J132" i="22" s="1"/>
  <c r="F39" i="14"/>
  <c r="J133" i="22" s="1"/>
  <c r="F40" i="14"/>
  <c r="J134" i="22" s="1"/>
  <c r="F41" i="14"/>
  <c r="J135" i="22" s="1"/>
  <c r="F42" i="14"/>
  <c r="J136" i="22" s="1"/>
  <c r="F43" i="14"/>
  <c r="J137" i="22" s="1"/>
  <c r="F44" i="14"/>
  <c r="J138" i="22" s="1"/>
  <c r="F45" i="14"/>
  <c r="J139" i="22" s="1"/>
  <c r="F46" i="14"/>
  <c r="J140" i="22" s="1"/>
  <c r="F47" i="14"/>
  <c r="J141" i="22" s="1"/>
  <c r="F48" i="14"/>
  <c r="J142" i="22" s="1"/>
  <c r="F49" i="14"/>
  <c r="J143" i="22" s="1"/>
  <c r="F50" i="14"/>
  <c r="J144" i="22" s="1"/>
  <c r="F51" i="14"/>
  <c r="J145" i="22" s="1"/>
  <c r="F52" i="14"/>
  <c r="J146" i="22" s="1"/>
  <c r="F53" i="14"/>
  <c r="J147" i="22" s="1"/>
  <c r="F54" i="14"/>
  <c r="J148" i="22" s="1"/>
  <c r="F55" i="14"/>
  <c r="J149" i="22" s="1"/>
  <c r="F56" i="14"/>
  <c r="J150" i="22" s="1"/>
  <c r="F57" i="14"/>
  <c r="J151" i="22" s="1"/>
  <c r="F58" i="14"/>
  <c r="F59" i="14"/>
  <c r="J153" i="22" s="1"/>
  <c r="F60" i="14"/>
  <c r="J154" i="22" s="1"/>
  <c r="F61" i="14"/>
  <c r="J155" i="22" s="1"/>
  <c r="F62" i="14"/>
  <c r="J156" i="22" s="1"/>
  <c r="F63" i="14"/>
  <c r="J157" i="22" s="1"/>
  <c r="F64" i="14"/>
  <c r="J158" i="22" s="1"/>
  <c r="F65" i="14"/>
  <c r="F66" i="14"/>
  <c r="F67" i="14"/>
  <c r="J161" i="22" s="1"/>
  <c r="F68" i="14"/>
  <c r="J162" i="22" s="1"/>
  <c r="F69" i="14"/>
  <c r="J163" i="22" s="1"/>
  <c r="F70" i="14"/>
  <c r="F71" i="14"/>
  <c r="J165" i="22" s="1"/>
  <c r="F72" i="14"/>
  <c r="J166" i="22" s="1"/>
  <c r="F73" i="14"/>
  <c r="J167" i="22" s="1"/>
  <c r="F74" i="14"/>
  <c r="J168" i="22" s="1"/>
  <c r="F75" i="14"/>
  <c r="J169" i="22" s="1"/>
  <c r="F76" i="14"/>
  <c r="J170" i="22" s="1"/>
  <c r="F77" i="14"/>
  <c r="J171" i="22" s="1"/>
  <c r="F78" i="14"/>
  <c r="J172" i="22" s="1"/>
  <c r="F79" i="14"/>
  <c r="J173" i="22" s="1"/>
  <c r="F80" i="14"/>
  <c r="F81" i="14"/>
  <c r="J175" i="22" s="1"/>
  <c r="F82" i="14"/>
  <c r="J176" i="22" s="1"/>
  <c r="F83" i="14"/>
  <c r="J177" i="22" s="1"/>
  <c r="F84" i="14"/>
  <c r="J178" i="22" s="1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D96" i="15"/>
  <c r="C190" i="22" s="1"/>
  <c r="AG190" i="22" s="1"/>
  <c r="E95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D178" i="22" l="1"/>
  <c r="B178" i="22"/>
  <c r="G80" i="14"/>
  <c r="K174" i="22" s="1"/>
  <c r="J174" i="22"/>
  <c r="B176" i="22"/>
  <c r="D176" i="22"/>
  <c r="D173" i="22"/>
  <c r="B173" i="22"/>
  <c r="B172" i="22"/>
  <c r="D172" i="22"/>
  <c r="B175" i="22"/>
  <c r="D175" i="22"/>
  <c r="G58" i="14"/>
  <c r="K152" i="22" s="1"/>
  <c r="J152" i="22"/>
  <c r="D174" i="22"/>
  <c r="B174" i="22"/>
  <c r="B171" i="22"/>
  <c r="D171" i="22"/>
  <c r="G67" i="14"/>
  <c r="K161" i="22" s="1"/>
  <c r="B170" i="22"/>
  <c r="D170" i="22"/>
  <c r="G64" i="14"/>
  <c r="K158" i="22" s="1"/>
  <c r="B169" i="22"/>
  <c r="D169" i="22"/>
  <c r="G70" i="14"/>
  <c r="K164" i="22" s="1"/>
  <c r="J164" i="22"/>
  <c r="B186" i="22"/>
  <c r="D186" i="22"/>
  <c r="D177" i="22"/>
  <c r="B177" i="22"/>
  <c r="B166" i="22"/>
  <c r="D166" i="22"/>
  <c r="D185" i="22"/>
  <c r="B185" i="22"/>
  <c r="D165" i="22"/>
  <c r="B165" i="22"/>
  <c r="D188" i="22"/>
  <c r="B188" i="22"/>
  <c r="B187" i="22"/>
  <c r="D187" i="22"/>
  <c r="D164" i="22"/>
  <c r="B164" i="22"/>
  <c r="D182" i="22"/>
  <c r="B182" i="22"/>
  <c r="G65" i="14"/>
  <c r="K159" i="22" s="1"/>
  <c r="J159" i="22"/>
  <c r="B168" i="22"/>
  <c r="D168" i="22"/>
  <c r="G66" i="14"/>
  <c r="K160" i="22" s="1"/>
  <c r="J160" i="22"/>
  <c r="B181" i="22"/>
  <c r="D181" i="22"/>
  <c r="D167" i="22"/>
  <c r="B167" i="22"/>
  <c r="B184" i="22"/>
  <c r="D184" i="22"/>
  <c r="B180" i="22"/>
  <c r="D180" i="22"/>
  <c r="B183" i="22"/>
  <c r="D183" i="22"/>
  <c r="B189" i="22"/>
  <c r="D189" i="22"/>
  <c r="B179" i="22"/>
  <c r="D179" i="22"/>
  <c r="H64" i="14"/>
  <c r="H83" i="14"/>
  <c r="H63" i="14"/>
  <c r="H43" i="14"/>
  <c r="H62" i="14"/>
  <c r="H84" i="14"/>
  <c r="H44" i="14"/>
  <c r="H82" i="14"/>
  <c r="H42" i="14"/>
  <c r="G63" i="14"/>
  <c r="K157" i="22" s="1"/>
  <c r="H61" i="14"/>
  <c r="G62" i="14"/>
  <c r="K156" i="22" s="1"/>
  <c r="H37" i="14"/>
  <c r="G76" i="14"/>
  <c r="K170" i="22" s="1"/>
  <c r="H76" i="14"/>
  <c r="H56" i="14"/>
  <c r="H36" i="14"/>
  <c r="H73" i="14"/>
  <c r="H53" i="14"/>
  <c r="G83" i="14"/>
  <c r="K177" i="22" s="1"/>
  <c r="H65" i="14"/>
  <c r="H45" i="14"/>
  <c r="H39" i="14"/>
  <c r="G77" i="14"/>
  <c r="K171" i="22" s="1"/>
  <c r="H77" i="14"/>
  <c r="H57" i="14"/>
  <c r="H72" i="14"/>
  <c r="G82" i="14"/>
  <c r="K176" i="22" s="1"/>
  <c r="G69" i="14"/>
  <c r="K163" i="22" s="1"/>
  <c r="H69" i="14"/>
  <c r="H66" i="14"/>
  <c r="G81" i="14"/>
  <c r="K175" i="22" s="1"/>
  <c r="H81" i="14"/>
  <c r="H41" i="14"/>
  <c r="H71" i="14"/>
  <c r="H51" i="14"/>
  <c r="H49" i="14"/>
  <c r="H48" i="14"/>
  <c r="H46" i="14"/>
  <c r="H80" i="14"/>
  <c r="H60" i="14"/>
  <c r="H40" i="14"/>
  <c r="G61" i="14"/>
  <c r="K155" i="22" s="1"/>
  <c r="H79" i="14"/>
  <c r="H59" i="14"/>
  <c r="G60" i="14"/>
  <c r="K154" i="22" s="1"/>
  <c r="H78" i="14"/>
  <c r="H58" i="14"/>
  <c r="H38" i="14"/>
  <c r="G59" i="14"/>
  <c r="K153" i="22" s="1"/>
  <c r="H75" i="14"/>
  <c r="H55" i="14"/>
  <c r="H35" i="14"/>
  <c r="G74" i="14"/>
  <c r="K168" i="22" s="1"/>
  <c r="H74" i="14"/>
  <c r="H54" i="14"/>
  <c r="G84" i="14"/>
  <c r="K178" i="22" s="1"/>
  <c r="H52" i="14"/>
  <c r="H70" i="14"/>
  <c r="H50" i="14"/>
  <c r="G79" i="14"/>
  <c r="K173" i="22" s="1"/>
  <c r="G78" i="14"/>
  <c r="K172" i="22" s="1"/>
  <c r="H68" i="14"/>
  <c r="H67" i="14"/>
  <c r="H47" i="14"/>
  <c r="G68" i="14"/>
  <c r="K162" i="22" s="1"/>
  <c r="G75" i="14"/>
  <c r="K169" i="22" s="1"/>
  <c r="G73" i="14"/>
  <c r="K167" i="22" s="1"/>
  <c r="G72" i="14"/>
  <c r="K166" i="22" s="1"/>
  <c r="G71" i="14"/>
  <c r="K165" i="22" s="1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B77" i="15"/>
  <c r="B78" i="15"/>
  <c r="B79" i="15"/>
  <c r="B80" i="15"/>
  <c r="B81" i="15"/>
  <c r="B82" i="15"/>
  <c r="D77" i="15"/>
  <c r="C171" i="22" s="1"/>
  <c r="D78" i="15"/>
  <c r="C172" i="22" s="1"/>
  <c r="AG172" i="22" s="1"/>
  <c r="D79" i="15"/>
  <c r="C173" i="22" s="1"/>
  <c r="AG173" i="22" s="1"/>
  <c r="D80" i="15"/>
  <c r="C174" i="22" s="1"/>
  <c r="D81" i="15"/>
  <c r="C175" i="22" s="1"/>
  <c r="AG175" i="22" s="1"/>
  <c r="D82" i="15"/>
  <c r="C176" i="22" s="1"/>
  <c r="D83" i="15"/>
  <c r="C177" i="22" s="1"/>
  <c r="AG177" i="22" s="1"/>
  <c r="G78" i="15"/>
  <c r="B69" i="15"/>
  <c r="B70" i="15"/>
  <c r="B75" i="15"/>
  <c r="B76" i="15"/>
  <c r="B84" i="15"/>
  <c r="B85" i="15"/>
  <c r="D69" i="15"/>
  <c r="C163" i="22" s="1"/>
  <c r="D70" i="15"/>
  <c r="C164" i="22" s="1"/>
  <c r="D71" i="15"/>
  <c r="C165" i="22" s="1"/>
  <c r="D72" i="15"/>
  <c r="C166" i="22" s="1"/>
  <c r="AG166" i="22" s="1"/>
  <c r="D73" i="15"/>
  <c r="C167" i="22" s="1"/>
  <c r="AG167" i="22" s="1"/>
  <c r="D74" i="15"/>
  <c r="C168" i="22" s="1"/>
  <c r="AG168" i="22" s="1"/>
  <c r="D75" i="15"/>
  <c r="C169" i="22" s="1"/>
  <c r="D76" i="15"/>
  <c r="C170" i="22" s="1"/>
  <c r="D84" i="15"/>
  <c r="C178" i="22" s="1"/>
  <c r="AG178" i="22" s="1"/>
  <c r="D85" i="15"/>
  <c r="C179" i="22" s="1"/>
  <c r="D163" i="22" l="1"/>
  <c r="B163" i="22"/>
  <c r="B143" i="22"/>
  <c r="D143" i="22"/>
  <c r="AF170" i="22"/>
  <c r="AF187" i="22"/>
  <c r="B161" i="22"/>
  <c r="D161" i="22"/>
  <c r="B141" i="22"/>
  <c r="D141" i="22"/>
  <c r="AF188" i="22"/>
  <c r="B162" i="22"/>
  <c r="D162" i="22"/>
  <c r="AF167" i="22"/>
  <c r="AF185" i="22"/>
  <c r="B157" i="22"/>
  <c r="D157" i="22"/>
  <c r="AG176" i="22"/>
  <c r="D154" i="22"/>
  <c r="B154" i="22"/>
  <c r="AF181" i="22"/>
  <c r="AF166" i="22"/>
  <c r="AF175" i="22"/>
  <c r="D160" i="22"/>
  <c r="B160" i="22"/>
  <c r="B159" i="22"/>
  <c r="D159" i="22"/>
  <c r="B155" i="22"/>
  <c r="D155" i="22"/>
  <c r="AG179" i="22"/>
  <c r="AG174" i="22"/>
  <c r="D153" i="22"/>
  <c r="B153" i="22"/>
  <c r="AF177" i="22"/>
  <c r="B140" i="22"/>
  <c r="D140" i="22"/>
  <c r="AF174" i="22"/>
  <c r="B158" i="22"/>
  <c r="D158" i="22"/>
  <c r="D156" i="22"/>
  <c r="B156" i="22"/>
  <c r="D151" i="22"/>
  <c r="B151" i="22"/>
  <c r="AF173" i="22"/>
  <c r="B142" i="22"/>
  <c r="D142" i="22"/>
  <c r="AF183" i="22"/>
  <c r="AF180" i="22"/>
  <c r="AF171" i="22"/>
  <c r="D139" i="22"/>
  <c r="B139" i="22"/>
  <c r="AF165" i="22"/>
  <c r="B138" i="22"/>
  <c r="D138" i="22"/>
  <c r="AF184" i="22"/>
  <c r="D152" i="22"/>
  <c r="B152" i="22"/>
  <c r="AF172" i="22"/>
  <c r="AG170" i="22"/>
  <c r="AG169" i="22"/>
  <c r="AG171" i="22"/>
  <c r="D150" i="22"/>
  <c r="B150" i="22"/>
  <c r="AF168" i="22"/>
  <c r="AF186" i="22"/>
  <c r="B149" i="22"/>
  <c r="D149" i="22"/>
  <c r="D148" i="22"/>
  <c r="B148" i="22"/>
  <c r="AF176" i="22"/>
  <c r="B147" i="22"/>
  <c r="D147" i="22"/>
  <c r="AF182" i="22"/>
  <c r="AG165" i="22"/>
  <c r="B146" i="22"/>
  <c r="D146" i="22"/>
  <c r="AF179" i="22"/>
  <c r="AF169" i="22"/>
  <c r="AG164" i="22"/>
  <c r="B145" i="22"/>
  <c r="D145" i="22"/>
  <c r="AF164" i="22"/>
  <c r="AF178" i="22"/>
  <c r="AG163" i="22"/>
  <c r="B144" i="22"/>
  <c r="D144" i="22"/>
  <c r="AF189" i="22"/>
  <c r="I31" i="14" a="1"/>
  <c r="I31" i="14" s="1"/>
  <c r="L31" i="15" s="1"/>
  <c r="L125" i="22" s="1"/>
  <c r="I32" i="14" a="1"/>
  <c r="I32" i="14" s="1"/>
  <c r="L32" i="15" s="1"/>
  <c r="L126" i="22" s="1"/>
  <c r="I33" i="14" a="1"/>
  <c r="I33" i="14" s="1"/>
  <c r="L33" i="15" s="1"/>
  <c r="L127" i="22" s="1"/>
  <c r="I34" i="14" a="1"/>
  <c r="I34" i="14" s="1"/>
  <c r="L34" i="15" s="1"/>
  <c r="L128" i="22" s="1"/>
  <c r="I35" i="14" a="1"/>
  <c r="I35" i="14" s="1"/>
  <c r="L35" i="15" s="1"/>
  <c r="L129" i="22" s="1"/>
  <c r="G36" i="14"/>
  <c r="K130" i="22" s="1"/>
  <c r="I36" i="14" a="1"/>
  <c r="I36" i="14" s="1"/>
  <c r="L36" i="15" s="1"/>
  <c r="L130" i="22" s="1"/>
  <c r="I37" i="14" a="1"/>
  <c r="I37" i="14" s="1"/>
  <c r="L37" i="15" s="1"/>
  <c r="L131" i="22" s="1"/>
  <c r="I38" i="14" a="1"/>
  <c r="I38" i="14" s="1"/>
  <c r="L38" i="15" s="1"/>
  <c r="L132" i="22" s="1"/>
  <c r="G39" i="14"/>
  <c r="K133" i="22" s="1"/>
  <c r="I39" i="14" a="1"/>
  <c r="I39" i="14" s="1"/>
  <c r="L39" i="15" s="1"/>
  <c r="L133" i="22" s="1"/>
  <c r="G40" i="14"/>
  <c r="K134" i="22" s="1"/>
  <c r="I40" i="14" a="1"/>
  <c r="I40" i="14" s="1"/>
  <c r="L40" i="15" s="1"/>
  <c r="L134" i="22" s="1"/>
  <c r="I41" i="14" a="1"/>
  <c r="I41" i="14" s="1"/>
  <c r="L41" i="15" s="1"/>
  <c r="L135" i="22" s="1"/>
  <c r="I42" i="14" a="1"/>
  <c r="I42" i="14" s="1"/>
  <c r="L42" i="15" s="1"/>
  <c r="L136" i="22" s="1"/>
  <c r="I43" i="14" a="1"/>
  <c r="I43" i="14" s="1"/>
  <c r="L43" i="15" s="1"/>
  <c r="L137" i="22" s="1"/>
  <c r="I44" i="14" a="1"/>
  <c r="I44" i="14" s="1"/>
  <c r="L44" i="15" s="1"/>
  <c r="L138" i="22" s="1"/>
  <c r="I45" i="14" a="1"/>
  <c r="I45" i="14" s="1"/>
  <c r="L45" i="15" s="1"/>
  <c r="L139" i="22" s="1"/>
  <c r="I46" i="14" a="1"/>
  <c r="I46" i="14" s="1"/>
  <c r="L46" i="15" s="1"/>
  <c r="L140" i="22" s="1"/>
  <c r="I47" i="14" a="1"/>
  <c r="I47" i="14" s="1"/>
  <c r="L47" i="15" s="1"/>
  <c r="L141" i="22" s="1"/>
  <c r="I48" i="14" a="1"/>
  <c r="I48" i="14" s="1"/>
  <c r="L48" i="15" s="1"/>
  <c r="L142" i="22" s="1"/>
  <c r="I49" i="14" a="1"/>
  <c r="I49" i="14" s="1"/>
  <c r="L49" i="15" s="1"/>
  <c r="L143" i="22" s="1"/>
  <c r="I50" i="14" a="1"/>
  <c r="I50" i="14" s="1"/>
  <c r="L50" i="15" s="1"/>
  <c r="L144" i="22" s="1"/>
  <c r="I51" i="14" a="1"/>
  <c r="I51" i="14" s="1"/>
  <c r="L51" i="15" s="1"/>
  <c r="L145" i="22" s="1"/>
  <c r="I52" i="14" a="1"/>
  <c r="I52" i="14" s="1"/>
  <c r="L52" i="15" s="1"/>
  <c r="L146" i="22" s="1"/>
  <c r="I53" i="14" a="1"/>
  <c r="I53" i="14" s="1"/>
  <c r="L53" i="15" s="1"/>
  <c r="L147" i="22" s="1"/>
  <c r="G54" i="14"/>
  <c r="K148" i="22" s="1"/>
  <c r="I54" i="14" a="1"/>
  <c r="I54" i="14" s="1"/>
  <c r="L54" i="15" s="1"/>
  <c r="L148" i="22" s="1"/>
  <c r="G55" i="14"/>
  <c r="K149" i="22" s="1"/>
  <c r="I55" i="14" a="1"/>
  <c r="I55" i="14" s="1"/>
  <c r="L55" i="15" s="1"/>
  <c r="L149" i="22" s="1"/>
  <c r="I56" i="14" a="1"/>
  <c r="I56" i="14" s="1"/>
  <c r="L56" i="15" s="1"/>
  <c r="L150" i="22" s="1"/>
  <c r="G57" i="14"/>
  <c r="K151" i="22" s="1"/>
  <c r="I57" i="14" a="1"/>
  <c r="I57" i="14" s="1"/>
  <c r="L57" i="15" s="1"/>
  <c r="L151" i="22" s="1"/>
  <c r="F31" i="14"/>
  <c r="J125" i="22" s="1"/>
  <c r="F32" i="14"/>
  <c r="J126" i="22" s="1"/>
  <c r="F33" i="14"/>
  <c r="J127" i="22" s="1"/>
  <c r="F34" i="14"/>
  <c r="J128" i="22" s="1"/>
  <c r="G35" i="14"/>
  <c r="K129" i="22" s="1"/>
  <c r="G37" i="14"/>
  <c r="K131" i="22" s="1"/>
  <c r="G38" i="14"/>
  <c r="K132" i="22" s="1"/>
  <c r="G41" i="14"/>
  <c r="K135" i="22" s="1"/>
  <c r="G43" i="14"/>
  <c r="K137" i="22" s="1"/>
  <c r="G44" i="14"/>
  <c r="K138" i="22" s="1"/>
  <c r="G45" i="14"/>
  <c r="K139" i="22" s="1"/>
  <c r="G46" i="14"/>
  <c r="K140" i="22" s="1"/>
  <c r="G48" i="14"/>
  <c r="K142" i="22" s="1"/>
  <c r="G51" i="14"/>
  <c r="K145" i="22" s="1"/>
  <c r="G52" i="14"/>
  <c r="K146" i="22" s="1"/>
  <c r="G53" i="14"/>
  <c r="K147" i="22" s="1"/>
  <c r="G56" i="14"/>
  <c r="K150" i="22" s="1"/>
  <c r="K31" i="15"/>
  <c r="I125" i="22" s="1"/>
  <c r="K32" i="15"/>
  <c r="I126" i="22" s="1"/>
  <c r="K33" i="15"/>
  <c r="I127" i="22" s="1"/>
  <c r="K34" i="15"/>
  <c r="I128" i="22" s="1"/>
  <c r="K35" i="15"/>
  <c r="I129" i="22" s="1"/>
  <c r="K36" i="15"/>
  <c r="I130" i="22" s="1"/>
  <c r="K37" i="15"/>
  <c r="I131" i="22" s="1"/>
  <c r="K38" i="15"/>
  <c r="I132" i="22" s="1"/>
  <c r="K39" i="15"/>
  <c r="I133" i="22" s="1"/>
  <c r="K40" i="15"/>
  <c r="I134" i="22" s="1"/>
  <c r="K41" i="15"/>
  <c r="I135" i="22" s="1"/>
  <c r="K42" i="15"/>
  <c r="I136" i="22" s="1"/>
  <c r="K43" i="15"/>
  <c r="I137" i="22" s="1"/>
  <c r="K44" i="15"/>
  <c r="I138" i="22" s="1"/>
  <c r="K45" i="15"/>
  <c r="I139" i="22" s="1"/>
  <c r="K46" i="15"/>
  <c r="I140" i="22" s="1"/>
  <c r="K47" i="15"/>
  <c r="I141" i="22" s="1"/>
  <c r="K48" i="15"/>
  <c r="I142" i="22" s="1"/>
  <c r="K49" i="15"/>
  <c r="I143" i="22" s="1"/>
  <c r="K50" i="15"/>
  <c r="I144" i="22" s="1"/>
  <c r="K51" i="15"/>
  <c r="I145" i="22" s="1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K5" i="15"/>
  <c r="I99" i="22" s="1"/>
  <c r="K6" i="15"/>
  <c r="I100" i="22" s="1"/>
  <c r="K7" i="15"/>
  <c r="I101" i="22" s="1"/>
  <c r="K8" i="15"/>
  <c r="I102" i="22" s="1"/>
  <c r="K9" i="15"/>
  <c r="I103" i="22" s="1"/>
  <c r="K10" i="15"/>
  <c r="I104" i="22" s="1"/>
  <c r="K11" i="15"/>
  <c r="I105" i="22" s="1"/>
  <c r="K12" i="15"/>
  <c r="I106" i="22" s="1"/>
  <c r="K13" i="15"/>
  <c r="I107" i="22" s="1"/>
  <c r="K14" i="15"/>
  <c r="I108" i="22" s="1"/>
  <c r="K15" i="15"/>
  <c r="I109" i="22" s="1"/>
  <c r="K16" i="15"/>
  <c r="I110" i="22" s="1"/>
  <c r="K17" i="15"/>
  <c r="I111" i="22" s="1"/>
  <c r="K18" i="15"/>
  <c r="I112" i="22" s="1"/>
  <c r="K19" i="15"/>
  <c r="I113" i="22" s="1"/>
  <c r="K20" i="15"/>
  <c r="I114" i="22" s="1"/>
  <c r="K21" i="15"/>
  <c r="I115" i="22" s="1"/>
  <c r="K22" i="15"/>
  <c r="I116" i="22" s="1"/>
  <c r="K23" i="15"/>
  <c r="I117" i="22" s="1"/>
  <c r="K24" i="15"/>
  <c r="I118" i="22" s="1"/>
  <c r="K25" i="15"/>
  <c r="I119" i="22" s="1"/>
  <c r="K26" i="15"/>
  <c r="I120" i="22" s="1"/>
  <c r="K27" i="15"/>
  <c r="I121" i="22" s="1"/>
  <c r="K28" i="15"/>
  <c r="I122" i="22" s="1"/>
  <c r="K29" i="15"/>
  <c r="I123" i="22" s="1"/>
  <c r="K30" i="15"/>
  <c r="I124" i="22" s="1"/>
  <c r="E33" i="15"/>
  <c r="E34" i="15"/>
  <c r="E35" i="15"/>
  <c r="E36" i="15"/>
  <c r="E37" i="15"/>
  <c r="E38" i="15"/>
  <c r="E39" i="15"/>
  <c r="E40" i="15"/>
  <c r="E41" i="15"/>
  <c r="E42" i="15"/>
  <c r="E43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B55" i="15"/>
  <c r="B56" i="15"/>
  <c r="B57" i="15"/>
  <c r="B58" i="15"/>
  <c r="B59" i="15"/>
  <c r="B60" i="15"/>
  <c r="B61" i="15"/>
  <c r="B62" i="15"/>
  <c r="D55" i="15"/>
  <c r="C149" i="22" s="1"/>
  <c r="AG149" i="22" s="1"/>
  <c r="D56" i="15"/>
  <c r="C150" i="22" s="1"/>
  <c r="D57" i="15"/>
  <c r="C151" i="22" s="1"/>
  <c r="AG151" i="22" s="1"/>
  <c r="D58" i="15"/>
  <c r="C152" i="22" s="1"/>
  <c r="AG152" i="22" s="1"/>
  <c r="D59" i="15"/>
  <c r="C153" i="22" s="1"/>
  <c r="AG153" i="22" s="1"/>
  <c r="D60" i="15"/>
  <c r="C154" i="22" s="1"/>
  <c r="AG154" i="22" s="1"/>
  <c r="D61" i="15"/>
  <c r="C155" i="22" s="1"/>
  <c r="AG155" i="22" s="1"/>
  <c r="D62" i="15"/>
  <c r="C156" i="22" s="1"/>
  <c r="AG156" i="22" s="1"/>
  <c r="B63" i="15"/>
  <c r="B64" i="15"/>
  <c r="B65" i="15"/>
  <c r="B66" i="15"/>
  <c r="B67" i="15"/>
  <c r="B68" i="15"/>
  <c r="B86" i="15"/>
  <c r="B87" i="15"/>
  <c r="D63" i="15"/>
  <c r="C157" i="22" s="1"/>
  <c r="AG157" i="22" s="1"/>
  <c r="D64" i="15"/>
  <c r="C158" i="22" s="1"/>
  <c r="AG158" i="22" s="1"/>
  <c r="D65" i="15"/>
  <c r="C159" i="22" s="1"/>
  <c r="AG159" i="22" s="1"/>
  <c r="D66" i="15"/>
  <c r="C160" i="22" s="1"/>
  <c r="AG160" i="22" s="1"/>
  <c r="D67" i="15"/>
  <c r="C161" i="22" s="1"/>
  <c r="AG161" i="22" s="1"/>
  <c r="D68" i="15"/>
  <c r="C162" i="22" s="1"/>
  <c r="D86" i="15"/>
  <c r="C180" i="22" s="1"/>
  <c r="AG180" i="22" s="1"/>
  <c r="D87" i="15"/>
  <c r="C181" i="22" s="1"/>
  <c r="AG181" i="22" s="1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D31" i="15"/>
  <c r="C125" i="22" s="1"/>
  <c r="D32" i="15"/>
  <c r="C126" i="22" s="1"/>
  <c r="D33" i="15"/>
  <c r="C127" i="22" s="1"/>
  <c r="D34" i="15"/>
  <c r="C128" i="22" s="1"/>
  <c r="D35" i="15"/>
  <c r="C129" i="22" s="1"/>
  <c r="D36" i="15"/>
  <c r="C130" i="22" s="1"/>
  <c r="D37" i="15"/>
  <c r="C131" i="22" s="1"/>
  <c r="D38" i="15"/>
  <c r="C132" i="22" s="1"/>
  <c r="D39" i="15"/>
  <c r="C133" i="22" s="1"/>
  <c r="D40" i="15"/>
  <c r="C134" i="22" s="1"/>
  <c r="D41" i="15"/>
  <c r="C135" i="22" s="1"/>
  <c r="D42" i="15"/>
  <c r="C136" i="22" s="1"/>
  <c r="D43" i="15"/>
  <c r="C137" i="22" s="1"/>
  <c r="D44" i="15"/>
  <c r="C138" i="22" s="1"/>
  <c r="AG138" i="22" s="1"/>
  <c r="D45" i="15"/>
  <c r="C139" i="22" s="1"/>
  <c r="AG139" i="22" s="1"/>
  <c r="G31" i="15"/>
  <c r="G32" i="15"/>
  <c r="G33" i="15"/>
  <c r="G34" i="15"/>
  <c r="G35" i="15"/>
  <c r="G36" i="15"/>
  <c r="B26" i="15"/>
  <c r="B27" i="15"/>
  <c r="B28" i="15"/>
  <c r="B29" i="15"/>
  <c r="B30" i="15"/>
  <c r="B46" i="15"/>
  <c r="B47" i="15"/>
  <c r="B48" i="15"/>
  <c r="B49" i="15"/>
  <c r="B50" i="15"/>
  <c r="D26" i="15"/>
  <c r="C120" i="22" s="1"/>
  <c r="D27" i="15"/>
  <c r="C121" i="22" s="1"/>
  <c r="D28" i="15"/>
  <c r="C122" i="22" s="1"/>
  <c r="D29" i="15"/>
  <c r="C123" i="22" s="1"/>
  <c r="D30" i="15"/>
  <c r="C124" i="22" s="1"/>
  <c r="D46" i="15"/>
  <c r="C140" i="22" s="1"/>
  <c r="AG140" i="22" s="1"/>
  <c r="D47" i="15"/>
  <c r="C141" i="22" s="1"/>
  <c r="D48" i="15"/>
  <c r="C142" i="22" s="1"/>
  <c r="D49" i="15"/>
  <c r="C143" i="22" s="1"/>
  <c r="D50" i="15"/>
  <c r="C144" i="22" s="1"/>
  <c r="G27" i="15"/>
  <c r="G28" i="15"/>
  <c r="G29" i="15"/>
  <c r="G30" i="15"/>
  <c r="B16" i="15"/>
  <c r="B17" i="15"/>
  <c r="B18" i="15"/>
  <c r="B19" i="15"/>
  <c r="B20" i="15"/>
  <c r="B21" i="15"/>
  <c r="B22" i="15"/>
  <c r="B23" i="15"/>
  <c r="B24" i="15"/>
  <c r="B25" i="15"/>
  <c r="B51" i="15"/>
  <c r="D16" i="15"/>
  <c r="C110" i="22" s="1"/>
  <c r="D17" i="15"/>
  <c r="C111" i="22" s="1"/>
  <c r="D18" i="15"/>
  <c r="C112" i="22" s="1"/>
  <c r="D19" i="15"/>
  <c r="C113" i="22" s="1"/>
  <c r="D20" i="15"/>
  <c r="C114" i="22" s="1"/>
  <c r="D21" i="15"/>
  <c r="C115" i="22" s="1"/>
  <c r="D22" i="15"/>
  <c r="C116" i="22" s="1"/>
  <c r="D23" i="15"/>
  <c r="C117" i="22" s="1"/>
  <c r="D24" i="15"/>
  <c r="C118" i="22" s="1"/>
  <c r="D25" i="15"/>
  <c r="C119" i="22" s="1"/>
  <c r="D51" i="15"/>
  <c r="C145" i="22" s="1"/>
  <c r="AG145" i="22" s="1"/>
  <c r="I14" i="14" a="1"/>
  <c r="I14" i="14" s="1"/>
  <c r="L14" i="15" s="1"/>
  <c r="L108" i="22" s="1"/>
  <c r="I15" i="14" a="1"/>
  <c r="I15" i="14" s="1"/>
  <c r="L15" i="15" s="1"/>
  <c r="L109" i="22" s="1"/>
  <c r="I16" i="14" a="1"/>
  <c r="I16" i="14" s="1"/>
  <c r="L16" i="15" s="1"/>
  <c r="L110" i="22" s="1"/>
  <c r="G17" i="14"/>
  <c r="K111" i="22" s="1"/>
  <c r="I17" i="14" a="1"/>
  <c r="I17" i="14" s="1"/>
  <c r="L17" i="15" s="1"/>
  <c r="L111" i="22" s="1"/>
  <c r="I18" i="14" a="1"/>
  <c r="I18" i="14" s="1"/>
  <c r="L18" i="15" s="1"/>
  <c r="L112" i="22" s="1"/>
  <c r="I19" i="14" a="1"/>
  <c r="I19" i="14" s="1"/>
  <c r="L19" i="15" s="1"/>
  <c r="L113" i="22" s="1"/>
  <c r="I20" i="14" a="1"/>
  <c r="I20" i="14" s="1"/>
  <c r="L20" i="15" s="1"/>
  <c r="L114" i="22" s="1"/>
  <c r="I21" i="14" a="1"/>
  <c r="I21" i="14" s="1"/>
  <c r="L21" i="15" s="1"/>
  <c r="L115" i="22" s="1"/>
  <c r="I22" i="14" a="1"/>
  <c r="I22" i="14" s="1"/>
  <c r="L22" i="15" s="1"/>
  <c r="L116" i="22" s="1"/>
  <c r="I23" i="14" a="1"/>
  <c r="I23" i="14" s="1"/>
  <c r="L23" i="15" s="1"/>
  <c r="L117" i="22" s="1"/>
  <c r="I24" i="14" a="1"/>
  <c r="I24" i="14" s="1"/>
  <c r="L24" i="15" s="1"/>
  <c r="L118" i="22" s="1"/>
  <c r="I25" i="14" a="1"/>
  <c r="I25" i="14" s="1"/>
  <c r="L25" i="15" s="1"/>
  <c r="L119" i="22" s="1"/>
  <c r="I26" i="14" a="1"/>
  <c r="I26" i="14" s="1"/>
  <c r="L26" i="15" s="1"/>
  <c r="L120" i="22" s="1"/>
  <c r="I27" i="14" a="1"/>
  <c r="I27" i="14" s="1"/>
  <c r="L27" i="15" s="1"/>
  <c r="L121" i="22" s="1"/>
  <c r="I28" i="14" a="1"/>
  <c r="I28" i="14" s="1"/>
  <c r="L28" i="15" s="1"/>
  <c r="L122" i="22" s="1"/>
  <c r="I29" i="14" a="1"/>
  <c r="I29" i="14" s="1"/>
  <c r="L29" i="15" s="1"/>
  <c r="L123" i="22" s="1"/>
  <c r="I30" i="14" a="1"/>
  <c r="I30" i="14" s="1"/>
  <c r="L30" i="15" s="1"/>
  <c r="L124" i="22" s="1"/>
  <c r="F14" i="14"/>
  <c r="J108" i="22" s="1"/>
  <c r="F15" i="14"/>
  <c r="J109" i="22" s="1"/>
  <c r="F16" i="14"/>
  <c r="F17" i="14"/>
  <c r="J111" i="22" s="1"/>
  <c r="F18" i="14"/>
  <c r="J112" i="22" s="1"/>
  <c r="F19" i="14"/>
  <c r="J113" i="22" s="1"/>
  <c r="F20" i="14"/>
  <c r="J114" i="22" s="1"/>
  <c r="F21" i="14"/>
  <c r="J115" i="22" s="1"/>
  <c r="F22" i="14"/>
  <c r="J116" i="22" s="1"/>
  <c r="F23" i="14"/>
  <c r="J117" i="22" s="1"/>
  <c r="F24" i="14"/>
  <c r="J118" i="22" s="1"/>
  <c r="F25" i="14"/>
  <c r="J119" i="22" s="1"/>
  <c r="F26" i="14"/>
  <c r="J120" i="22" s="1"/>
  <c r="F27" i="14"/>
  <c r="J121" i="22" s="1"/>
  <c r="F28" i="14"/>
  <c r="J122" i="22" s="1"/>
  <c r="F29" i="14"/>
  <c r="J123" i="22" s="1"/>
  <c r="F30" i="14"/>
  <c r="J124" i="22" s="1"/>
  <c r="AF150" i="22" l="1"/>
  <c r="B135" i="22"/>
  <c r="D135" i="22"/>
  <c r="AG135" i="22" s="1"/>
  <c r="D118" i="22"/>
  <c r="B118" i="22"/>
  <c r="B133" i="22"/>
  <c r="D133" i="22"/>
  <c r="B117" i="22"/>
  <c r="D117" i="22"/>
  <c r="AG117" i="22" s="1"/>
  <c r="D132" i="22"/>
  <c r="AG132" i="22" s="1"/>
  <c r="B132" i="22"/>
  <c r="AF146" i="22"/>
  <c r="AF142" i="22"/>
  <c r="AF155" i="22"/>
  <c r="AF162" i="22"/>
  <c r="D114" i="22"/>
  <c r="B114" i="22"/>
  <c r="B129" i="22"/>
  <c r="D129" i="22"/>
  <c r="AF159" i="22"/>
  <c r="AF152" i="22"/>
  <c r="AF151" i="22"/>
  <c r="AF160" i="22"/>
  <c r="AG116" i="22"/>
  <c r="AG162" i="22"/>
  <c r="AG150" i="22"/>
  <c r="B112" i="22"/>
  <c r="D112" i="22"/>
  <c r="AG112" i="22" s="1"/>
  <c r="B127" i="22"/>
  <c r="D127" i="22"/>
  <c r="AG127" i="22" s="1"/>
  <c r="D113" i="22"/>
  <c r="B113" i="22"/>
  <c r="B128" i="22"/>
  <c r="D128" i="22"/>
  <c r="AF156" i="22"/>
  <c r="AG114" i="22"/>
  <c r="AG144" i="22"/>
  <c r="D110" i="22"/>
  <c r="AG110" i="22" s="1"/>
  <c r="B110" i="22"/>
  <c r="AF144" i="22"/>
  <c r="B111" i="22"/>
  <c r="D111" i="22"/>
  <c r="AG111" i="22" s="1"/>
  <c r="AG113" i="22"/>
  <c r="AG143" i="22"/>
  <c r="B109" i="22"/>
  <c r="D109" i="22"/>
  <c r="AF161" i="22"/>
  <c r="AG128" i="22"/>
  <c r="AF147" i="22"/>
  <c r="AF141" i="22"/>
  <c r="AG142" i="22"/>
  <c r="D108" i="22"/>
  <c r="B108" i="22"/>
  <c r="AF148" i="22"/>
  <c r="AF138" i="22"/>
  <c r="AF158" i="22"/>
  <c r="D134" i="22"/>
  <c r="AG134" i="22" s="1"/>
  <c r="B134" i="22"/>
  <c r="B116" i="22"/>
  <c r="D116" i="22"/>
  <c r="AG141" i="22"/>
  <c r="D107" i="22"/>
  <c r="B107" i="22"/>
  <c r="D115" i="22"/>
  <c r="AG115" i="22" s="1"/>
  <c r="B115" i="22"/>
  <c r="B130" i="22"/>
  <c r="D130" i="22"/>
  <c r="AG130" i="22"/>
  <c r="AG124" i="22"/>
  <c r="B125" i="22"/>
  <c r="D125" i="22"/>
  <c r="AG125" i="22" s="1"/>
  <c r="B105" i="22"/>
  <c r="D105" i="22"/>
  <c r="AF149" i="22"/>
  <c r="AF139" i="22"/>
  <c r="AF154" i="22"/>
  <c r="AF140" i="22"/>
  <c r="G16" i="14"/>
  <c r="K110" i="22" s="1"/>
  <c r="J110" i="22"/>
  <c r="AG118" i="22"/>
  <c r="AG129" i="22"/>
  <c r="B126" i="22"/>
  <c r="D126" i="22"/>
  <c r="AG126" i="22" s="1"/>
  <c r="B106" i="22"/>
  <c r="D106" i="22"/>
  <c r="AF143" i="22"/>
  <c r="D119" i="22"/>
  <c r="AG119" i="22" s="1"/>
  <c r="B119" i="22"/>
  <c r="D131" i="22"/>
  <c r="AG131" i="22" s="1"/>
  <c r="B131" i="22"/>
  <c r="D124" i="22"/>
  <c r="B124" i="22"/>
  <c r="D104" i="22"/>
  <c r="B104" i="22"/>
  <c r="AF145" i="22"/>
  <c r="AG121" i="22"/>
  <c r="B122" i="22"/>
  <c r="D122" i="22"/>
  <c r="AG122" i="22" s="1"/>
  <c r="B137" i="22"/>
  <c r="D137" i="22"/>
  <c r="AG137" i="22" s="1"/>
  <c r="AF163" i="22"/>
  <c r="D120" i="22"/>
  <c r="AG120" i="22" s="1"/>
  <c r="B120" i="22"/>
  <c r="AG133" i="22"/>
  <c r="D123" i="22"/>
  <c r="AG123" i="22" s="1"/>
  <c r="B123" i="22"/>
  <c r="B103" i="22"/>
  <c r="D103" i="22"/>
  <c r="AG136" i="22"/>
  <c r="B121" i="22"/>
  <c r="D121" i="22"/>
  <c r="D136" i="22"/>
  <c r="B136" i="22"/>
  <c r="AF153" i="22"/>
  <c r="AF157" i="22"/>
  <c r="G28" i="14"/>
  <c r="K122" i="22" s="1"/>
  <c r="H28" i="14"/>
  <c r="G30" i="14"/>
  <c r="K124" i="22" s="1"/>
  <c r="H30" i="14"/>
  <c r="G22" i="14"/>
  <c r="K116" i="22" s="1"/>
  <c r="H22" i="14"/>
  <c r="G21" i="14"/>
  <c r="K115" i="22" s="1"/>
  <c r="H21" i="14"/>
  <c r="G33" i="14"/>
  <c r="K127" i="22" s="1"/>
  <c r="H33" i="14"/>
  <c r="G32" i="14"/>
  <c r="K126" i="22" s="1"/>
  <c r="H32" i="14"/>
  <c r="H17" i="14"/>
  <c r="G25" i="14"/>
  <c r="K119" i="22" s="1"/>
  <c r="H25" i="14"/>
  <c r="G31" i="14"/>
  <c r="K125" i="22" s="1"/>
  <c r="H31" i="14"/>
  <c r="G24" i="14"/>
  <c r="K118" i="22" s="1"/>
  <c r="H24" i="14"/>
  <c r="G26" i="14"/>
  <c r="K120" i="22" s="1"/>
  <c r="H26" i="14"/>
  <c r="G20" i="14"/>
  <c r="K114" i="22" s="1"/>
  <c r="H20" i="14"/>
  <c r="G19" i="14"/>
  <c r="K113" i="22" s="1"/>
  <c r="H19" i="14"/>
  <c r="G15" i="14"/>
  <c r="K109" i="22" s="1"/>
  <c r="H15" i="14"/>
  <c r="G14" i="14"/>
  <c r="K108" i="22" s="1"/>
  <c r="H14" i="14"/>
  <c r="G29" i="14"/>
  <c r="K123" i="22" s="1"/>
  <c r="H29" i="14"/>
  <c r="H27" i="14"/>
  <c r="H34" i="14"/>
  <c r="G18" i="14"/>
  <c r="K112" i="22" s="1"/>
  <c r="H18" i="14"/>
  <c r="G23" i="14"/>
  <c r="K117" i="22" s="1"/>
  <c r="H23" i="14"/>
  <c r="H16" i="14"/>
  <c r="G34" i="14"/>
  <c r="K128" i="22" s="1"/>
  <c r="G50" i="14"/>
  <c r="K144" i="22" s="1"/>
  <c r="G49" i="14"/>
  <c r="K143" i="22" s="1"/>
  <c r="G42" i="14"/>
  <c r="K136" i="22" s="1"/>
  <c r="G27" i="14"/>
  <c r="K121" i="22" s="1"/>
  <c r="G47" i="14"/>
  <c r="K141" i="22" s="1"/>
  <c r="AF120" i="22" l="1"/>
  <c r="AF111" i="22"/>
  <c r="AF130" i="22"/>
  <c r="AF117" i="22"/>
  <c r="AF105" i="22"/>
  <c r="AF115" i="22"/>
  <c r="AF137" i="22"/>
  <c r="AF133" i="22"/>
  <c r="AF107" i="22"/>
  <c r="AF118" i="22"/>
  <c r="AF127" i="22"/>
  <c r="AF134" i="22"/>
  <c r="AF132" i="22"/>
  <c r="AF121" i="22"/>
  <c r="AF104" i="22"/>
  <c r="AF116" i="22"/>
  <c r="AF119" i="22"/>
  <c r="AF112" i="22"/>
  <c r="AF125" i="22"/>
  <c r="AF110" i="22"/>
  <c r="AF124" i="22"/>
  <c r="AF128" i="22"/>
  <c r="AF129" i="22"/>
  <c r="AF135" i="22"/>
  <c r="AF126" i="22"/>
  <c r="AF108" i="22"/>
  <c r="AF113" i="22"/>
  <c r="AF114" i="22"/>
  <c r="AF122" i="22"/>
  <c r="AF136" i="22"/>
  <c r="AF103" i="22"/>
  <c r="AF109" i="22"/>
  <c r="AF106" i="22"/>
  <c r="AF123" i="22"/>
  <c r="AF131" i="22"/>
  <c r="I45" i="12"/>
  <c r="G85" i="22" s="1"/>
  <c r="I46" i="12"/>
  <c r="G86" i="22" s="1"/>
  <c r="I47" i="12"/>
  <c r="G87" i="22" s="1"/>
  <c r="I48" i="12"/>
  <c r="G88" i="22" s="1"/>
  <c r="I49" i="12"/>
  <c r="G89" i="22" s="1"/>
  <c r="I50" i="12"/>
  <c r="G90" i="22" s="1"/>
  <c r="I51" i="12"/>
  <c r="G91" i="22" s="1"/>
  <c r="I52" i="12"/>
  <c r="G92" i="22" s="1"/>
  <c r="I53" i="12"/>
  <c r="G93" i="22" s="1"/>
  <c r="I54" i="12"/>
  <c r="G94" i="22" s="1"/>
  <c r="G45" i="12"/>
  <c r="G46" i="12"/>
  <c r="G47" i="12"/>
  <c r="G48" i="12"/>
  <c r="G49" i="12"/>
  <c r="G50" i="12"/>
  <c r="G51" i="12"/>
  <c r="G52" i="12"/>
  <c r="G53" i="12"/>
  <c r="G54" i="12"/>
  <c r="E45" i="12"/>
  <c r="E46" i="12"/>
  <c r="E47" i="12"/>
  <c r="E48" i="12"/>
  <c r="E49" i="12"/>
  <c r="E50" i="12"/>
  <c r="E51" i="12"/>
  <c r="E52" i="12"/>
  <c r="E53" i="12"/>
  <c r="E54" i="12"/>
  <c r="D50" i="12"/>
  <c r="C90" i="22" s="1"/>
  <c r="D51" i="12"/>
  <c r="C91" i="22" s="1"/>
  <c r="D52" i="12"/>
  <c r="C92" i="22" s="1"/>
  <c r="D53" i="12"/>
  <c r="C93" i="22" s="1"/>
  <c r="D54" i="12"/>
  <c r="C94" i="22" s="1"/>
  <c r="D55" i="12"/>
  <c r="C95" i="22" s="1"/>
  <c r="AG95" i="22" s="1"/>
  <c r="D56" i="12"/>
  <c r="C96" i="22" s="1"/>
  <c r="AG96" i="22" s="1"/>
  <c r="D45" i="12"/>
  <c r="C85" i="22" s="1"/>
  <c r="D46" i="12"/>
  <c r="C86" i="22" s="1"/>
  <c r="D47" i="12"/>
  <c r="C87" i="22" s="1"/>
  <c r="D48" i="12"/>
  <c r="C88" i="22" s="1"/>
  <c r="D49" i="12"/>
  <c r="C89" i="22" s="1"/>
  <c r="B93" i="22" l="1"/>
  <c r="D93" i="22"/>
  <c r="D85" i="22"/>
  <c r="B85" i="22"/>
  <c r="B89" i="22"/>
  <c r="D89" i="22"/>
  <c r="AG89" i="22" s="1"/>
  <c r="AG85" i="22"/>
  <c r="AG91" i="22"/>
  <c r="B87" i="22"/>
  <c r="D87" i="22"/>
  <c r="AG87" i="22" s="1"/>
  <c r="B86" i="22"/>
  <c r="D86" i="22"/>
  <c r="AG86" i="22" s="1"/>
  <c r="AG94" i="22"/>
  <c r="B90" i="22"/>
  <c r="D90" i="22"/>
  <c r="AG90" i="22" s="1"/>
  <c r="D92" i="22"/>
  <c r="AG92" i="22" s="1"/>
  <c r="B92" i="22"/>
  <c r="B88" i="22"/>
  <c r="D88" i="22"/>
  <c r="AG88" i="22" s="1"/>
  <c r="AG93" i="22"/>
  <c r="D91" i="22"/>
  <c r="B91" i="22"/>
  <c r="D94" i="22"/>
  <c r="B94" i="22"/>
  <c r="E40" i="12"/>
  <c r="E41" i="12"/>
  <c r="E42" i="12"/>
  <c r="E43" i="12"/>
  <c r="E44" i="12"/>
  <c r="AF86" i="22" l="1"/>
  <c r="B83" i="22"/>
  <c r="D83" i="22"/>
  <c r="B80" i="22"/>
  <c r="D80" i="22"/>
  <c r="AF90" i="22"/>
  <c r="AF94" i="22"/>
  <c r="AF91" i="22"/>
  <c r="B82" i="22"/>
  <c r="D82" i="22"/>
  <c r="AF87" i="22"/>
  <c r="AF89" i="22"/>
  <c r="D81" i="22"/>
  <c r="B81" i="22"/>
  <c r="AF85" i="22"/>
  <c r="B84" i="22"/>
  <c r="D84" i="22"/>
  <c r="AF88" i="22"/>
  <c r="AF92" i="22"/>
  <c r="AF93" i="2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5" i="12"/>
  <c r="E6" i="12"/>
  <c r="E7" i="12"/>
  <c r="E4" i="12"/>
  <c r="D77" i="22" l="1"/>
  <c r="B77" i="22"/>
  <c r="AF77" i="22" s="1"/>
  <c r="AF81" i="22"/>
  <c r="B53" i="22"/>
  <c r="D53" i="22"/>
  <c r="B74" i="22"/>
  <c r="D74" i="22"/>
  <c r="AF82" i="22"/>
  <c r="B75" i="22"/>
  <c r="D75" i="22"/>
  <c r="B67" i="22"/>
  <c r="AF67" i="22" s="1"/>
  <c r="D67" i="22"/>
  <c r="D76" i="22"/>
  <c r="B76" i="22"/>
  <c r="B68" i="22"/>
  <c r="D68" i="22"/>
  <c r="D65" i="22"/>
  <c r="B65" i="22"/>
  <c r="B62" i="22"/>
  <c r="AF62" i="22" s="1"/>
  <c r="D62" i="22"/>
  <c r="AF80" i="22"/>
  <c r="D50" i="22"/>
  <c r="B50" i="22"/>
  <c r="B70" i="22"/>
  <c r="D70" i="22"/>
  <c r="AF83" i="22"/>
  <c r="B72" i="22"/>
  <c r="AF72" i="22" s="1"/>
  <c r="D72" i="22"/>
  <c r="B52" i="22"/>
  <c r="AF52" i="22" s="1"/>
  <c r="D52" i="22"/>
  <c r="B71" i="22"/>
  <c r="D71" i="22"/>
  <c r="D69" i="22"/>
  <c r="B69" i="22"/>
  <c r="D49" i="22"/>
  <c r="B49" i="22"/>
  <c r="D48" i="22"/>
  <c r="B48" i="22"/>
  <c r="B66" i="22"/>
  <c r="D66" i="22"/>
  <c r="B44" i="22"/>
  <c r="AF44" i="22" s="1"/>
  <c r="D44" i="22"/>
  <c r="B47" i="22"/>
  <c r="AF47" i="22" s="1"/>
  <c r="D47" i="22"/>
  <c r="B46" i="22"/>
  <c r="D46" i="22"/>
  <c r="B45" i="22"/>
  <c r="D45" i="22"/>
  <c r="B60" i="22"/>
  <c r="D60" i="22"/>
  <c r="B59" i="22"/>
  <c r="D59" i="22"/>
  <c r="D57" i="22"/>
  <c r="B57" i="22"/>
  <c r="AF57" i="22" s="1"/>
  <c r="B56" i="22"/>
  <c r="D56" i="22"/>
  <c r="B55" i="22"/>
  <c r="D55" i="22"/>
  <c r="B54" i="22"/>
  <c r="D54" i="22"/>
  <c r="B73" i="22"/>
  <c r="D73" i="22"/>
  <c r="D51" i="22"/>
  <c r="B51" i="22"/>
  <c r="D64" i="22"/>
  <c r="B64" i="22"/>
  <c r="B63" i="22"/>
  <c r="D63" i="22"/>
  <c r="D61" i="22"/>
  <c r="B61" i="22"/>
  <c r="AF84" i="22"/>
  <c r="B79" i="22"/>
  <c r="D79" i="22"/>
  <c r="B78" i="22"/>
  <c r="D78" i="22"/>
  <c r="B58" i="22"/>
  <c r="D58" i="22"/>
  <c r="K16" i="12"/>
  <c r="I56" i="22" s="1"/>
  <c r="K17" i="12"/>
  <c r="I57" i="22" s="1"/>
  <c r="K18" i="12"/>
  <c r="I58" i="22" s="1"/>
  <c r="K19" i="12"/>
  <c r="I59" i="22" s="1"/>
  <c r="K20" i="12"/>
  <c r="I60" i="22" s="1"/>
  <c r="K21" i="12"/>
  <c r="I61" i="22" s="1"/>
  <c r="K22" i="12"/>
  <c r="I62" i="22" s="1"/>
  <c r="K23" i="12"/>
  <c r="I63" i="22" s="1"/>
  <c r="K24" i="12"/>
  <c r="I64" i="22" s="1"/>
  <c r="K25" i="12"/>
  <c r="I65" i="22" s="1"/>
  <c r="K26" i="12"/>
  <c r="I66" i="22" s="1"/>
  <c r="K27" i="12"/>
  <c r="I67" i="22" s="1"/>
  <c r="K28" i="12"/>
  <c r="I68" i="22" s="1"/>
  <c r="K29" i="12"/>
  <c r="I69" i="22" s="1"/>
  <c r="K30" i="12"/>
  <c r="I70" i="22" s="1"/>
  <c r="K31" i="12"/>
  <c r="I71" i="22" s="1"/>
  <c r="K32" i="12"/>
  <c r="I72" i="22" s="1"/>
  <c r="K33" i="12"/>
  <c r="I73" i="22" s="1"/>
  <c r="K34" i="12"/>
  <c r="I74" i="22" s="1"/>
  <c r="K35" i="12"/>
  <c r="I75" i="22" s="1"/>
  <c r="K36" i="12"/>
  <c r="I76" i="22" s="1"/>
  <c r="K37" i="12"/>
  <c r="I77" i="22" s="1"/>
  <c r="K38" i="12"/>
  <c r="I78" i="22" s="1"/>
  <c r="K8" i="12"/>
  <c r="I48" i="22" s="1"/>
  <c r="K9" i="12"/>
  <c r="I49" i="22" s="1"/>
  <c r="K10" i="12"/>
  <c r="I50" i="22" s="1"/>
  <c r="K11" i="12"/>
  <c r="I51" i="22" s="1"/>
  <c r="K12" i="12"/>
  <c r="I52" i="22" s="1"/>
  <c r="K13" i="12"/>
  <c r="I53" i="22" s="1"/>
  <c r="K14" i="12"/>
  <c r="I54" i="22" s="1"/>
  <c r="K15" i="12"/>
  <c r="I55" i="22" s="1"/>
  <c r="K4" i="12"/>
  <c r="I44" i="22" s="1"/>
  <c r="K5" i="12"/>
  <c r="I45" i="22" s="1"/>
  <c r="K6" i="12"/>
  <c r="I46" i="22" s="1"/>
  <c r="K7" i="12"/>
  <c r="I47" i="22" s="1"/>
  <c r="I57" i="12"/>
  <c r="G97" i="22" s="1"/>
  <c r="D57" i="12"/>
  <c r="C97" i="22" s="1"/>
  <c r="AG97" i="22" s="1"/>
  <c r="AF49" i="22" l="1"/>
  <c r="AF65" i="22"/>
  <c r="AF78" i="22"/>
  <c r="AF56" i="22"/>
  <c r="AF76" i="22"/>
  <c r="AF64" i="22"/>
  <c r="AF59" i="22"/>
  <c r="AF60" i="22"/>
  <c r="AF51" i="22"/>
  <c r="AF74" i="22"/>
  <c r="AF45" i="22"/>
  <c r="AF75" i="22"/>
  <c r="AF50" i="22"/>
  <c r="AF63" i="22"/>
  <c r="AF73" i="22"/>
  <c r="AF53" i="22"/>
  <c r="AF68" i="22"/>
  <c r="AF46" i="22"/>
  <c r="AF69" i="22"/>
  <c r="AF79" i="22"/>
  <c r="AF61" i="22"/>
  <c r="AF66" i="22"/>
  <c r="AF71" i="22"/>
  <c r="AF70" i="22"/>
  <c r="AF48" i="22"/>
  <c r="AF54" i="22"/>
  <c r="AF58" i="22"/>
  <c r="AF55" i="22"/>
  <c r="K5" i="16" l="1"/>
  <c r="I192" i="22" s="1"/>
  <c r="K6" i="16"/>
  <c r="I193" i="22" s="1"/>
  <c r="K7" i="16"/>
  <c r="I194" i="22" s="1"/>
  <c r="K8" i="16"/>
  <c r="I195" i="22" s="1"/>
  <c r="K9" i="16"/>
  <c r="I196" i="22" s="1"/>
  <c r="K10" i="16"/>
  <c r="I197" i="22" s="1"/>
  <c r="G5" i="16"/>
  <c r="G6" i="16"/>
  <c r="G7" i="16"/>
  <c r="G8" i="16"/>
  <c r="G9" i="16"/>
  <c r="G10" i="16"/>
  <c r="E9" i="16"/>
  <c r="E10" i="16"/>
  <c r="E5" i="16"/>
  <c r="E6" i="16"/>
  <c r="E7" i="16"/>
  <c r="E8" i="16"/>
  <c r="E5" i="20"/>
  <c r="I12" i="16"/>
  <c r="G199" i="22" s="1"/>
  <c r="D12" i="16"/>
  <c r="C199" i="22" s="1"/>
  <c r="AG199" i="22" s="1"/>
  <c r="B12" i="16"/>
  <c r="B12" i="18"/>
  <c r="G5" i="20"/>
  <c r="G6" i="20"/>
  <c r="D192" i="22" l="1"/>
  <c r="B192" i="22"/>
  <c r="B194" i="22"/>
  <c r="D194" i="22"/>
  <c r="D193" i="22"/>
  <c r="B193" i="22"/>
  <c r="D197" i="22"/>
  <c r="B197" i="22"/>
  <c r="B196" i="22"/>
  <c r="D196" i="22"/>
  <c r="D195" i="22"/>
  <c r="B195" i="22"/>
  <c r="D210" i="22"/>
  <c r="B210" i="22"/>
  <c r="I12" i="20"/>
  <c r="G217" i="22" s="1"/>
  <c r="D12" i="20"/>
  <c r="C217" i="22" s="1"/>
  <c r="AG217" i="22" s="1"/>
  <c r="B14" i="21"/>
  <c r="B12" i="20" s="1"/>
  <c r="AF210" i="22" l="1"/>
  <c r="AF195" i="22"/>
  <c r="AF196" i="22"/>
  <c r="AF197" i="22"/>
  <c r="AF193" i="22"/>
  <c r="AF194" i="22"/>
  <c r="AF192" i="22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K15" i="8"/>
  <c r="I15" i="22" s="1"/>
  <c r="K16" i="8"/>
  <c r="I16" i="22" s="1"/>
  <c r="K17" i="8"/>
  <c r="I17" i="22" s="1"/>
  <c r="K18" i="8"/>
  <c r="I18" i="22" s="1"/>
  <c r="K19" i="8"/>
  <c r="I19" i="22" s="1"/>
  <c r="K20" i="8"/>
  <c r="I20" i="22" s="1"/>
  <c r="K21" i="8"/>
  <c r="I21" i="22" s="1"/>
  <c r="K22" i="8"/>
  <c r="I22" i="22" s="1"/>
  <c r="K23" i="8"/>
  <c r="I23" i="22" s="1"/>
  <c r="K24" i="8"/>
  <c r="I24" i="22" s="1"/>
  <c r="K25" i="8"/>
  <c r="I25" i="22" s="1"/>
  <c r="K26" i="8"/>
  <c r="I26" i="22" s="1"/>
  <c r="K27" i="8"/>
  <c r="I27" i="22" s="1"/>
  <c r="K28" i="8"/>
  <c r="I28" i="22" s="1"/>
  <c r="K29" i="8"/>
  <c r="I29" i="22" s="1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D22" i="22" l="1"/>
  <c r="B22" i="22"/>
  <c r="B9" i="22"/>
  <c r="D9" i="22"/>
  <c r="B5" i="22"/>
  <c r="D5" i="22"/>
  <c r="B10" i="22"/>
  <c r="D10" i="22"/>
  <c r="D28" i="22"/>
  <c r="B28" i="22"/>
  <c r="B8" i="22"/>
  <c r="D8" i="22"/>
  <c r="D27" i="22"/>
  <c r="B27" i="22"/>
  <c r="B7" i="22"/>
  <c r="D7" i="22"/>
  <c r="B26" i="22"/>
  <c r="D26" i="22"/>
  <c r="B25" i="22"/>
  <c r="D25" i="22"/>
  <c r="D18" i="22"/>
  <c r="B18" i="22"/>
  <c r="B24" i="22"/>
  <c r="D24" i="22"/>
  <c r="D23" i="22"/>
  <c r="B23" i="22"/>
  <c r="B19" i="22"/>
  <c r="D19" i="22"/>
  <c r="B21" i="22"/>
  <c r="D21" i="22"/>
  <c r="B20" i="22"/>
  <c r="D20" i="22"/>
  <c r="B17" i="22"/>
  <c r="D17" i="22"/>
  <c r="B16" i="22"/>
  <c r="D16" i="22"/>
  <c r="B15" i="22"/>
  <c r="D15" i="22"/>
  <c r="B29" i="22"/>
  <c r="D29" i="22"/>
  <c r="B6" i="22"/>
  <c r="D6" i="22"/>
  <c r="B14" i="22"/>
  <c r="D14" i="22"/>
  <c r="B13" i="22"/>
  <c r="D13" i="22"/>
  <c r="B12" i="22"/>
  <c r="D12" i="22"/>
  <c r="B11" i="22"/>
  <c r="D11" i="22"/>
  <c r="D95" i="15"/>
  <c r="C189" i="22" s="1"/>
  <c r="AG189" i="22" s="1"/>
  <c r="B96" i="14"/>
  <c r="K39" i="12"/>
  <c r="I79" i="22" s="1"/>
  <c r="AF29" i="22" l="1"/>
  <c r="AF27" i="22"/>
  <c r="AF7" i="22"/>
  <c r="AF11" i="22"/>
  <c r="AF25" i="22"/>
  <c r="AF20" i="22"/>
  <c r="AF12" i="22"/>
  <c r="AF13" i="22"/>
  <c r="AF5" i="22"/>
  <c r="AF8" i="22"/>
  <c r="AF15" i="22"/>
  <c r="AF16" i="22"/>
  <c r="AF17" i="22"/>
  <c r="AF19" i="22"/>
  <c r="AF9" i="22"/>
  <c r="AF26" i="22"/>
  <c r="AF28" i="22"/>
  <c r="AF10" i="22"/>
  <c r="AF14" i="22"/>
  <c r="AF22" i="22"/>
  <c r="AF21" i="22"/>
  <c r="AF23" i="22"/>
  <c r="AF24" i="22"/>
  <c r="AF18" i="22"/>
  <c r="AF6" i="22"/>
  <c r="B95" i="15"/>
  <c r="B96" i="15"/>
  <c r="B51" i="3"/>
  <c r="B42" i="8" s="1"/>
  <c r="I5" i="21" l="1" a="1"/>
  <c r="I5" i="21" s="1"/>
  <c r="L5" i="20" s="1"/>
  <c r="L210" i="22" s="1"/>
  <c r="I6" i="21" a="1"/>
  <c r="I6" i="21" s="1"/>
  <c r="L6" i="20" s="1"/>
  <c r="L211" i="22" s="1"/>
  <c r="F5" i="21"/>
  <c r="J210" i="22" s="1"/>
  <c r="F6" i="21"/>
  <c r="J211" i="22" s="1"/>
  <c r="I5" i="20"/>
  <c r="G210" i="22" s="1"/>
  <c r="I6" i="20"/>
  <c r="G211" i="22" s="1"/>
  <c r="G6" i="21" l="1"/>
  <c r="K211" i="22" s="1"/>
  <c r="G5" i="21"/>
  <c r="K210" i="22" s="1"/>
  <c r="H5" i="21"/>
  <c r="H6" i="21"/>
  <c r="D5" i="20"/>
  <c r="C210" i="22" s="1"/>
  <c r="AG210" i="22" s="1"/>
  <c r="D6" i="20"/>
  <c r="C211" i="22" s="1"/>
  <c r="AG211" i="22" s="1"/>
  <c r="G4" i="20"/>
  <c r="L12" i="19"/>
  <c r="L208" i="22" s="1"/>
  <c r="L10" i="19"/>
  <c r="L206" i="22" s="1"/>
  <c r="K5" i="19"/>
  <c r="I201" i="22" s="1"/>
  <c r="K6" i="19"/>
  <c r="I202" i="22" s="1"/>
  <c r="K7" i="19"/>
  <c r="I203" i="22" s="1"/>
  <c r="K8" i="19"/>
  <c r="I204" i="22" s="1"/>
  <c r="K9" i="19"/>
  <c r="I205" i="22" s="1"/>
  <c r="K10" i="19"/>
  <c r="I206" i="22" s="1"/>
  <c r="K11" i="19"/>
  <c r="I207" i="22" s="1"/>
  <c r="K12" i="19"/>
  <c r="I208" i="22" s="1"/>
  <c r="I5" i="19"/>
  <c r="G201" i="22" s="1"/>
  <c r="I6" i="19"/>
  <c r="G202" i="22" s="1"/>
  <c r="I7" i="19"/>
  <c r="G203" i="22" s="1"/>
  <c r="I8" i="19"/>
  <c r="G204" i="22" s="1"/>
  <c r="I9" i="19"/>
  <c r="G205" i="22" s="1"/>
  <c r="I10" i="19"/>
  <c r="G206" i="22" s="1"/>
  <c r="I11" i="19"/>
  <c r="G207" i="22" s="1"/>
  <c r="I12" i="19"/>
  <c r="G208" i="22" s="1"/>
  <c r="G4" i="19"/>
  <c r="G5" i="19"/>
  <c r="G6" i="19"/>
  <c r="G7" i="19"/>
  <c r="G8" i="19"/>
  <c r="G9" i="19"/>
  <c r="G10" i="19"/>
  <c r="G11" i="19"/>
  <c r="G12" i="19"/>
  <c r="I5" i="17" a="1"/>
  <c r="I5" i="17" s="1"/>
  <c r="L5" i="19" s="1"/>
  <c r="L201" i="22" s="1"/>
  <c r="I6" i="17" a="1"/>
  <c r="I6" i="17" s="1"/>
  <c r="L6" i="19" s="1"/>
  <c r="L202" i="22" s="1"/>
  <c r="I7" i="17" a="1"/>
  <c r="I7" i="17"/>
  <c r="L7" i="19" s="1"/>
  <c r="L203" i="22" s="1"/>
  <c r="I8" i="17" a="1"/>
  <c r="I8" i="17" s="1"/>
  <c r="L8" i="19" s="1"/>
  <c r="L204" i="22" s="1"/>
  <c r="I9" i="17" a="1"/>
  <c r="I9" i="17" s="1"/>
  <c r="L9" i="19" s="1"/>
  <c r="L205" i="22" s="1"/>
  <c r="I10" i="17" a="1"/>
  <c r="I10" i="17" s="1"/>
  <c r="I11" i="17" a="1"/>
  <c r="I11" i="17" s="1"/>
  <c r="L11" i="19" s="1"/>
  <c r="L207" i="22" s="1"/>
  <c r="H10" i="17"/>
  <c r="H11" i="17"/>
  <c r="F5" i="17"/>
  <c r="J201" i="22" s="1"/>
  <c r="F6" i="17"/>
  <c r="J202" i="22" s="1"/>
  <c r="F7" i="17"/>
  <c r="J203" i="22" s="1"/>
  <c r="F8" i="17"/>
  <c r="J204" i="22" s="1"/>
  <c r="F9" i="17"/>
  <c r="J205" i="22" s="1"/>
  <c r="F10" i="17"/>
  <c r="J206" i="22" s="1"/>
  <c r="F11" i="17"/>
  <c r="J207" i="22" s="1"/>
  <c r="E5" i="19"/>
  <c r="E6" i="19"/>
  <c r="E7" i="19"/>
  <c r="E8" i="19"/>
  <c r="E9" i="19"/>
  <c r="E10" i="19"/>
  <c r="E11" i="19"/>
  <c r="E12" i="19"/>
  <c r="B6" i="19"/>
  <c r="B7" i="19"/>
  <c r="B8" i="19"/>
  <c r="D5" i="19"/>
  <c r="C201" i="22" s="1"/>
  <c r="D6" i="19"/>
  <c r="C202" i="22" s="1"/>
  <c r="D7" i="19"/>
  <c r="C203" i="22" s="1"/>
  <c r="D8" i="19"/>
  <c r="C204" i="22" s="1"/>
  <c r="B10" i="19"/>
  <c r="D9" i="19"/>
  <c r="C205" i="22" s="1"/>
  <c r="D10" i="19"/>
  <c r="C206" i="22" s="1"/>
  <c r="D11" i="19"/>
  <c r="C207" i="22" s="1"/>
  <c r="I5" i="18" a="1"/>
  <c r="I5" i="18" s="1"/>
  <c r="L5" i="16" s="1"/>
  <c r="L192" i="22" s="1"/>
  <c r="I6" i="18" a="1"/>
  <c r="I6" i="18" s="1"/>
  <c r="L6" i="16" s="1"/>
  <c r="L193" i="22" s="1"/>
  <c r="I7" i="18" a="1"/>
  <c r="I7" i="18" s="1"/>
  <c r="L7" i="16" s="1"/>
  <c r="L194" i="22" s="1"/>
  <c r="I8" i="18" a="1"/>
  <c r="I8" i="18" s="1"/>
  <c r="L8" i="16" s="1"/>
  <c r="L195" i="22" s="1"/>
  <c r="I9" i="18" a="1"/>
  <c r="I9" i="18" s="1"/>
  <c r="L9" i="16" s="1"/>
  <c r="L196" i="22" s="1"/>
  <c r="I10" i="18" a="1"/>
  <c r="I10" i="18" s="1"/>
  <c r="L10" i="16" s="1"/>
  <c r="L197" i="22" s="1"/>
  <c r="F5" i="18"/>
  <c r="J192" i="22" s="1"/>
  <c r="F6" i="18"/>
  <c r="J193" i="22" s="1"/>
  <c r="F7" i="18"/>
  <c r="J194" i="22" s="1"/>
  <c r="F8" i="18"/>
  <c r="J195" i="22" s="1"/>
  <c r="F9" i="18"/>
  <c r="J196" i="22" s="1"/>
  <c r="F10" i="18"/>
  <c r="J197" i="22" s="1"/>
  <c r="I5" i="16"/>
  <c r="G192" i="22" s="1"/>
  <c r="I6" i="16"/>
  <c r="G193" i="22" s="1"/>
  <c r="I7" i="16"/>
  <c r="G194" i="22" s="1"/>
  <c r="I8" i="16"/>
  <c r="G195" i="22" s="1"/>
  <c r="I9" i="16"/>
  <c r="G196" i="22" s="1"/>
  <c r="I10" i="16"/>
  <c r="G197" i="22" s="1"/>
  <c r="B6" i="16"/>
  <c r="B7" i="16"/>
  <c r="B8" i="16"/>
  <c r="D5" i="16"/>
  <c r="C192" i="22" s="1"/>
  <c r="AG192" i="22" s="1"/>
  <c r="D6" i="16"/>
  <c r="C193" i="22" s="1"/>
  <c r="AG193" i="22" s="1"/>
  <c r="D7" i="16"/>
  <c r="C194" i="22" s="1"/>
  <c r="AG194" i="22" s="1"/>
  <c r="D8" i="16"/>
  <c r="C195" i="22" s="1"/>
  <c r="AG195" i="22" s="1"/>
  <c r="B10" i="16"/>
  <c r="B11" i="16"/>
  <c r="D9" i="16"/>
  <c r="C196" i="22" s="1"/>
  <c r="AG196" i="22" s="1"/>
  <c r="D10" i="16"/>
  <c r="C197" i="22" s="1"/>
  <c r="AG197" i="22" s="1"/>
  <c r="D11" i="16"/>
  <c r="C198" i="22" s="1"/>
  <c r="AG198" i="22" s="1"/>
  <c r="G4" i="16"/>
  <c r="E5" i="15"/>
  <c r="E6" i="15"/>
  <c r="E7" i="15"/>
  <c r="E8" i="15"/>
  <c r="G5" i="15"/>
  <c r="G6" i="15"/>
  <c r="G7" i="15"/>
  <c r="G8" i="15"/>
  <c r="G9" i="15"/>
  <c r="G10" i="15"/>
  <c r="G4" i="15"/>
  <c r="F5" i="14"/>
  <c r="J99" i="22" s="1"/>
  <c r="F6" i="14"/>
  <c r="J100" i="22" s="1"/>
  <c r="F7" i="14"/>
  <c r="J101" i="22" s="1"/>
  <c r="F8" i="14"/>
  <c r="J102" i="22" s="1"/>
  <c r="F9" i="14"/>
  <c r="J103" i="22" s="1"/>
  <c r="F10" i="14"/>
  <c r="J104" i="22" s="1"/>
  <c r="F11" i="14"/>
  <c r="J105" i="22" s="1"/>
  <c r="F12" i="14"/>
  <c r="J106" i="22" s="1"/>
  <c r="F13" i="14"/>
  <c r="J107" i="22" s="1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" i="12"/>
  <c r="I5" i="13" a="1"/>
  <c r="I5" i="13" s="1"/>
  <c r="L5" i="12" s="1"/>
  <c r="L45" i="22" s="1"/>
  <c r="I6" i="13" a="1"/>
  <c r="I6" i="13" s="1"/>
  <c r="L6" i="12" s="1"/>
  <c r="L46" i="22" s="1"/>
  <c r="I7" i="13" a="1"/>
  <c r="I7" i="13" s="1"/>
  <c r="L7" i="12" s="1"/>
  <c r="L47" i="22" s="1"/>
  <c r="I8" i="13" a="1"/>
  <c r="I8" i="13" s="1"/>
  <c r="L8" i="12" s="1"/>
  <c r="L48" i="22" s="1"/>
  <c r="I9" i="13" a="1"/>
  <c r="I9" i="13" s="1"/>
  <c r="L9" i="12" s="1"/>
  <c r="L49" i="22" s="1"/>
  <c r="I10" i="13" a="1"/>
  <c r="I10" i="13" s="1"/>
  <c r="L10" i="12" s="1"/>
  <c r="L50" i="22" s="1"/>
  <c r="I11" i="13" a="1"/>
  <c r="I11" i="13" s="1"/>
  <c r="L11" i="12" s="1"/>
  <c r="L51" i="22" s="1"/>
  <c r="I12" i="13" a="1"/>
  <c r="I12" i="13" s="1"/>
  <c r="L12" i="12" s="1"/>
  <c r="L52" i="22" s="1"/>
  <c r="I13" i="13" a="1"/>
  <c r="I13" i="13" s="1"/>
  <c r="L13" i="12" s="1"/>
  <c r="L53" i="22" s="1"/>
  <c r="I14" i="13" a="1"/>
  <c r="I14" i="13" s="1"/>
  <c r="L14" i="12" s="1"/>
  <c r="L54" i="22" s="1"/>
  <c r="I15" i="13" a="1"/>
  <c r="I15" i="13" s="1"/>
  <c r="L15" i="12" s="1"/>
  <c r="L55" i="22" s="1"/>
  <c r="I16" i="13" a="1"/>
  <c r="I16" i="13" s="1"/>
  <c r="L16" i="12" s="1"/>
  <c r="L56" i="22" s="1"/>
  <c r="I17" i="13" a="1"/>
  <c r="I17" i="13" s="1"/>
  <c r="L17" i="12" s="1"/>
  <c r="L57" i="22" s="1"/>
  <c r="I18" i="13" a="1"/>
  <c r="I18" i="13" s="1"/>
  <c r="L18" i="12" s="1"/>
  <c r="L58" i="22" s="1"/>
  <c r="I19" i="13" a="1"/>
  <c r="I19" i="13" s="1"/>
  <c r="L19" i="12" s="1"/>
  <c r="L59" i="22" s="1"/>
  <c r="I20" i="13" a="1"/>
  <c r="I20" i="13" s="1"/>
  <c r="L20" i="12" s="1"/>
  <c r="L60" i="22" s="1"/>
  <c r="I21" i="13" a="1"/>
  <c r="I21" i="13" s="1"/>
  <c r="L21" i="12" s="1"/>
  <c r="L61" i="22" s="1"/>
  <c r="I22" i="13" a="1"/>
  <c r="I22" i="13" s="1"/>
  <c r="L22" i="12" s="1"/>
  <c r="L62" i="22" s="1"/>
  <c r="I23" i="13" a="1"/>
  <c r="I23" i="13" s="1"/>
  <c r="L23" i="12" s="1"/>
  <c r="L63" i="22" s="1"/>
  <c r="I24" i="13" a="1"/>
  <c r="I24" i="13" s="1"/>
  <c r="L24" i="12" s="1"/>
  <c r="L64" i="22" s="1"/>
  <c r="I25" i="13" a="1"/>
  <c r="I25" i="13" s="1"/>
  <c r="L25" i="12" s="1"/>
  <c r="L65" i="22" s="1"/>
  <c r="I26" i="13" a="1"/>
  <c r="I26" i="13" s="1"/>
  <c r="L26" i="12" s="1"/>
  <c r="L66" i="22" s="1"/>
  <c r="I27" i="13" a="1"/>
  <c r="I27" i="13" s="1"/>
  <c r="L27" i="12" s="1"/>
  <c r="L67" i="22" s="1"/>
  <c r="I28" i="13" a="1"/>
  <c r="I28" i="13" s="1"/>
  <c r="L28" i="12" s="1"/>
  <c r="L68" i="22" s="1"/>
  <c r="I29" i="13" a="1"/>
  <c r="I29" i="13" s="1"/>
  <c r="L29" i="12" s="1"/>
  <c r="L69" i="22" s="1"/>
  <c r="I30" i="13" a="1"/>
  <c r="I30" i="13" s="1"/>
  <c r="L30" i="12" s="1"/>
  <c r="L70" i="22" s="1"/>
  <c r="I31" i="13" a="1"/>
  <c r="I31" i="13" s="1"/>
  <c r="L31" i="12" s="1"/>
  <c r="L71" i="22" s="1"/>
  <c r="I32" i="13" a="1"/>
  <c r="I32" i="13" s="1"/>
  <c r="L32" i="12" s="1"/>
  <c r="L72" i="22" s="1"/>
  <c r="I33" i="13" a="1"/>
  <c r="I33" i="13" s="1"/>
  <c r="L33" i="12" s="1"/>
  <c r="L73" i="22" s="1"/>
  <c r="I34" i="13" a="1"/>
  <c r="I34" i="13" s="1"/>
  <c r="L34" i="12" s="1"/>
  <c r="L74" i="22" s="1"/>
  <c r="I35" i="13" a="1"/>
  <c r="I35" i="13" s="1"/>
  <c r="L35" i="12" s="1"/>
  <c r="L75" i="22" s="1"/>
  <c r="I36" i="13" a="1"/>
  <c r="I36" i="13" s="1"/>
  <c r="L36" i="12" s="1"/>
  <c r="L76" i="22" s="1"/>
  <c r="I37" i="13" a="1"/>
  <c r="I37" i="13" s="1"/>
  <c r="L37" i="12" s="1"/>
  <c r="L77" i="22" s="1"/>
  <c r="I38" i="13" a="1"/>
  <c r="I38" i="13" s="1"/>
  <c r="L38" i="12" s="1"/>
  <c r="L78" i="22" s="1"/>
  <c r="I39" i="13" a="1"/>
  <c r="I39" i="13" s="1"/>
  <c r="L39" i="12" s="1"/>
  <c r="L79" i="22" s="1"/>
  <c r="I40" i="13" a="1"/>
  <c r="I40" i="13" s="1"/>
  <c r="L40" i="12" s="1"/>
  <c r="L80" i="22" s="1"/>
  <c r="I41" i="13" a="1"/>
  <c r="I41" i="13" s="1"/>
  <c r="L41" i="12" s="1"/>
  <c r="L81" i="22" s="1"/>
  <c r="I42" i="13" a="1"/>
  <c r="I42" i="13" s="1"/>
  <c r="L42" i="12" s="1"/>
  <c r="L82" i="22" s="1"/>
  <c r="I43" i="13" a="1"/>
  <c r="I43" i="13" s="1"/>
  <c r="L43" i="12" s="1"/>
  <c r="L83" i="22" s="1"/>
  <c r="I44" i="13" a="1"/>
  <c r="I44" i="13" s="1"/>
  <c r="L44" i="12" s="1"/>
  <c r="L84" i="22" s="1"/>
  <c r="I45" i="13" a="1"/>
  <c r="I45" i="13" s="1"/>
  <c r="L45" i="12" s="1"/>
  <c r="L85" i="22" s="1"/>
  <c r="I46" i="13" a="1"/>
  <c r="I46" i="13" s="1"/>
  <c r="L46" i="12" s="1"/>
  <c r="L86" i="22" s="1"/>
  <c r="I47" i="13" a="1"/>
  <c r="I47" i="13" s="1"/>
  <c r="L47" i="12" s="1"/>
  <c r="L87" i="22" s="1"/>
  <c r="I48" i="13" a="1"/>
  <c r="I48" i="13" s="1"/>
  <c r="L48" i="12" s="1"/>
  <c r="L88" i="22" s="1"/>
  <c r="I5" i="12"/>
  <c r="G45" i="22" s="1"/>
  <c r="I6" i="12"/>
  <c r="G46" i="22" s="1"/>
  <c r="I7" i="12"/>
  <c r="G47" i="22" s="1"/>
  <c r="I8" i="12"/>
  <c r="G48" i="22" s="1"/>
  <c r="I9" i="12"/>
  <c r="G49" i="22" s="1"/>
  <c r="I10" i="12"/>
  <c r="G50" i="22" s="1"/>
  <c r="I11" i="12"/>
  <c r="G51" i="22" s="1"/>
  <c r="I12" i="12"/>
  <c r="G52" i="22" s="1"/>
  <c r="I13" i="12"/>
  <c r="G53" i="22" s="1"/>
  <c r="I14" i="12"/>
  <c r="G54" i="22" s="1"/>
  <c r="I15" i="12"/>
  <c r="G55" i="22" s="1"/>
  <c r="I16" i="12"/>
  <c r="G56" i="22" s="1"/>
  <c r="I17" i="12"/>
  <c r="G57" i="22" s="1"/>
  <c r="I18" i="12"/>
  <c r="G58" i="22" s="1"/>
  <c r="I19" i="12"/>
  <c r="G59" i="22" s="1"/>
  <c r="I20" i="12"/>
  <c r="G60" i="22" s="1"/>
  <c r="I21" i="12"/>
  <c r="G61" i="22" s="1"/>
  <c r="I22" i="12"/>
  <c r="G62" i="22" s="1"/>
  <c r="I23" i="12"/>
  <c r="G63" i="22" s="1"/>
  <c r="I24" i="12"/>
  <c r="G64" i="22" s="1"/>
  <c r="I25" i="12"/>
  <c r="G65" i="22" s="1"/>
  <c r="I26" i="12"/>
  <c r="G66" i="22" s="1"/>
  <c r="I27" i="12"/>
  <c r="G67" i="22" s="1"/>
  <c r="I28" i="12"/>
  <c r="G68" i="22" s="1"/>
  <c r="I29" i="12"/>
  <c r="G69" i="22" s="1"/>
  <c r="I30" i="12"/>
  <c r="G70" i="22" s="1"/>
  <c r="I31" i="12"/>
  <c r="G71" i="22" s="1"/>
  <c r="I32" i="12"/>
  <c r="G72" i="22" s="1"/>
  <c r="I33" i="12"/>
  <c r="G73" i="22" s="1"/>
  <c r="I34" i="12"/>
  <c r="G74" i="22" s="1"/>
  <c r="I35" i="12"/>
  <c r="G75" i="22" s="1"/>
  <c r="I36" i="12"/>
  <c r="G76" i="22" s="1"/>
  <c r="I37" i="12"/>
  <c r="G77" i="22" s="1"/>
  <c r="I38" i="12"/>
  <c r="G78" i="22" s="1"/>
  <c r="I39" i="12"/>
  <c r="G79" i="22" s="1"/>
  <c r="I40" i="12"/>
  <c r="G80" i="22" s="1"/>
  <c r="I41" i="12"/>
  <c r="G81" i="22" s="1"/>
  <c r="I42" i="12"/>
  <c r="G82" i="22" s="1"/>
  <c r="I43" i="12"/>
  <c r="G83" i="22" s="1"/>
  <c r="I44" i="12"/>
  <c r="G84" i="22" s="1"/>
  <c r="I5" i="8"/>
  <c r="G5" i="22" s="1"/>
  <c r="I6" i="8"/>
  <c r="G6" i="22" s="1"/>
  <c r="I7" i="8"/>
  <c r="G7" i="22" s="1"/>
  <c r="I8" i="8"/>
  <c r="G8" i="22" s="1"/>
  <c r="I9" i="8"/>
  <c r="G9" i="22" s="1"/>
  <c r="I10" i="8"/>
  <c r="G10" i="22" s="1"/>
  <c r="I11" i="8"/>
  <c r="G11" i="22" s="1"/>
  <c r="I12" i="8"/>
  <c r="G12" i="22" s="1"/>
  <c r="I13" i="8"/>
  <c r="G13" i="22" s="1"/>
  <c r="I14" i="8"/>
  <c r="G14" i="22" s="1"/>
  <c r="I15" i="8"/>
  <c r="G15" i="22" s="1"/>
  <c r="I16" i="8"/>
  <c r="G16" i="22" s="1"/>
  <c r="I17" i="8"/>
  <c r="G17" i="22" s="1"/>
  <c r="I18" i="8"/>
  <c r="G18" i="22" s="1"/>
  <c r="I19" i="8"/>
  <c r="G19" i="22" s="1"/>
  <c r="I20" i="8"/>
  <c r="G20" i="22" s="1"/>
  <c r="I21" i="8"/>
  <c r="G21" i="22" s="1"/>
  <c r="I22" i="8"/>
  <c r="G22" i="22" s="1"/>
  <c r="I23" i="8"/>
  <c r="G23" i="22" s="1"/>
  <c r="I24" i="8"/>
  <c r="G24" i="22" s="1"/>
  <c r="I25" i="8"/>
  <c r="G25" i="22" s="1"/>
  <c r="I26" i="8"/>
  <c r="G26" i="22" s="1"/>
  <c r="I27" i="8"/>
  <c r="G27" i="22" s="1"/>
  <c r="I28" i="8"/>
  <c r="G28" i="22" s="1"/>
  <c r="I29" i="8"/>
  <c r="G29" i="22" s="1"/>
  <c r="I31" i="8"/>
  <c r="G31" i="22" s="1"/>
  <c r="I32" i="8"/>
  <c r="G32" i="22" s="1"/>
  <c r="I33" i="8"/>
  <c r="G33" i="22" s="1"/>
  <c r="I34" i="8"/>
  <c r="G34" i="22" s="1"/>
  <c r="I35" i="8"/>
  <c r="G35" i="22" s="1"/>
  <c r="K5" i="8"/>
  <c r="I5" i="22" s="1"/>
  <c r="K6" i="8"/>
  <c r="I6" i="22" s="1"/>
  <c r="K7" i="8"/>
  <c r="I7" i="22" s="1"/>
  <c r="K8" i="8"/>
  <c r="I8" i="22" s="1"/>
  <c r="K9" i="8"/>
  <c r="I9" i="22" s="1"/>
  <c r="K10" i="8"/>
  <c r="I10" i="22" s="1"/>
  <c r="K11" i="8"/>
  <c r="I11" i="22" s="1"/>
  <c r="K12" i="8"/>
  <c r="I12" i="22" s="1"/>
  <c r="K13" i="8"/>
  <c r="I13" i="22" s="1"/>
  <c r="K14" i="8"/>
  <c r="I14" i="22" s="1"/>
  <c r="G4" i="8"/>
  <c r="B52" i="3"/>
  <c r="B100" i="22" l="1"/>
  <c r="D100" i="22"/>
  <c r="G5" i="17"/>
  <c r="K201" i="22" s="1"/>
  <c r="B99" i="22"/>
  <c r="D99" i="22"/>
  <c r="G6" i="17"/>
  <c r="K202" i="22" s="1"/>
  <c r="H9" i="17"/>
  <c r="D208" i="22"/>
  <c r="B208" i="22"/>
  <c r="H8" i="17"/>
  <c r="AG205" i="22"/>
  <c r="B101" i="22"/>
  <c r="D101" i="22"/>
  <c r="B207" i="22"/>
  <c r="D207" i="22"/>
  <c r="H7" i="17"/>
  <c r="B206" i="22"/>
  <c r="D206" i="22"/>
  <c r="AG206" i="22" s="1"/>
  <c r="H6" i="17"/>
  <c r="B205" i="22"/>
  <c r="D205" i="22"/>
  <c r="H5" i="17"/>
  <c r="D204" i="22"/>
  <c r="B204" i="22"/>
  <c r="B102" i="22"/>
  <c r="D102" i="22"/>
  <c r="B203" i="22"/>
  <c r="D203" i="22"/>
  <c r="AG203" i="22" s="1"/>
  <c r="D202" i="22"/>
  <c r="B202" i="22"/>
  <c r="B201" i="22"/>
  <c r="D201" i="22"/>
  <c r="AG201" i="22" s="1"/>
  <c r="AG204" i="22"/>
  <c r="AG202" i="22"/>
  <c r="AG207" i="22"/>
  <c r="H13" i="14"/>
  <c r="G7" i="14"/>
  <c r="K101" i="22" s="1"/>
  <c r="H7" i="14"/>
  <c r="G5" i="14"/>
  <c r="K99" i="22" s="1"/>
  <c r="H5" i="14"/>
  <c r="H12" i="14"/>
  <c r="G11" i="17"/>
  <c r="K207" i="22" s="1"/>
  <c r="G10" i="17"/>
  <c r="K206" i="22" s="1"/>
  <c r="G8" i="18"/>
  <c r="K195" i="22" s="1"/>
  <c r="H10" i="14"/>
  <c r="H6" i="18"/>
  <c r="G6" i="14"/>
  <c r="K100" i="22" s="1"/>
  <c r="H6" i="14"/>
  <c r="G9" i="17"/>
  <c r="K205" i="22" s="1"/>
  <c r="H9" i="18"/>
  <c r="G11" i="14"/>
  <c r="K105" i="22" s="1"/>
  <c r="H11" i="14"/>
  <c r="H7" i="18"/>
  <c r="G8" i="14"/>
  <c r="K102" i="22" s="1"/>
  <c r="H8" i="14"/>
  <c r="G8" i="17"/>
  <c r="K204" i="22" s="1"/>
  <c r="G9" i="14"/>
  <c r="K103" i="22" s="1"/>
  <c r="H9" i="14"/>
  <c r="H5" i="18"/>
  <c r="H10" i="18"/>
  <c r="G7" i="17"/>
  <c r="K203" i="22" s="1"/>
  <c r="G10" i="18"/>
  <c r="K197" i="22" s="1"/>
  <c r="G9" i="18"/>
  <c r="K196" i="22" s="1"/>
  <c r="G7" i="18"/>
  <c r="K194" i="22" s="1"/>
  <c r="G6" i="18"/>
  <c r="K193" i="22" s="1"/>
  <c r="G5" i="18"/>
  <c r="K192" i="22" s="1"/>
  <c r="B43" i="8"/>
  <c r="H8" i="18"/>
  <c r="G13" i="14"/>
  <c r="K107" i="22" s="1"/>
  <c r="G12" i="14"/>
  <c r="K106" i="22" s="1"/>
  <c r="G10" i="14"/>
  <c r="K104" i="22" s="1"/>
  <c r="I70" i="11"/>
  <c r="I62" i="10"/>
  <c r="I43" i="7"/>
  <c r="AF101" i="22" l="1"/>
  <c r="AH202" i="22"/>
  <c r="AI202" i="22" s="1"/>
  <c r="AJ202" i="22" s="1"/>
  <c r="AF202" i="22"/>
  <c r="AF208" i="22"/>
  <c r="AH208" i="22"/>
  <c r="AI208" i="22" s="1"/>
  <c r="AJ208" i="22" s="1"/>
  <c r="AF201" i="22"/>
  <c r="AH102" i="22"/>
  <c r="AI102" i="22" s="1"/>
  <c r="AJ102" i="22" s="1"/>
  <c r="AF102" i="22"/>
  <c r="AH207" i="22"/>
  <c r="AI207" i="22" s="1"/>
  <c r="AJ207" i="22" s="1"/>
  <c r="AF207" i="22"/>
  <c r="AF204" i="22"/>
  <c r="AH204" i="22"/>
  <c r="AI204" i="22" s="1"/>
  <c r="AJ204" i="22" s="1"/>
  <c r="AF99" i="22"/>
  <c r="AH203" i="22"/>
  <c r="AI203" i="22" s="1"/>
  <c r="AJ203" i="22" s="1"/>
  <c r="AF203" i="22"/>
  <c r="AH205" i="22"/>
  <c r="AI205" i="22" s="1"/>
  <c r="AJ205" i="22" s="1"/>
  <c r="AF205" i="22"/>
  <c r="AF100" i="22"/>
  <c r="AF206" i="22"/>
  <c r="AH206" i="22"/>
  <c r="AI206" i="22" s="1"/>
  <c r="AJ206" i="22" s="1"/>
  <c r="B13" i="19"/>
  <c r="P10" i="6"/>
  <c r="O10" i="6"/>
  <c r="P9" i="6"/>
  <c r="O9" i="6"/>
  <c r="P8" i="6"/>
  <c r="O8" i="6"/>
  <c r="P7" i="6"/>
  <c r="O7" i="6"/>
  <c r="P6" i="6"/>
  <c r="O6" i="6"/>
  <c r="P5" i="6"/>
  <c r="O5" i="6"/>
  <c r="Z1" i="22" s="1"/>
  <c r="AH100" i="22" s="1"/>
  <c r="AI100" i="22" s="1"/>
  <c r="AJ100" i="22" s="1"/>
  <c r="B53" i="3"/>
  <c r="C41" i="23"/>
  <c r="C42" i="23"/>
  <c r="C43" i="23"/>
  <c r="C44" i="23"/>
  <c r="C45" i="23"/>
  <c r="M8" i="23"/>
  <c r="M9" i="23"/>
  <c r="M10" i="23"/>
  <c r="M11" i="23"/>
  <c r="M12" i="23"/>
  <c r="M13" i="23"/>
  <c r="M14" i="23"/>
  <c r="M15" i="23"/>
  <c r="M16" i="23"/>
  <c r="M17" i="23"/>
  <c r="D8" i="23"/>
  <c r="D9" i="23"/>
  <c r="D10" i="23"/>
  <c r="D11" i="23"/>
  <c r="D12" i="23"/>
  <c r="D13" i="23"/>
  <c r="D14" i="23"/>
  <c r="D15" i="23"/>
  <c r="D16" i="23"/>
  <c r="D17" i="23"/>
  <c r="D27" i="23"/>
  <c r="D28" i="23"/>
  <c r="D29" i="23"/>
  <c r="D30" i="23"/>
  <c r="D31" i="23"/>
  <c r="D26" i="23"/>
  <c r="C27" i="23"/>
  <c r="C28" i="23"/>
  <c r="C29" i="23"/>
  <c r="C30" i="23"/>
  <c r="C31" i="23"/>
  <c r="C26" i="23"/>
  <c r="AH99" i="22" l="1"/>
  <c r="AI99" i="22" s="1"/>
  <c r="AJ99" i="22" s="1"/>
  <c r="AH201" i="22"/>
  <c r="AI201" i="22" s="1"/>
  <c r="AJ201" i="22" s="1"/>
  <c r="AH212" i="22"/>
  <c r="AI212" i="22" s="1"/>
  <c r="AJ212" i="22" s="1"/>
  <c r="AH213" i="22"/>
  <c r="AI213" i="22" s="1"/>
  <c r="AJ213" i="22" s="1"/>
  <c r="AH214" i="22"/>
  <c r="AI214" i="22" s="1"/>
  <c r="AJ214" i="22" s="1"/>
  <c r="AH211" i="22"/>
  <c r="AI211" i="22" s="1"/>
  <c r="AJ211" i="22" s="1"/>
  <c r="AH96" i="22"/>
  <c r="AI96" i="22" s="1"/>
  <c r="AH95" i="22"/>
  <c r="AI95" i="22" s="1"/>
  <c r="AH40" i="22"/>
  <c r="AI40" i="22" s="1"/>
  <c r="AJ40" i="22" s="1"/>
  <c r="AH38" i="22"/>
  <c r="AI38" i="22" s="1"/>
  <c r="AJ38" i="22" s="1"/>
  <c r="AH30" i="22"/>
  <c r="AI30" i="22" s="1"/>
  <c r="AJ30" i="22" s="1"/>
  <c r="AH31" i="22"/>
  <c r="AI31" i="22" s="1"/>
  <c r="AJ31" i="22" s="1"/>
  <c r="AH37" i="22"/>
  <c r="AI37" i="22" s="1"/>
  <c r="AJ37" i="22" s="1"/>
  <c r="AH32" i="22"/>
  <c r="AI32" i="22" s="1"/>
  <c r="AJ32" i="22" s="1"/>
  <c r="AH36" i="22"/>
  <c r="AI36" i="22" s="1"/>
  <c r="AJ36" i="22" s="1"/>
  <c r="AH33" i="22"/>
  <c r="AI33" i="22" s="1"/>
  <c r="AJ33" i="22" s="1"/>
  <c r="AH42" i="22"/>
  <c r="AI42" i="22" s="1"/>
  <c r="AJ42" i="22" s="1"/>
  <c r="AH35" i="22"/>
  <c r="AI35" i="22" s="1"/>
  <c r="AJ35" i="22" s="1"/>
  <c r="AH34" i="22"/>
  <c r="AI34" i="22" s="1"/>
  <c r="AJ34" i="22" s="1"/>
  <c r="AH41" i="22"/>
  <c r="AI41" i="22" s="1"/>
  <c r="AJ41" i="22" s="1"/>
  <c r="AH39" i="22"/>
  <c r="AI39" i="22" s="1"/>
  <c r="AJ39" i="22" s="1"/>
  <c r="AH168" i="22"/>
  <c r="AI168" i="22" s="1"/>
  <c r="AJ168" i="22" s="1"/>
  <c r="AH177" i="22"/>
  <c r="AI177" i="22" s="1"/>
  <c r="AJ177" i="22" s="1"/>
  <c r="AH171" i="22"/>
  <c r="AI171" i="22" s="1"/>
  <c r="AJ171" i="22" s="1"/>
  <c r="AH186" i="22"/>
  <c r="AI186" i="22" s="1"/>
  <c r="AJ186" i="22" s="1"/>
  <c r="AH170" i="22"/>
  <c r="AI170" i="22" s="1"/>
  <c r="AJ170" i="22" s="1"/>
  <c r="AH164" i="22"/>
  <c r="AI164" i="22" s="1"/>
  <c r="AJ164" i="22" s="1"/>
  <c r="AH181" i="22"/>
  <c r="AI181" i="22" s="1"/>
  <c r="AJ181" i="22" s="1"/>
  <c r="AH174" i="22"/>
  <c r="AI174" i="22" s="1"/>
  <c r="AJ174" i="22" s="1"/>
  <c r="AH165" i="22"/>
  <c r="AI165" i="22" s="1"/>
  <c r="AJ165" i="22" s="1"/>
  <c r="AH187" i="22"/>
  <c r="AI187" i="22" s="1"/>
  <c r="AJ187" i="22" s="1"/>
  <c r="AH178" i="22"/>
  <c r="AI178" i="22" s="1"/>
  <c r="AJ178" i="22" s="1"/>
  <c r="AH166" i="22"/>
  <c r="AI166" i="22" s="1"/>
  <c r="AJ166" i="22" s="1"/>
  <c r="AH175" i="22"/>
  <c r="AI175" i="22" s="1"/>
  <c r="AJ175" i="22" s="1"/>
  <c r="AH176" i="22"/>
  <c r="AI176" i="22" s="1"/>
  <c r="AJ176" i="22" s="1"/>
  <c r="AH184" i="22"/>
  <c r="AI184" i="22" s="1"/>
  <c r="AJ184" i="22" s="1"/>
  <c r="AH188" i="22"/>
  <c r="AI188" i="22" s="1"/>
  <c r="AJ188" i="22" s="1"/>
  <c r="AH182" i="22"/>
  <c r="AI182" i="22" s="1"/>
  <c r="AJ182" i="22" s="1"/>
  <c r="AH189" i="22"/>
  <c r="AI189" i="22" s="1"/>
  <c r="AJ189" i="22" s="1"/>
  <c r="AH173" i="22"/>
  <c r="AI173" i="22" s="1"/>
  <c r="AJ173" i="22" s="1"/>
  <c r="AH172" i="22"/>
  <c r="AI172" i="22" s="1"/>
  <c r="AJ172" i="22" s="1"/>
  <c r="AH167" i="22"/>
  <c r="AI167" i="22" s="1"/>
  <c r="AJ167" i="22" s="1"/>
  <c r="AH183" i="22"/>
  <c r="AI183" i="22" s="1"/>
  <c r="AJ183" i="22" s="1"/>
  <c r="AH185" i="22"/>
  <c r="AI185" i="22" s="1"/>
  <c r="AJ185" i="22" s="1"/>
  <c r="AH179" i="22"/>
  <c r="AI179" i="22" s="1"/>
  <c r="AJ179" i="22" s="1"/>
  <c r="AH180" i="22"/>
  <c r="AI180" i="22" s="1"/>
  <c r="AJ180" i="22" s="1"/>
  <c r="AH169" i="22"/>
  <c r="AI169" i="22" s="1"/>
  <c r="AJ169" i="22" s="1"/>
  <c r="AH162" i="22"/>
  <c r="AI162" i="22" s="1"/>
  <c r="AJ162" i="22" s="1"/>
  <c r="AH163" i="22"/>
  <c r="AI163" i="22" s="1"/>
  <c r="AJ163" i="22" s="1"/>
  <c r="AH150" i="22"/>
  <c r="AI150" i="22" s="1"/>
  <c r="AJ150" i="22" s="1"/>
  <c r="AH154" i="22"/>
  <c r="AI154" i="22" s="1"/>
  <c r="AJ154" i="22" s="1"/>
  <c r="AH151" i="22"/>
  <c r="AI151" i="22" s="1"/>
  <c r="AJ151" i="22" s="1"/>
  <c r="AH157" i="22"/>
  <c r="AI157" i="22" s="1"/>
  <c r="AJ157" i="22" s="1"/>
  <c r="AH160" i="22"/>
  <c r="AI160" i="22" s="1"/>
  <c r="AJ160" i="22" s="1"/>
  <c r="AH144" i="22"/>
  <c r="AI144" i="22" s="1"/>
  <c r="AJ144" i="22" s="1"/>
  <c r="AH161" i="22"/>
  <c r="AI161" i="22" s="1"/>
  <c r="AJ161" i="22" s="1"/>
  <c r="AH148" i="22"/>
  <c r="AI148" i="22" s="1"/>
  <c r="AJ148" i="22" s="1"/>
  <c r="AH146" i="22"/>
  <c r="AI146" i="22" s="1"/>
  <c r="AJ146" i="22" s="1"/>
  <c r="AH158" i="22"/>
  <c r="AI158" i="22" s="1"/>
  <c r="AJ158" i="22" s="1"/>
  <c r="AH140" i="22"/>
  <c r="AI140" i="22" s="1"/>
  <c r="AJ140" i="22" s="1"/>
  <c r="AH159" i="22"/>
  <c r="AI159" i="22" s="1"/>
  <c r="AJ159" i="22" s="1"/>
  <c r="AH147" i="22"/>
  <c r="AI147" i="22" s="1"/>
  <c r="AJ147" i="22" s="1"/>
  <c r="AH145" i="22"/>
  <c r="AI145" i="22" s="1"/>
  <c r="AJ145" i="22" s="1"/>
  <c r="AH138" i="22"/>
  <c r="AI138" i="22" s="1"/>
  <c r="AJ138" i="22" s="1"/>
  <c r="AH143" i="22"/>
  <c r="AI143" i="22" s="1"/>
  <c r="AJ143" i="22" s="1"/>
  <c r="AH139" i="22"/>
  <c r="AI139" i="22" s="1"/>
  <c r="AJ139" i="22" s="1"/>
  <c r="AH156" i="22"/>
  <c r="AI156" i="22" s="1"/>
  <c r="AJ156" i="22" s="1"/>
  <c r="AH141" i="22"/>
  <c r="AI141" i="22" s="1"/>
  <c r="AJ141" i="22" s="1"/>
  <c r="AH153" i="22"/>
  <c r="AI153" i="22" s="1"/>
  <c r="AJ153" i="22" s="1"/>
  <c r="AH142" i="22"/>
  <c r="AI142" i="22" s="1"/>
  <c r="AJ142" i="22" s="1"/>
  <c r="AH152" i="22"/>
  <c r="AI152" i="22" s="1"/>
  <c r="AJ152" i="22" s="1"/>
  <c r="AH155" i="22"/>
  <c r="AI155" i="22" s="1"/>
  <c r="AJ155" i="22" s="1"/>
  <c r="AH149" i="22"/>
  <c r="AI149" i="22" s="1"/>
  <c r="AJ149" i="22" s="1"/>
  <c r="AH120" i="22"/>
  <c r="AI120" i="22" s="1"/>
  <c r="AJ120" i="22" s="1"/>
  <c r="AH110" i="22"/>
  <c r="AI110" i="22" s="1"/>
  <c r="AJ110" i="22" s="1"/>
  <c r="AH136" i="22"/>
  <c r="AI136" i="22" s="1"/>
  <c r="AJ136" i="22" s="1"/>
  <c r="AH127" i="22"/>
  <c r="AI127" i="22" s="1"/>
  <c r="AJ127" i="22" s="1"/>
  <c r="AH124" i="22"/>
  <c r="AI124" i="22" s="1"/>
  <c r="AJ124" i="22" s="1"/>
  <c r="AH123" i="22"/>
  <c r="AI123" i="22" s="1"/>
  <c r="AJ123" i="22" s="1"/>
  <c r="AH111" i="22"/>
  <c r="AI111" i="22" s="1"/>
  <c r="AJ111" i="22" s="1"/>
  <c r="AH134" i="22"/>
  <c r="AI134" i="22" s="1"/>
  <c r="AJ134" i="22" s="1"/>
  <c r="AH103" i="22"/>
  <c r="AI103" i="22" s="1"/>
  <c r="AJ103" i="22" s="1"/>
  <c r="AH109" i="22"/>
  <c r="AI109" i="22" s="1"/>
  <c r="AJ109" i="22" s="1"/>
  <c r="AH108" i="22"/>
  <c r="AI108" i="22" s="1"/>
  <c r="AJ108" i="22" s="1"/>
  <c r="AH125" i="22"/>
  <c r="AI125" i="22" s="1"/>
  <c r="AJ125" i="22" s="1"/>
  <c r="AH128" i="22"/>
  <c r="AI128" i="22" s="1"/>
  <c r="AJ128" i="22" s="1"/>
  <c r="AH121" i="22"/>
  <c r="AI121" i="22" s="1"/>
  <c r="AJ121" i="22" s="1"/>
  <c r="AH117" i="22"/>
  <c r="AI117" i="22" s="1"/>
  <c r="AJ117" i="22" s="1"/>
  <c r="AH104" i="22"/>
  <c r="AI104" i="22" s="1"/>
  <c r="AJ104" i="22" s="1"/>
  <c r="AH126" i="22"/>
  <c r="AI126" i="22" s="1"/>
  <c r="AJ126" i="22" s="1"/>
  <c r="AH137" i="22"/>
  <c r="AI137" i="22" s="1"/>
  <c r="AJ137" i="22" s="1"/>
  <c r="AH122" i="22"/>
  <c r="AI122" i="22" s="1"/>
  <c r="AJ122" i="22" s="1"/>
  <c r="AH130" i="22"/>
  <c r="AI130" i="22" s="1"/>
  <c r="AJ130" i="22" s="1"/>
  <c r="AH132" i="22"/>
  <c r="AI132" i="22" s="1"/>
  <c r="AJ132" i="22" s="1"/>
  <c r="AH129" i="22"/>
  <c r="AI129" i="22" s="1"/>
  <c r="AJ129" i="22" s="1"/>
  <c r="AH106" i="22"/>
  <c r="AI106" i="22" s="1"/>
  <c r="AJ106" i="22" s="1"/>
  <c r="AH131" i="22"/>
  <c r="AI131" i="22" s="1"/>
  <c r="AJ131" i="22" s="1"/>
  <c r="AH133" i="22"/>
  <c r="AI133" i="22" s="1"/>
  <c r="AJ133" i="22" s="1"/>
  <c r="AH119" i="22"/>
  <c r="AI119" i="22" s="1"/>
  <c r="AJ119" i="22" s="1"/>
  <c r="AH113" i="22"/>
  <c r="AI113" i="22" s="1"/>
  <c r="AJ113" i="22" s="1"/>
  <c r="AH107" i="22"/>
  <c r="AI107" i="22" s="1"/>
  <c r="AJ107" i="22" s="1"/>
  <c r="AH135" i="22"/>
  <c r="AI135" i="22" s="1"/>
  <c r="AJ135" i="22" s="1"/>
  <c r="AH115" i="22"/>
  <c r="AI115" i="22" s="1"/>
  <c r="AJ115" i="22" s="1"/>
  <c r="AH116" i="22"/>
  <c r="AI116" i="22" s="1"/>
  <c r="AJ116" i="22" s="1"/>
  <c r="AH114" i="22"/>
  <c r="AI114" i="22" s="1"/>
  <c r="AJ114" i="22" s="1"/>
  <c r="AH105" i="22"/>
  <c r="AI105" i="22" s="1"/>
  <c r="AJ105" i="22" s="1"/>
  <c r="AH112" i="22"/>
  <c r="AI112" i="22" s="1"/>
  <c r="AJ112" i="22" s="1"/>
  <c r="AH118" i="22"/>
  <c r="AI118" i="22" s="1"/>
  <c r="AJ118" i="22" s="1"/>
  <c r="AH85" i="22"/>
  <c r="AI85" i="22" s="1"/>
  <c r="AH86" i="22"/>
  <c r="AI86" i="22" s="1"/>
  <c r="AH87" i="22"/>
  <c r="AI87" i="22" s="1"/>
  <c r="AH92" i="22"/>
  <c r="AI92" i="22" s="1"/>
  <c r="AH90" i="22"/>
  <c r="AI90" i="22" s="1"/>
  <c r="AH91" i="22"/>
  <c r="AI91" i="22" s="1"/>
  <c r="AH88" i="22"/>
  <c r="AI88" i="22" s="1"/>
  <c r="AH93" i="22"/>
  <c r="AI93" i="22" s="1"/>
  <c r="AH94" i="22"/>
  <c r="AI94" i="22" s="1"/>
  <c r="AH89" i="22"/>
  <c r="AI89" i="22" s="1"/>
  <c r="AH80" i="22"/>
  <c r="AI80" i="22" s="1"/>
  <c r="AH84" i="22"/>
  <c r="AI84" i="22" s="1"/>
  <c r="AH81" i="22"/>
  <c r="AI81" i="22" s="1"/>
  <c r="AH83" i="22"/>
  <c r="AI83" i="22" s="1"/>
  <c r="AH82" i="22"/>
  <c r="AI82" i="22" s="1"/>
  <c r="AH51" i="22"/>
  <c r="AI51" i="22" s="1"/>
  <c r="AH46" i="22"/>
  <c r="AI46" i="22" s="1"/>
  <c r="AH54" i="22"/>
  <c r="AI54" i="22" s="1"/>
  <c r="AH58" i="22"/>
  <c r="AI58" i="22" s="1"/>
  <c r="AH74" i="22"/>
  <c r="AI74" i="22" s="1"/>
  <c r="AH45" i="22"/>
  <c r="AI45" i="22" s="1"/>
  <c r="AH79" i="22"/>
  <c r="AI79" i="22" s="1"/>
  <c r="AH71" i="22"/>
  <c r="AI71" i="22" s="1"/>
  <c r="AH60" i="22"/>
  <c r="AI60" i="22" s="1"/>
  <c r="AH49" i="22"/>
  <c r="AI49" i="22" s="1"/>
  <c r="AH55" i="22"/>
  <c r="AI55" i="22" s="1"/>
  <c r="AH75" i="22"/>
  <c r="AI75" i="22" s="1"/>
  <c r="AH56" i="22"/>
  <c r="AI56" i="22" s="1"/>
  <c r="AH76" i="22"/>
  <c r="AI76" i="22" s="1"/>
  <c r="AH53" i="22"/>
  <c r="AI53" i="22" s="1"/>
  <c r="AH48" i="22"/>
  <c r="AI48" i="22" s="1"/>
  <c r="AH72" i="22"/>
  <c r="AI72" i="22" s="1"/>
  <c r="AH65" i="22"/>
  <c r="AI65" i="22" s="1"/>
  <c r="AH69" i="22"/>
  <c r="AI69" i="22" s="1"/>
  <c r="AH50" i="22"/>
  <c r="AI50" i="22" s="1"/>
  <c r="AH61" i="22"/>
  <c r="AI61" i="22" s="1"/>
  <c r="AH67" i="22"/>
  <c r="AI67" i="22" s="1"/>
  <c r="AH64" i="22"/>
  <c r="AI64" i="22" s="1"/>
  <c r="AH47" i="22"/>
  <c r="AI47" i="22" s="1"/>
  <c r="AH77" i="22"/>
  <c r="AI77" i="22" s="1"/>
  <c r="AH44" i="22"/>
  <c r="AI44" i="22" s="1"/>
  <c r="AH68" i="22"/>
  <c r="AI68" i="22" s="1"/>
  <c r="AH78" i="22"/>
  <c r="AI78" i="22" s="1"/>
  <c r="AH57" i="22"/>
  <c r="AI57" i="22" s="1"/>
  <c r="AH63" i="22"/>
  <c r="AI63" i="22" s="1"/>
  <c r="AH66" i="22"/>
  <c r="AI66" i="22" s="1"/>
  <c r="AH59" i="22"/>
  <c r="AI59" i="22" s="1"/>
  <c r="AH62" i="22"/>
  <c r="AI62" i="22" s="1"/>
  <c r="AH73" i="22"/>
  <c r="AI73" i="22" s="1"/>
  <c r="AH70" i="22"/>
  <c r="AI70" i="22" s="1"/>
  <c r="AH52" i="22"/>
  <c r="AI52" i="22" s="1"/>
  <c r="AH210" i="22"/>
  <c r="AI210" i="22" s="1"/>
  <c r="AJ210" i="22" s="1"/>
  <c r="AH195" i="22"/>
  <c r="AI195" i="22" s="1"/>
  <c r="AJ195" i="22" s="1"/>
  <c r="AH196" i="22"/>
  <c r="AI196" i="22" s="1"/>
  <c r="AJ196" i="22" s="1"/>
  <c r="AH193" i="22"/>
  <c r="AI193" i="22" s="1"/>
  <c r="AJ193" i="22" s="1"/>
  <c r="AH197" i="22"/>
  <c r="AI197" i="22" s="1"/>
  <c r="AJ197" i="22" s="1"/>
  <c r="AH194" i="22"/>
  <c r="AI194" i="22" s="1"/>
  <c r="AJ194" i="22" s="1"/>
  <c r="AH192" i="22"/>
  <c r="AI192" i="22" s="1"/>
  <c r="AJ192" i="22" s="1"/>
  <c r="AH5" i="22"/>
  <c r="AI5" i="22" s="1"/>
  <c r="AJ5" i="22" s="1"/>
  <c r="AH14" i="22"/>
  <c r="AI14" i="22" s="1"/>
  <c r="AJ14" i="22" s="1"/>
  <c r="AH8" i="22"/>
  <c r="AI8" i="22" s="1"/>
  <c r="AJ8" i="22" s="1"/>
  <c r="AH21" i="22"/>
  <c r="AI21" i="22" s="1"/>
  <c r="AJ21" i="22" s="1"/>
  <c r="AH16" i="22"/>
  <c r="AI16" i="22" s="1"/>
  <c r="AJ16" i="22" s="1"/>
  <c r="AH11" i="22"/>
  <c r="AI11" i="22" s="1"/>
  <c r="AJ11" i="22" s="1"/>
  <c r="AH17" i="22"/>
  <c r="AI17" i="22" s="1"/>
  <c r="AJ17" i="22" s="1"/>
  <c r="AH24" i="22"/>
  <c r="AI24" i="22" s="1"/>
  <c r="AJ24" i="22" s="1"/>
  <c r="AH9" i="22"/>
  <c r="AI9" i="22" s="1"/>
  <c r="AJ9" i="22" s="1"/>
  <c r="AH6" i="22"/>
  <c r="AI6" i="22" s="1"/>
  <c r="AJ6" i="22" s="1"/>
  <c r="AH29" i="22"/>
  <c r="AI29" i="22" s="1"/>
  <c r="AJ29" i="22" s="1"/>
  <c r="AH7" i="22"/>
  <c r="AI7" i="22" s="1"/>
  <c r="AJ7" i="22" s="1"/>
  <c r="AH26" i="22"/>
  <c r="AI26" i="22" s="1"/>
  <c r="AJ26" i="22" s="1"/>
  <c r="AH28" i="22"/>
  <c r="AI28" i="22" s="1"/>
  <c r="AJ28" i="22" s="1"/>
  <c r="AH27" i="22"/>
  <c r="AI27" i="22" s="1"/>
  <c r="AJ27" i="22" s="1"/>
  <c r="AH22" i="22"/>
  <c r="AI22" i="22" s="1"/>
  <c r="AJ22" i="22" s="1"/>
  <c r="AH20" i="22"/>
  <c r="AI20" i="22" s="1"/>
  <c r="AJ20" i="22" s="1"/>
  <c r="AH25" i="22"/>
  <c r="AI25" i="22" s="1"/>
  <c r="AJ25" i="22" s="1"/>
  <c r="AH12" i="22"/>
  <c r="AI12" i="22" s="1"/>
  <c r="AJ12" i="22" s="1"/>
  <c r="AH15" i="22"/>
  <c r="AI15" i="22" s="1"/>
  <c r="AJ15" i="22" s="1"/>
  <c r="AH23" i="22"/>
  <c r="AI23" i="22" s="1"/>
  <c r="AJ23" i="22" s="1"/>
  <c r="AH19" i="22"/>
  <c r="AI19" i="22" s="1"/>
  <c r="AJ19" i="22" s="1"/>
  <c r="AH18" i="22"/>
  <c r="AI18" i="22" s="1"/>
  <c r="AJ18" i="22" s="1"/>
  <c r="AH13" i="22"/>
  <c r="AI13" i="22" s="1"/>
  <c r="AJ13" i="22" s="1"/>
  <c r="AH10" i="22"/>
  <c r="AI10" i="22" s="1"/>
  <c r="AJ10" i="22" s="1"/>
  <c r="AH101" i="22"/>
  <c r="AI101" i="22" s="1"/>
  <c r="AJ101" i="22" s="1"/>
  <c r="V75" i="23"/>
  <c r="V74" i="23"/>
  <c r="V72" i="23"/>
  <c r="V76" i="23"/>
  <c r="V77" i="23"/>
  <c r="V73" i="23"/>
  <c r="R72" i="23"/>
  <c r="R75" i="23"/>
  <c r="R74" i="23"/>
  <c r="R73" i="23"/>
  <c r="R76" i="23"/>
  <c r="R77" i="23"/>
  <c r="N7" i="4"/>
  <c r="L7" i="4"/>
  <c r="J7" i="4"/>
  <c r="H7" i="4"/>
  <c r="F7" i="4"/>
  <c r="D7" i="4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D6" i="12"/>
  <c r="C46" i="22" s="1"/>
  <c r="AG46" i="22" s="1"/>
  <c r="D7" i="12"/>
  <c r="C47" i="22" s="1"/>
  <c r="AG47" i="22" s="1"/>
  <c r="D8" i="12"/>
  <c r="C48" i="22" s="1"/>
  <c r="AG48" i="22" s="1"/>
  <c r="D9" i="12"/>
  <c r="C49" i="22" s="1"/>
  <c r="AG49" i="22" s="1"/>
  <c r="D10" i="12"/>
  <c r="C50" i="22" s="1"/>
  <c r="AG50" i="22" s="1"/>
  <c r="D11" i="12"/>
  <c r="C51" i="22" s="1"/>
  <c r="AG51" i="22" s="1"/>
  <c r="D12" i="12"/>
  <c r="C52" i="22" s="1"/>
  <c r="AG52" i="22" s="1"/>
  <c r="D13" i="12"/>
  <c r="C53" i="22" s="1"/>
  <c r="AG53" i="22" s="1"/>
  <c r="D14" i="12"/>
  <c r="C54" i="22" s="1"/>
  <c r="AG54" i="22" s="1"/>
  <c r="D15" i="12"/>
  <c r="C55" i="22" s="1"/>
  <c r="AG55" i="22" s="1"/>
  <c r="D16" i="12"/>
  <c r="C56" i="22" s="1"/>
  <c r="AG56" i="22" s="1"/>
  <c r="D17" i="12"/>
  <c r="C57" i="22" s="1"/>
  <c r="AG57" i="22" s="1"/>
  <c r="D18" i="12"/>
  <c r="C58" i="22" s="1"/>
  <c r="AG58" i="22" s="1"/>
  <c r="D19" i="12"/>
  <c r="C59" i="22" s="1"/>
  <c r="AG59" i="22" s="1"/>
  <c r="D20" i="12"/>
  <c r="C60" i="22" s="1"/>
  <c r="AG60" i="22" s="1"/>
  <c r="D21" i="12"/>
  <c r="C61" i="22" s="1"/>
  <c r="AG61" i="22" s="1"/>
  <c r="D22" i="12"/>
  <c r="C62" i="22" s="1"/>
  <c r="AG62" i="22" s="1"/>
  <c r="D23" i="12"/>
  <c r="C63" i="22" s="1"/>
  <c r="AG63" i="22" s="1"/>
  <c r="D24" i="12"/>
  <c r="C64" i="22" s="1"/>
  <c r="AG64" i="22" s="1"/>
  <c r="D25" i="12"/>
  <c r="C65" i="22" s="1"/>
  <c r="AG65" i="22" s="1"/>
  <c r="D26" i="12"/>
  <c r="C66" i="22" s="1"/>
  <c r="AG66" i="22" s="1"/>
  <c r="D27" i="12"/>
  <c r="C67" i="22" s="1"/>
  <c r="AG67" i="22" s="1"/>
  <c r="F5" i="13"/>
  <c r="J45" i="22" s="1"/>
  <c r="F6" i="13"/>
  <c r="J46" i="22" s="1"/>
  <c r="F7" i="13"/>
  <c r="J47" i="22" s="1"/>
  <c r="F8" i="13"/>
  <c r="J48" i="22" s="1"/>
  <c r="F9" i="13"/>
  <c r="J49" i="22" s="1"/>
  <c r="F10" i="13"/>
  <c r="J50" i="22" s="1"/>
  <c r="F11" i="13"/>
  <c r="J51" i="22" s="1"/>
  <c r="F12" i="13"/>
  <c r="J52" i="22" s="1"/>
  <c r="F13" i="13"/>
  <c r="J53" i="22" s="1"/>
  <c r="F14" i="13"/>
  <c r="J54" i="22" s="1"/>
  <c r="F15" i="13"/>
  <c r="J55" i="22" s="1"/>
  <c r="F16" i="13"/>
  <c r="J56" i="22" s="1"/>
  <c r="F17" i="13"/>
  <c r="J57" i="22" s="1"/>
  <c r="F18" i="13"/>
  <c r="J58" i="22" s="1"/>
  <c r="F19" i="13"/>
  <c r="J59" i="22" s="1"/>
  <c r="F20" i="13"/>
  <c r="J60" i="22" s="1"/>
  <c r="F21" i="13"/>
  <c r="J61" i="22" s="1"/>
  <c r="F22" i="13"/>
  <c r="J62" i="22" s="1"/>
  <c r="F23" i="13"/>
  <c r="J63" i="22" s="1"/>
  <c r="F24" i="13"/>
  <c r="J64" i="22" s="1"/>
  <c r="F25" i="13"/>
  <c r="J65" i="22" s="1"/>
  <c r="F26" i="13"/>
  <c r="J66" i="22" s="1"/>
  <c r="F27" i="13"/>
  <c r="J67" i="22" s="1"/>
  <c r="F28" i="13"/>
  <c r="J68" i="22" s="1"/>
  <c r="F29" i="13"/>
  <c r="J69" i="22" s="1"/>
  <c r="F30" i="13"/>
  <c r="J70" i="22" s="1"/>
  <c r="F31" i="13"/>
  <c r="J71" i="22" s="1"/>
  <c r="F32" i="13"/>
  <c r="J72" i="22" s="1"/>
  <c r="F33" i="13"/>
  <c r="J73" i="22" s="1"/>
  <c r="F34" i="13"/>
  <c r="J74" i="22" s="1"/>
  <c r="F35" i="13"/>
  <c r="J75" i="22" s="1"/>
  <c r="F36" i="13"/>
  <c r="J76" i="22" s="1"/>
  <c r="F37" i="13"/>
  <c r="J77" i="22" s="1"/>
  <c r="F38" i="13"/>
  <c r="J78" i="22" s="1"/>
  <c r="F39" i="13"/>
  <c r="J79" i="22" s="1"/>
  <c r="F40" i="13"/>
  <c r="J80" i="22" s="1"/>
  <c r="F41" i="13"/>
  <c r="J81" i="22" s="1"/>
  <c r="F42" i="13"/>
  <c r="J82" i="22" s="1"/>
  <c r="F43" i="13"/>
  <c r="J83" i="22" s="1"/>
  <c r="F44" i="13"/>
  <c r="J84" i="22" s="1"/>
  <c r="F45" i="13"/>
  <c r="J85" i="22" s="1"/>
  <c r="F46" i="13"/>
  <c r="J86" i="22" s="1"/>
  <c r="F47" i="13"/>
  <c r="J87" i="22" s="1"/>
  <c r="F48" i="13"/>
  <c r="J88" i="22" s="1"/>
  <c r="I4" i="13" a="1"/>
  <c r="I4" i="13" s="1"/>
  <c r="G47" i="13" l="1"/>
  <c r="K87" i="22" s="1"/>
  <c r="H47" i="13"/>
  <c r="G48" i="13"/>
  <c r="K88" i="22" s="1"/>
  <c r="H48" i="13"/>
  <c r="H42" i="13"/>
  <c r="H41" i="13"/>
  <c r="H45" i="13"/>
  <c r="G45" i="13"/>
  <c r="K85" i="22" s="1"/>
  <c r="H44" i="13"/>
  <c r="G44" i="13"/>
  <c r="K84" i="22" s="1"/>
  <c r="H46" i="13"/>
  <c r="G46" i="13"/>
  <c r="K86" i="22" s="1"/>
  <c r="H43" i="13"/>
  <c r="G43" i="13"/>
  <c r="K83" i="22" s="1"/>
  <c r="H28" i="13"/>
  <c r="G28" i="13"/>
  <c r="K68" i="22" s="1"/>
  <c r="H6" i="13"/>
  <c r="G6" i="13"/>
  <c r="K46" i="22" s="1"/>
  <c r="H25" i="13"/>
  <c r="G25" i="13"/>
  <c r="K65" i="22" s="1"/>
  <c r="G42" i="13"/>
  <c r="K82" i="22" s="1"/>
  <c r="H39" i="13"/>
  <c r="G39" i="13"/>
  <c r="K79" i="22" s="1"/>
  <c r="G19" i="13"/>
  <c r="K59" i="22" s="1"/>
  <c r="H19" i="13"/>
  <c r="H38" i="13"/>
  <c r="G38" i="13"/>
  <c r="K78" i="22" s="1"/>
  <c r="G18" i="13"/>
  <c r="K58" i="22" s="1"/>
  <c r="H18" i="13"/>
  <c r="G37" i="13"/>
  <c r="K77" i="22" s="1"/>
  <c r="H37" i="13"/>
  <c r="G17" i="13"/>
  <c r="K57" i="22" s="1"/>
  <c r="H17" i="13"/>
  <c r="H7" i="13"/>
  <c r="G7" i="13"/>
  <c r="K47" i="22" s="1"/>
  <c r="G41" i="13"/>
  <c r="K81" i="22" s="1"/>
  <c r="H27" i="13"/>
  <c r="G27" i="13"/>
  <c r="K67" i="22" s="1"/>
  <c r="H26" i="13"/>
  <c r="G26" i="13"/>
  <c r="K66" i="22" s="1"/>
  <c r="G23" i="13"/>
  <c r="K63" i="22" s="1"/>
  <c r="H23" i="13"/>
  <c r="G22" i="13"/>
  <c r="K62" i="22" s="1"/>
  <c r="H22" i="13"/>
  <c r="H20" i="13"/>
  <c r="G20" i="13"/>
  <c r="K60" i="22" s="1"/>
  <c r="H35" i="13"/>
  <c r="G35" i="13"/>
  <c r="K75" i="22" s="1"/>
  <c r="G24" i="13"/>
  <c r="K64" i="22" s="1"/>
  <c r="H24" i="13"/>
  <c r="G21" i="13"/>
  <c r="K61" i="22" s="1"/>
  <c r="H21" i="13"/>
  <c r="G36" i="13"/>
  <c r="K76" i="22" s="1"/>
  <c r="H36" i="13"/>
  <c r="H14" i="13"/>
  <c r="G14" i="13"/>
  <c r="K54" i="22" s="1"/>
  <c r="H8" i="13"/>
  <c r="G8" i="13"/>
  <c r="K48" i="22" s="1"/>
  <c r="H5" i="13"/>
  <c r="G5" i="13"/>
  <c r="K45" i="22" s="1"/>
  <c r="G40" i="13"/>
  <c r="K80" i="22" s="1"/>
  <c r="H40" i="13"/>
  <c r="G16" i="13"/>
  <c r="K56" i="22" s="1"/>
  <c r="H16" i="13"/>
  <c r="H15" i="13"/>
  <c r="G15" i="13"/>
  <c r="K55" i="22" s="1"/>
  <c r="H34" i="13"/>
  <c r="G34" i="13"/>
  <c r="K74" i="22" s="1"/>
  <c r="H33" i="13"/>
  <c r="G33" i="13"/>
  <c r="K73" i="22" s="1"/>
  <c r="H13" i="13"/>
  <c r="G13" i="13"/>
  <c r="K53" i="22" s="1"/>
  <c r="H32" i="13"/>
  <c r="G32" i="13"/>
  <c r="K72" i="22" s="1"/>
  <c r="H12" i="13"/>
  <c r="G12" i="13"/>
  <c r="K52" i="22" s="1"/>
  <c r="H31" i="13"/>
  <c r="G31" i="13"/>
  <c r="K71" i="22" s="1"/>
  <c r="H11" i="13"/>
  <c r="G11" i="13"/>
  <c r="K51" i="22" s="1"/>
  <c r="H30" i="13"/>
  <c r="G30" i="13"/>
  <c r="K70" i="22" s="1"/>
  <c r="H10" i="13"/>
  <c r="G10" i="13"/>
  <c r="K50" i="22" s="1"/>
  <c r="H29" i="13"/>
  <c r="G29" i="13"/>
  <c r="K69" i="22" s="1"/>
  <c r="H9" i="13"/>
  <c r="G9" i="13"/>
  <c r="K49" i="22" s="1"/>
  <c r="AP10" i="22"/>
  <c r="AP9" i="22"/>
  <c r="AP8" i="22"/>
  <c r="AP7" i="22"/>
  <c r="AP6" i="22"/>
  <c r="AP5" i="22"/>
  <c r="AP4" i="22"/>
  <c r="AL9" i="22"/>
  <c r="AL8" i="22"/>
  <c r="AL7" i="22"/>
  <c r="AL6" i="22"/>
  <c r="AL5" i="22"/>
  <c r="AL4" i="22"/>
  <c r="M3" i="22"/>
  <c r="N3" i="22"/>
  <c r="O3" i="22"/>
  <c r="P3" i="22"/>
  <c r="Q3" i="22"/>
  <c r="R3" i="22"/>
  <c r="S3" i="22"/>
  <c r="T3" i="22"/>
  <c r="U3" i="22"/>
  <c r="V3" i="22"/>
  <c r="W3" i="22"/>
  <c r="X3" i="22"/>
  <c r="B4" i="14"/>
  <c r="B4" i="15" s="1"/>
  <c r="B5" i="14"/>
  <c r="B5" i="15" s="1"/>
  <c r="B6" i="14"/>
  <c r="B6" i="15" s="1"/>
  <c r="B7" i="14"/>
  <c r="B7" i="15" s="1"/>
  <c r="B8" i="14"/>
  <c r="B8" i="15" s="1"/>
  <c r="B9" i="14"/>
  <c r="B9" i="15" s="1"/>
  <c r="B10" i="14"/>
  <c r="B10" i="15" s="1"/>
  <c r="B11" i="14"/>
  <c r="B11" i="15" s="1"/>
  <c r="B12" i="14"/>
  <c r="B12" i="15" s="1"/>
  <c r="B13" i="14"/>
  <c r="B13" i="15" s="1"/>
  <c r="B71" i="14"/>
  <c r="B72" i="14"/>
  <c r="B73" i="14"/>
  <c r="B74" i="14"/>
  <c r="B83" i="14"/>
  <c r="B84" i="14"/>
  <c r="B88" i="15" s="1"/>
  <c r="B85" i="14"/>
  <c r="B89" i="15" s="1"/>
  <c r="B86" i="14"/>
  <c r="B90" i="15" s="1"/>
  <c r="B92" i="14"/>
  <c r="B91" i="15" s="1"/>
  <c r="B93" i="14"/>
  <c r="B92" i="15" s="1"/>
  <c r="B94" i="14"/>
  <c r="B93" i="15" s="1"/>
  <c r="B95" i="14"/>
  <c r="B94" i="15" s="1"/>
  <c r="B4" i="13"/>
  <c r="B4" i="12" s="1"/>
  <c r="B27" i="13"/>
  <c r="B28" i="13"/>
  <c r="B28" i="12" s="1"/>
  <c r="B29" i="13"/>
  <c r="B29" i="12" s="1"/>
  <c r="B30" i="13"/>
  <c r="B30" i="12" s="1"/>
  <c r="B31" i="13"/>
  <c r="B31" i="12" s="1"/>
  <c r="B32" i="13"/>
  <c r="B32" i="12" s="1"/>
  <c r="B33" i="13"/>
  <c r="B33" i="12" s="1"/>
  <c r="B34" i="13"/>
  <c r="B34" i="12" s="1"/>
  <c r="B35" i="13"/>
  <c r="B35" i="12" s="1"/>
  <c r="B36" i="13"/>
  <c r="B36" i="12" s="1"/>
  <c r="B37" i="13"/>
  <c r="B37" i="12" s="1"/>
  <c r="B38" i="13"/>
  <c r="B38" i="12" s="1"/>
  <c r="B39" i="13"/>
  <c r="B39" i="12" s="1"/>
  <c r="B40" i="13"/>
  <c r="B40" i="12" s="1"/>
  <c r="B41" i="13"/>
  <c r="B41" i="12" s="1"/>
  <c r="B42" i="13"/>
  <c r="B42" i="12" s="1"/>
  <c r="B43" i="13"/>
  <c r="B43" i="12" s="1"/>
  <c r="B44" i="13"/>
  <c r="B44" i="12" s="1"/>
  <c r="B45" i="13"/>
  <c r="B46" i="13"/>
  <c r="B47" i="13"/>
  <c r="B48" i="13"/>
  <c r="B49" i="13"/>
  <c r="B4" i="3"/>
  <c r="B4" i="8" s="1"/>
  <c r="B5" i="3"/>
  <c r="B5" i="8" s="1"/>
  <c r="B6" i="3"/>
  <c r="B6" i="8" s="1"/>
  <c r="B7" i="3"/>
  <c r="B7" i="8" s="1"/>
  <c r="B8" i="3"/>
  <c r="B8" i="8" s="1"/>
  <c r="B9" i="3"/>
  <c r="B9" i="8" s="1"/>
  <c r="B10" i="3"/>
  <c r="B10" i="8" s="1"/>
  <c r="B11" i="3"/>
  <c r="B11" i="8" s="1"/>
  <c r="B12" i="3"/>
  <c r="B12" i="8" s="1"/>
  <c r="B13" i="3"/>
  <c r="B13" i="8" s="1"/>
  <c r="B14" i="3"/>
  <c r="B14" i="8" s="1"/>
  <c r="B15" i="3"/>
  <c r="B15" i="8" s="1"/>
  <c r="B16" i="3"/>
  <c r="B16" i="8" s="1"/>
  <c r="B17" i="3"/>
  <c r="B17" i="8" s="1"/>
  <c r="B18" i="3"/>
  <c r="B18" i="8" s="1"/>
  <c r="B19" i="3"/>
  <c r="B19" i="8" s="1"/>
  <c r="B20" i="3"/>
  <c r="B20" i="8" s="1"/>
  <c r="B21" i="3"/>
  <c r="B21" i="8" s="1"/>
  <c r="B22" i="3"/>
  <c r="B22" i="8" s="1"/>
  <c r="B23" i="3"/>
  <c r="B23" i="8" s="1"/>
  <c r="B24" i="3"/>
  <c r="B24" i="8" s="1"/>
  <c r="B25" i="3"/>
  <c r="B25" i="8" s="1"/>
  <c r="B26" i="3"/>
  <c r="B26" i="8" s="1"/>
  <c r="B27" i="3"/>
  <c r="B27" i="8" s="1"/>
  <c r="B28" i="3"/>
  <c r="B28" i="8" s="1"/>
  <c r="B29" i="3"/>
  <c r="B29" i="8" s="1"/>
  <c r="B31" i="3"/>
  <c r="B30" i="8" s="1"/>
  <c r="B32" i="3"/>
  <c r="B31" i="8" s="1"/>
  <c r="B33" i="3"/>
  <c r="B32" i="8" s="1"/>
  <c r="B34" i="3"/>
  <c r="B33" i="8" s="1"/>
  <c r="B35" i="3"/>
  <c r="B34" i="8" s="1"/>
  <c r="B36" i="3"/>
  <c r="B37" i="3"/>
  <c r="B38" i="3"/>
  <c r="B39" i="3"/>
  <c r="B39" i="8" s="1"/>
  <c r="B40" i="3"/>
  <c r="B41" i="3"/>
  <c r="B42" i="3"/>
  <c r="B43" i="3"/>
  <c r="B44" i="3"/>
  <c r="B45" i="3"/>
  <c r="B46" i="3"/>
  <c r="B47" i="3"/>
  <c r="B48" i="3"/>
  <c r="B49" i="3"/>
  <c r="B50" i="3"/>
  <c r="B4" i="21"/>
  <c r="B4" i="20" s="1"/>
  <c r="B4" i="17"/>
  <c r="B4" i="19" s="1"/>
  <c r="B11" i="17"/>
  <c r="B4" i="18"/>
  <c r="B4" i="16" s="1"/>
  <c r="B11" i="18"/>
  <c r="B40" i="8" l="1"/>
  <c r="B37" i="8"/>
  <c r="B35" i="8"/>
  <c r="B36" i="8"/>
  <c r="B41" i="8"/>
  <c r="B38" i="8"/>
  <c r="B53" i="15"/>
  <c r="B74" i="15"/>
  <c r="B54" i="15"/>
  <c r="B83" i="15"/>
  <c r="B14" i="15"/>
  <c r="B71" i="15"/>
  <c r="B15" i="15"/>
  <c r="B72" i="15"/>
  <c r="B52" i="15"/>
  <c r="B73" i="15"/>
  <c r="B46" i="12"/>
  <c r="B45" i="12"/>
  <c r="B49" i="12"/>
  <c r="B48" i="12"/>
  <c r="B47" i="12"/>
  <c r="B12" i="19"/>
  <c r="B11" i="19"/>
  <c r="B9" i="19"/>
  <c r="B5" i="19"/>
  <c r="B9" i="16"/>
  <c r="B5" i="16"/>
  <c r="B27" i="12"/>
  <c r="AS4" i="22"/>
  <c r="D54" i="23"/>
  <c r="R81" i="23" s="1" a="1"/>
  <c r="R81" i="23" s="1"/>
  <c r="AS15" i="22"/>
  <c r="O54" i="23"/>
  <c r="R92" i="23" s="1" a="1"/>
  <c r="R92" i="23" s="1"/>
  <c r="AS14" i="22"/>
  <c r="N54" i="23"/>
  <c r="R91" i="23" s="1" a="1"/>
  <c r="R91" i="23" s="1"/>
  <c r="AS13" i="22"/>
  <c r="M54" i="23"/>
  <c r="R90" i="23" s="1" a="1"/>
  <c r="R90" i="23" s="1"/>
  <c r="AS12" i="22"/>
  <c r="L54" i="23"/>
  <c r="R89" i="23" s="1" a="1"/>
  <c r="R89" i="23" s="1"/>
  <c r="AS9" i="22"/>
  <c r="I54" i="23"/>
  <c r="R86" i="23" s="1" a="1"/>
  <c r="R86" i="23" s="1"/>
  <c r="AS11" i="22"/>
  <c r="K54" i="23"/>
  <c r="R88" i="23" s="1" a="1"/>
  <c r="R88" i="23" s="1"/>
  <c r="AS10" i="22"/>
  <c r="J54" i="23"/>
  <c r="R87" i="23" s="1" a="1"/>
  <c r="R87" i="23" s="1"/>
  <c r="AS8" i="22"/>
  <c r="H54" i="23"/>
  <c r="R85" i="23" s="1" a="1"/>
  <c r="R85" i="23" s="1"/>
  <c r="AS7" i="22"/>
  <c r="G54" i="23"/>
  <c r="R84" i="23" s="1" a="1"/>
  <c r="R84" i="23" s="1"/>
  <c r="AS6" i="22"/>
  <c r="F54" i="23"/>
  <c r="R83" i="23" s="1" a="1"/>
  <c r="R83" i="23" s="1"/>
  <c r="AS5" i="22"/>
  <c r="E54" i="23"/>
  <c r="R82" i="23" s="1" a="1"/>
  <c r="R82" i="23" s="1"/>
  <c r="AT5" i="22"/>
  <c r="AT6" i="22"/>
  <c r="AT7" i="22"/>
  <c r="AT9" i="22"/>
  <c r="AT10" i="22"/>
  <c r="AT8" i="22"/>
  <c r="AT11" i="22"/>
  <c r="AT12" i="22"/>
  <c r="AT13" i="22"/>
  <c r="AT14" i="22"/>
  <c r="AT15" i="22"/>
  <c r="K4" i="20"/>
  <c r="I209" i="22" s="1"/>
  <c r="E4" i="20"/>
  <c r="K4" i="19"/>
  <c r="I200" i="22" s="1"/>
  <c r="B209" i="22" l="1"/>
  <c r="D209" i="22"/>
  <c r="AU4" i="22"/>
  <c r="AT4" i="22"/>
  <c r="AM9" i="22"/>
  <c r="AM8" i="22"/>
  <c r="AF209" i="22" l="1"/>
  <c r="AH209" i="22"/>
  <c r="AI209" i="22" s="1"/>
  <c r="AJ209" i="22" s="1"/>
  <c r="AU5" i="22"/>
  <c r="AU6" i="22" l="1"/>
  <c r="AU7" i="22" l="1"/>
  <c r="AU8" i="22" l="1"/>
  <c r="AU9" i="22" l="1"/>
  <c r="E4" i="19"/>
  <c r="B200" i="22" l="1"/>
  <c r="D200" i="22"/>
  <c r="AU10" i="22"/>
  <c r="K4" i="16"/>
  <c r="I191" i="22" s="1"/>
  <c r="E4" i="16"/>
  <c r="B191" i="22" l="1"/>
  <c r="D191" i="22"/>
  <c r="AF200" i="22"/>
  <c r="AH200" i="22"/>
  <c r="AI200" i="22" s="1"/>
  <c r="AJ200" i="22" s="1"/>
  <c r="AU11" i="22"/>
  <c r="AM7" i="22"/>
  <c r="I4" i="21" a="1"/>
  <c r="I4" i="21" s="1"/>
  <c r="L4" i="20" s="1"/>
  <c r="L209" i="22" s="1"/>
  <c r="F4" i="21"/>
  <c r="J209" i="22" s="1"/>
  <c r="I4" i="20"/>
  <c r="G209" i="22" s="1"/>
  <c r="D4" i="20"/>
  <c r="C209" i="22" s="1"/>
  <c r="AG209" i="22" s="1"/>
  <c r="D12" i="19"/>
  <c r="C208" i="22" s="1"/>
  <c r="AG208" i="22" s="1"/>
  <c r="I4" i="19"/>
  <c r="G200" i="22" s="1"/>
  <c r="D4" i="19"/>
  <c r="C200" i="22" s="1"/>
  <c r="AG200" i="22" s="1"/>
  <c r="I4" i="18" a="1"/>
  <c r="I4" i="18" s="1"/>
  <c r="L4" i="16" s="1"/>
  <c r="L191" i="22" s="1"/>
  <c r="F4" i="18"/>
  <c r="J191" i="22" s="1"/>
  <c r="I4" i="17" a="1"/>
  <c r="I4" i="17" s="1"/>
  <c r="L4" i="19" s="1"/>
  <c r="L200" i="22" s="1"/>
  <c r="F4" i="17"/>
  <c r="J200" i="22" s="1"/>
  <c r="I4" i="16"/>
  <c r="G191" i="22" s="1"/>
  <c r="D4" i="16"/>
  <c r="C191" i="22" s="1"/>
  <c r="AG191" i="22" s="1"/>
  <c r="K4" i="15"/>
  <c r="I98" i="22" s="1"/>
  <c r="E4" i="15"/>
  <c r="B98" i="22" l="1"/>
  <c r="D98" i="22"/>
  <c r="AF191" i="22"/>
  <c r="AH191" i="22"/>
  <c r="AI191" i="22" s="1"/>
  <c r="AJ191" i="22" s="1"/>
  <c r="H4" i="17"/>
  <c r="H4" i="21"/>
  <c r="H4" i="18"/>
  <c r="AU12" i="22"/>
  <c r="AM6" i="22"/>
  <c r="G4" i="17"/>
  <c r="K200" i="22" s="1"/>
  <c r="G4" i="21"/>
  <c r="K209" i="22" s="1"/>
  <c r="G4" i="18"/>
  <c r="K191" i="22" s="1"/>
  <c r="I13" i="14" a="1"/>
  <c r="I13" i="14" s="1"/>
  <c r="L13" i="15" s="1"/>
  <c r="L107" i="22" s="1"/>
  <c r="I12" i="14" a="1"/>
  <c r="I12" i="14" s="1"/>
  <c r="L12" i="15" s="1"/>
  <c r="L106" i="22" s="1"/>
  <c r="I11" i="14" a="1"/>
  <c r="I11" i="14" s="1"/>
  <c r="L11" i="15" s="1"/>
  <c r="L105" i="22" s="1"/>
  <c r="I10" i="14" a="1"/>
  <c r="I10" i="14" s="1"/>
  <c r="L10" i="15" s="1"/>
  <c r="L104" i="22" s="1"/>
  <c r="I9" i="14" a="1"/>
  <c r="I9" i="14" s="1"/>
  <c r="L9" i="15" s="1"/>
  <c r="L103" i="22" s="1"/>
  <c r="I8" i="14" a="1"/>
  <c r="I8" i="14" s="1"/>
  <c r="L8" i="15" s="1"/>
  <c r="L102" i="22" s="1"/>
  <c r="I7" i="14" a="1"/>
  <c r="I7" i="14" s="1"/>
  <c r="L7" i="15" s="1"/>
  <c r="L101" i="22" s="1"/>
  <c r="I6" i="14" a="1"/>
  <c r="I6" i="14" s="1"/>
  <c r="L6" i="15" s="1"/>
  <c r="L100" i="22" s="1"/>
  <c r="I5" i="14" a="1"/>
  <c r="I5" i="14" s="1"/>
  <c r="L5" i="15" s="1"/>
  <c r="L99" i="22" s="1"/>
  <c r="I4" i="14" a="1"/>
  <c r="I4" i="14" s="1"/>
  <c r="F4" i="14"/>
  <c r="J98" i="22" s="1"/>
  <c r="D94" i="15"/>
  <c r="C188" i="22" s="1"/>
  <c r="AG188" i="22" s="1"/>
  <c r="D93" i="15"/>
  <c r="C187" i="22" s="1"/>
  <c r="AG187" i="22" s="1"/>
  <c r="D92" i="15"/>
  <c r="C186" i="22" s="1"/>
  <c r="AG186" i="22" s="1"/>
  <c r="D91" i="15"/>
  <c r="C185" i="22" s="1"/>
  <c r="AG185" i="22" s="1"/>
  <c r="D90" i="15"/>
  <c r="C184" i="22" s="1"/>
  <c r="AG184" i="22" s="1"/>
  <c r="D89" i="15"/>
  <c r="C183" i="22" s="1"/>
  <c r="AG183" i="22" s="1"/>
  <c r="D88" i="15"/>
  <c r="C182" i="22" s="1"/>
  <c r="AG182" i="22" s="1"/>
  <c r="D54" i="15"/>
  <c r="C148" i="22" s="1"/>
  <c r="AG148" i="22" s="1"/>
  <c r="D53" i="15"/>
  <c r="C147" i="22" s="1"/>
  <c r="AG147" i="22" s="1"/>
  <c r="D52" i="15"/>
  <c r="C146" i="22" s="1"/>
  <c r="AG146" i="22" s="1"/>
  <c r="D15" i="15"/>
  <c r="C109" i="22" s="1"/>
  <c r="AG109" i="22" s="1"/>
  <c r="D14" i="15"/>
  <c r="C108" i="22" s="1"/>
  <c r="AG108" i="22" s="1"/>
  <c r="D13" i="15"/>
  <c r="C107" i="22" s="1"/>
  <c r="AG107" i="22" s="1"/>
  <c r="D12" i="15"/>
  <c r="C106" i="22" s="1"/>
  <c r="AG106" i="22" s="1"/>
  <c r="D11" i="15"/>
  <c r="C105" i="22" s="1"/>
  <c r="AG105" i="22" s="1"/>
  <c r="D10" i="15"/>
  <c r="C104" i="22" s="1"/>
  <c r="AG104" i="22" s="1"/>
  <c r="D9" i="15"/>
  <c r="C103" i="22" s="1"/>
  <c r="AG103" i="22" s="1"/>
  <c r="D8" i="15"/>
  <c r="C102" i="22" s="1"/>
  <c r="AG102" i="22" s="1"/>
  <c r="D7" i="15"/>
  <c r="C101" i="22" s="1"/>
  <c r="AG101" i="22" s="1"/>
  <c r="D6" i="15"/>
  <c r="C100" i="22" s="1"/>
  <c r="AG100" i="22" s="1"/>
  <c r="D5" i="15"/>
  <c r="C99" i="22" s="1"/>
  <c r="AG99" i="22" s="1"/>
  <c r="D4" i="15"/>
  <c r="C98" i="22" s="1"/>
  <c r="AG98" i="22" s="1"/>
  <c r="D44" i="12"/>
  <c r="C84" i="22" s="1"/>
  <c r="AG84" i="22" s="1"/>
  <c r="D43" i="12"/>
  <c r="C83" i="22" s="1"/>
  <c r="AG83" i="22" s="1"/>
  <c r="D42" i="12"/>
  <c r="C82" i="22" s="1"/>
  <c r="AG82" i="22" s="1"/>
  <c r="D41" i="12"/>
  <c r="C81" i="22" s="1"/>
  <c r="AG81" i="22" s="1"/>
  <c r="D40" i="12"/>
  <c r="C80" i="22" s="1"/>
  <c r="AG80" i="22" s="1"/>
  <c r="D39" i="12"/>
  <c r="C79" i="22" s="1"/>
  <c r="AG79" i="22" s="1"/>
  <c r="D38" i="12"/>
  <c r="C78" i="22" s="1"/>
  <c r="AG78" i="22" s="1"/>
  <c r="D37" i="12"/>
  <c r="C77" i="22" s="1"/>
  <c r="AG77" i="22" s="1"/>
  <c r="D36" i="12"/>
  <c r="C76" i="22" s="1"/>
  <c r="AG76" i="22" s="1"/>
  <c r="D35" i="12"/>
  <c r="C75" i="22" s="1"/>
  <c r="AG75" i="22" s="1"/>
  <c r="D34" i="12"/>
  <c r="C74" i="22" s="1"/>
  <c r="AG74" i="22" s="1"/>
  <c r="D33" i="12"/>
  <c r="C73" i="22" s="1"/>
  <c r="AG73" i="22" s="1"/>
  <c r="D32" i="12"/>
  <c r="C72" i="22" s="1"/>
  <c r="AG72" i="22" s="1"/>
  <c r="D31" i="12"/>
  <c r="C71" i="22" s="1"/>
  <c r="AG71" i="22" s="1"/>
  <c r="D30" i="12"/>
  <c r="C70" i="22" s="1"/>
  <c r="AG70" i="22" s="1"/>
  <c r="D29" i="12"/>
  <c r="C69" i="22" s="1"/>
  <c r="AG69" i="22" s="1"/>
  <c r="D28" i="12"/>
  <c r="C68" i="22" s="1"/>
  <c r="AG68" i="22" s="1"/>
  <c r="D5" i="12"/>
  <c r="C45" i="22" s="1"/>
  <c r="AG45" i="22" s="1"/>
  <c r="I4" i="12"/>
  <c r="G44" i="22" s="1"/>
  <c r="D4" i="12"/>
  <c r="C44" i="22" s="1"/>
  <c r="AG44" i="22" s="1"/>
  <c r="AF98" i="22" l="1"/>
  <c r="AH98" i="22"/>
  <c r="AI98" i="22" s="1"/>
  <c r="AJ98" i="22" s="1"/>
  <c r="H4" i="14"/>
  <c r="L4" i="15"/>
  <c r="AU13" i="22"/>
  <c r="AN8" i="22"/>
  <c r="AN9" i="22"/>
  <c r="AN7" i="22"/>
  <c r="AM5" i="22"/>
  <c r="G4" i="14"/>
  <c r="K98" i="22" s="1"/>
  <c r="H39" i="3"/>
  <c r="H40" i="3"/>
  <c r="H41" i="3"/>
  <c r="H42" i="3"/>
  <c r="I38" i="3" a="1"/>
  <c r="I38" i="3" s="1"/>
  <c r="L38" i="8" s="1"/>
  <c r="L38" i="22" s="1"/>
  <c r="I39" i="3" a="1"/>
  <c r="I39" i="3" s="1"/>
  <c r="L39" i="8" s="1"/>
  <c r="L39" i="22" s="1"/>
  <c r="I40" i="3" a="1"/>
  <c r="I40" i="3" s="1"/>
  <c r="L40" i="8" s="1"/>
  <c r="L40" i="22" s="1"/>
  <c r="I41" i="3" a="1"/>
  <c r="I41" i="3" s="1"/>
  <c r="L41" i="8" s="1"/>
  <c r="L41" i="22" s="1"/>
  <c r="I42" i="3" a="1"/>
  <c r="I42" i="3" s="1"/>
  <c r="L42" i="8" s="1"/>
  <c r="L42" i="22" s="1"/>
  <c r="L98" i="22" l="1"/>
  <c r="AU14" i="22"/>
  <c r="AN6" i="22"/>
  <c r="G42" i="3"/>
  <c r="K42" i="22" s="1"/>
  <c r="G41" i="3"/>
  <c r="K41" i="22" s="1"/>
  <c r="G40" i="3"/>
  <c r="K40" i="22" s="1"/>
  <c r="G39" i="3"/>
  <c r="K39" i="22" s="1"/>
  <c r="AU15" i="22" l="1"/>
  <c r="L4" i="12"/>
  <c r="L44" i="22" s="1"/>
  <c r="F4" i="13"/>
  <c r="J44" i="22" s="1"/>
  <c r="H4" i="13" l="1"/>
  <c r="G4" i="13"/>
  <c r="K44" i="22" s="1"/>
  <c r="AN5" i="22" l="1"/>
  <c r="I4" i="8" l="1"/>
  <c r="G4" i="22" s="1"/>
  <c r="H38" i="3" l="1"/>
  <c r="I37" i="3" a="1"/>
  <c r="I37" i="3" s="1"/>
  <c r="L37" i="8" s="1"/>
  <c r="L37" i="22" s="1"/>
  <c r="H37" i="3"/>
  <c r="I36" i="3" a="1"/>
  <c r="I36" i="3" s="1"/>
  <c r="L36" i="8" s="1"/>
  <c r="L36" i="22" s="1"/>
  <c r="H36" i="3"/>
  <c r="I35" i="3" a="1"/>
  <c r="I35" i="3" s="1"/>
  <c r="L35" i="8" s="1"/>
  <c r="L35" i="22" s="1"/>
  <c r="H35" i="3"/>
  <c r="I34" i="3" a="1"/>
  <c r="I34" i="3" s="1"/>
  <c r="L34" i="8" s="1"/>
  <c r="L34" i="22" s="1"/>
  <c r="H34" i="3"/>
  <c r="I33" i="3" a="1"/>
  <c r="I33" i="3" s="1"/>
  <c r="L33" i="8" s="1"/>
  <c r="L33" i="22" s="1"/>
  <c r="H33" i="3"/>
  <c r="I32" i="3" a="1"/>
  <c r="I32" i="3" s="1"/>
  <c r="L32" i="8" s="1"/>
  <c r="L32" i="22" s="1"/>
  <c r="H32" i="3"/>
  <c r="I31" i="3" a="1"/>
  <c r="I31" i="3" s="1"/>
  <c r="L31" i="8" s="1"/>
  <c r="L31" i="22" s="1"/>
  <c r="H31" i="3"/>
  <c r="I29" i="3" a="1"/>
  <c r="I29" i="3" s="1"/>
  <c r="L29" i="8" s="1"/>
  <c r="L29" i="22" s="1"/>
  <c r="F29" i="3"/>
  <c r="J29" i="22" s="1"/>
  <c r="I28" i="3" a="1"/>
  <c r="I28" i="3" s="1"/>
  <c r="L28" i="8" s="1"/>
  <c r="L28" i="22" s="1"/>
  <c r="F28" i="3"/>
  <c r="J28" i="22" s="1"/>
  <c r="I27" i="3" a="1"/>
  <c r="I27" i="3" s="1"/>
  <c r="L27" i="8" s="1"/>
  <c r="L27" i="22" s="1"/>
  <c r="F27" i="3"/>
  <c r="J27" i="22" s="1"/>
  <c r="I26" i="3" a="1"/>
  <c r="I26" i="3" s="1"/>
  <c r="L26" i="8" s="1"/>
  <c r="L26" i="22" s="1"/>
  <c r="F26" i="3"/>
  <c r="J26" i="22" s="1"/>
  <c r="I25" i="3" a="1"/>
  <c r="I25" i="3" s="1"/>
  <c r="L25" i="8" s="1"/>
  <c r="L25" i="22" s="1"/>
  <c r="F25" i="3"/>
  <c r="J25" i="22" s="1"/>
  <c r="I24" i="3" a="1"/>
  <c r="I24" i="3" s="1"/>
  <c r="L24" i="8" s="1"/>
  <c r="L24" i="22" s="1"/>
  <c r="F24" i="3"/>
  <c r="J24" i="22" s="1"/>
  <c r="I23" i="3" a="1"/>
  <c r="I23" i="3" s="1"/>
  <c r="L23" i="8" s="1"/>
  <c r="L23" i="22" s="1"/>
  <c r="F23" i="3"/>
  <c r="J23" i="22" s="1"/>
  <c r="I22" i="3" a="1"/>
  <c r="I22" i="3" s="1"/>
  <c r="L22" i="8" s="1"/>
  <c r="L22" i="22" s="1"/>
  <c r="F22" i="3"/>
  <c r="J22" i="22" s="1"/>
  <c r="I21" i="3" a="1"/>
  <c r="I21" i="3" s="1"/>
  <c r="L21" i="8" s="1"/>
  <c r="L21" i="22" s="1"/>
  <c r="F21" i="3"/>
  <c r="J21" i="22" s="1"/>
  <c r="I20" i="3" a="1"/>
  <c r="I20" i="3" s="1"/>
  <c r="L20" i="8" s="1"/>
  <c r="L20" i="22" s="1"/>
  <c r="F20" i="3"/>
  <c r="J20" i="22" s="1"/>
  <c r="I19" i="3" a="1"/>
  <c r="I19" i="3" s="1"/>
  <c r="L19" i="8" s="1"/>
  <c r="L19" i="22" s="1"/>
  <c r="F19" i="3"/>
  <c r="J19" i="22" s="1"/>
  <c r="I18" i="3" a="1"/>
  <c r="I18" i="3" s="1"/>
  <c r="L18" i="8" s="1"/>
  <c r="L18" i="22" s="1"/>
  <c r="F18" i="3"/>
  <c r="J18" i="22" s="1"/>
  <c r="I17" i="3" a="1"/>
  <c r="I17" i="3" s="1"/>
  <c r="L17" i="8" s="1"/>
  <c r="L17" i="22" s="1"/>
  <c r="F17" i="3"/>
  <c r="J17" i="22" s="1"/>
  <c r="I16" i="3" a="1"/>
  <c r="I16" i="3" s="1"/>
  <c r="L16" i="8" s="1"/>
  <c r="L16" i="22" s="1"/>
  <c r="F16" i="3"/>
  <c r="J16" i="22" s="1"/>
  <c r="I15" i="3" a="1"/>
  <c r="I15" i="3" s="1"/>
  <c r="L15" i="8" s="1"/>
  <c r="L15" i="22" s="1"/>
  <c r="F15" i="3"/>
  <c r="J15" i="22" s="1"/>
  <c r="I14" i="3" a="1"/>
  <c r="I14" i="3" s="1"/>
  <c r="L14" i="8" s="1"/>
  <c r="L14" i="22" s="1"/>
  <c r="F14" i="3"/>
  <c r="J14" i="22" s="1"/>
  <c r="I13" i="3" a="1"/>
  <c r="I13" i="3" s="1"/>
  <c r="L13" i="8" s="1"/>
  <c r="L13" i="22" s="1"/>
  <c r="F13" i="3"/>
  <c r="J13" i="22" s="1"/>
  <c r="I12" i="3" a="1"/>
  <c r="I12" i="3" s="1"/>
  <c r="L12" i="8" s="1"/>
  <c r="L12" i="22" s="1"/>
  <c r="F12" i="3"/>
  <c r="J12" i="22" s="1"/>
  <c r="I11" i="3" a="1"/>
  <c r="I11" i="3" s="1"/>
  <c r="L11" i="8" s="1"/>
  <c r="L11" i="22" s="1"/>
  <c r="F11" i="3"/>
  <c r="J11" i="22" s="1"/>
  <c r="I10" i="3" a="1"/>
  <c r="I10" i="3" s="1"/>
  <c r="L10" i="8" s="1"/>
  <c r="L10" i="22" s="1"/>
  <c r="F10" i="3"/>
  <c r="J10" i="22" s="1"/>
  <c r="I9" i="3" a="1"/>
  <c r="I9" i="3" s="1"/>
  <c r="L9" i="8" s="1"/>
  <c r="L9" i="22" s="1"/>
  <c r="F9" i="3"/>
  <c r="J9" i="22" s="1"/>
  <c r="I8" i="3" a="1"/>
  <c r="I8" i="3" s="1"/>
  <c r="L8" i="8" s="1"/>
  <c r="L8" i="22" s="1"/>
  <c r="F8" i="3"/>
  <c r="J8" i="22" s="1"/>
  <c r="I7" i="3" a="1"/>
  <c r="I7" i="3" s="1"/>
  <c r="L7" i="8" s="1"/>
  <c r="L7" i="22" s="1"/>
  <c r="F7" i="3"/>
  <c r="J7" i="22" s="1"/>
  <c r="I6" i="3" a="1"/>
  <c r="I6" i="3" s="1"/>
  <c r="L6" i="8" s="1"/>
  <c r="L6" i="22" s="1"/>
  <c r="F6" i="3"/>
  <c r="J6" i="22" s="1"/>
  <c r="I5" i="3" a="1"/>
  <c r="I5" i="3" s="1"/>
  <c r="L5" i="8" s="1"/>
  <c r="L5" i="22" s="1"/>
  <c r="F5" i="3"/>
  <c r="J5" i="22" s="1"/>
  <c r="I4" i="3" a="1"/>
  <c r="I4" i="3" s="1"/>
  <c r="L4" i="8" s="1"/>
  <c r="L4" i="22" s="1"/>
  <c r="F4" i="3"/>
  <c r="J4" i="22" s="1"/>
  <c r="D35" i="8"/>
  <c r="C35" i="22" s="1"/>
  <c r="AG35" i="22" s="1"/>
  <c r="D34" i="8"/>
  <c r="C34" i="22" s="1"/>
  <c r="AG34" i="22" s="1"/>
  <c r="D33" i="8"/>
  <c r="C33" i="22" s="1"/>
  <c r="AG33" i="22" s="1"/>
  <c r="D32" i="8"/>
  <c r="C32" i="22" s="1"/>
  <c r="AG32" i="22" s="1"/>
  <c r="D31" i="8"/>
  <c r="C31" i="22" s="1"/>
  <c r="AG31" i="22" s="1"/>
  <c r="D29" i="8"/>
  <c r="C29" i="22" s="1"/>
  <c r="AG29" i="22" s="1"/>
  <c r="D28" i="8"/>
  <c r="C28" i="22" s="1"/>
  <c r="AG28" i="22" s="1"/>
  <c r="D27" i="8"/>
  <c r="C27" i="22" s="1"/>
  <c r="AG27" i="22" s="1"/>
  <c r="D26" i="8"/>
  <c r="C26" i="22" s="1"/>
  <c r="AG26" i="22" s="1"/>
  <c r="D25" i="8"/>
  <c r="C25" i="22" s="1"/>
  <c r="AG25" i="22" s="1"/>
  <c r="D24" i="8"/>
  <c r="C24" i="22" s="1"/>
  <c r="AG24" i="22" s="1"/>
  <c r="D23" i="8"/>
  <c r="C23" i="22" s="1"/>
  <c r="AG23" i="22" s="1"/>
  <c r="D22" i="8"/>
  <c r="C22" i="22" s="1"/>
  <c r="AG22" i="22" s="1"/>
  <c r="D21" i="8"/>
  <c r="C21" i="22" s="1"/>
  <c r="AG21" i="22" s="1"/>
  <c r="D20" i="8"/>
  <c r="C20" i="22" s="1"/>
  <c r="AG20" i="22" s="1"/>
  <c r="D19" i="8"/>
  <c r="C19" i="22" s="1"/>
  <c r="AG19" i="22" s="1"/>
  <c r="D18" i="8"/>
  <c r="C18" i="22" s="1"/>
  <c r="AG18" i="22" s="1"/>
  <c r="D17" i="8"/>
  <c r="C17" i="22" s="1"/>
  <c r="AG17" i="22" s="1"/>
  <c r="D16" i="8"/>
  <c r="C16" i="22" s="1"/>
  <c r="AG16" i="22" s="1"/>
  <c r="D15" i="8"/>
  <c r="C15" i="22" s="1"/>
  <c r="AG15" i="22" s="1"/>
  <c r="D14" i="8"/>
  <c r="C14" i="22" s="1"/>
  <c r="AG14" i="22" s="1"/>
  <c r="D13" i="8"/>
  <c r="C13" i="22" s="1"/>
  <c r="AG13" i="22" s="1"/>
  <c r="D12" i="8"/>
  <c r="C12" i="22" s="1"/>
  <c r="AG12" i="22" s="1"/>
  <c r="D11" i="8"/>
  <c r="C11" i="22" s="1"/>
  <c r="AG11" i="22" s="1"/>
  <c r="D10" i="8"/>
  <c r="C10" i="22" s="1"/>
  <c r="AG10" i="22" s="1"/>
  <c r="D9" i="8"/>
  <c r="C9" i="22" s="1"/>
  <c r="AG9" i="22" s="1"/>
  <c r="D8" i="8"/>
  <c r="C8" i="22" s="1"/>
  <c r="AG8" i="22" s="1"/>
  <c r="D7" i="8"/>
  <c r="C7" i="22" s="1"/>
  <c r="AG7" i="22" s="1"/>
  <c r="D6" i="8"/>
  <c r="C6" i="22" s="1"/>
  <c r="AG6" i="22" s="1"/>
  <c r="D5" i="8"/>
  <c r="C5" i="22" s="1"/>
  <c r="AG5" i="22" s="1"/>
  <c r="K4" i="8"/>
  <c r="I4" i="22" s="1"/>
  <c r="E4" i="8"/>
  <c r="D4" i="8"/>
  <c r="C4" i="22" s="1"/>
  <c r="B4" i="22" l="1"/>
  <c r="D4" i="22"/>
  <c r="AG4" i="22" s="1"/>
  <c r="H29" i="3"/>
  <c r="H12" i="3"/>
  <c r="H22" i="3"/>
  <c r="H10" i="3"/>
  <c r="H13" i="3"/>
  <c r="H23" i="3"/>
  <c r="H19" i="3"/>
  <c r="G26" i="23"/>
  <c r="F26" i="23"/>
  <c r="H9" i="3"/>
  <c r="H11" i="3"/>
  <c r="H21" i="3"/>
  <c r="G44" i="23"/>
  <c r="G42" i="23"/>
  <c r="D44" i="23"/>
  <c r="D41" i="23"/>
  <c r="D45" i="23"/>
  <c r="F44" i="23"/>
  <c r="F43" i="23"/>
  <c r="D43" i="23"/>
  <c r="F41" i="23"/>
  <c r="G43" i="23"/>
  <c r="G45" i="23"/>
  <c r="F45" i="23"/>
  <c r="G41" i="23"/>
  <c r="D42" i="23"/>
  <c r="F42" i="23"/>
  <c r="H6" i="3"/>
  <c r="H26" i="3"/>
  <c r="H7" i="3"/>
  <c r="H17" i="3"/>
  <c r="H27" i="3"/>
  <c r="H16" i="3"/>
  <c r="H20" i="3"/>
  <c r="H4" i="3"/>
  <c r="H14" i="3"/>
  <c r="H24" i="3"/>
  <c r="H5" i="3"/>
  <c r="H15" i="3"/>
  <c r="H25" i="3"/>
  <c r="H8" i="3"/>
  <c r="H18" i="3"/>
  <c r="H28" i="3"/>
  <c r="AM4" i="22"/>
  <c r="G18" i="3"/>
  <c r="K18" i="22" s="1"/>
  <c r="G10" i="3"/>
  <c r="K10" i="22" s="1"/>
  <c r="G13" i="3"/>
  <c r="K13" i="22" s="1"/>
  <c r="G5" i="3"/>
  <c r="K5" i="22" s="1"/>
  <c r="G15" i="3"/>
  <c r="K15" i="22" s="1"/>
  <c r="G25" i="3"/>
  <c r="K25" i="22" s="1"/>
  <c r="G9" i="3"/>
  <c r="K9" i="22" s="1"/>
  <c r="G19" i="3"/>
  <c r="K19" i="22" s="1"/>
  <c r="G29" i="3"/>
  <c r="K29" i="22" s="1"/>
  <c r="G21" i="3"/>
  <c r="K21" i="22" s="1"/>
  <c r="G4" i="3"/>
  <c r="K4" i="22" s="1"/>
  <c r="G14" i="3"/>
  <c r="K14" i="22" s="1"/>
  <c r="G34" i="3"/>
  <c r="K34" i="22" s="1"/>
  <c r="G12" i="3"/>
  <c r="K12" i="22" s="1"/>
  <c r="G17" i="3"/>
  <c r="K17" i="22" s="1"/>
  <c r="G16" i="3"/>
  <c r="K16" i="22" s="1"/>
  <c r="G22" i="3"/>
  <c r="K22" i="22" s="1"/>
  <c r="G26" i="3"/>
  <c r="K26" i="22" s="1"/>
  <c r="G31" i="3"/>
  <c r="K31" i="22" s="1"/>
  <c r="G35" i="3"/>
  <c r="K35" i="22" s="1"/>
  <c r="G7" i="3"/>
  <c r="K7" i="22" s="1"/>
  <c r="G8" i="3"/>
  <c r="K8" i="22" s="1"/>
  <c r="G11" i="3"/>
  <c r="K11" i="22" s="1"/>
  <c r="G23" i="3"/>
  <c r="K23" i="22" s="1"/>
  <c r="G27" i="3"/>
  <c r="K27" i="22" s="1"/>
  <c r="G32" i="3"/>
  <c r="K32" i="22" s="1"/>
  <c r="G36" i="3"/>
  <c r="K36" i="22" s="1"/>
  <c r="G20" i="3"/>
  <c r="K20" i="22" s="1"/>
  <c r="G24" i="3"/>
  <c r="K24" i="22" s="1"/>
  <c r="G28" i="3"/>
  <c r="K28" i="22" s="1"/>
  <c r="G33" i="3"/>
  <c r="K33" i="22" s="1"/>
  <c r="G37" i="3"/>
  <c r="K37" i="22" s="1"/>
  <c r="G6" i="3"/>
  <c r="K6" i="22" s="1"/>
  <c r="G38" i="3"/>
  <c r="K38" i="22" s="1"/>
  <c r="AF4" i="22" l="1"/>
  <c r="AH4" i="22"/>
  <c r="AI4" i="22" s="1"/>
  <c r="Z4" i="22" a="1"/>
  <c r="E29" i="23"/>
  <c r="W75" i="23" s="1"/>
  <c r="G55" i="23"/>
  <c r="S84" i="23" s="1" a="1"/>
  <c r="S84" i="23" s="1"/>
  <c r="G30" i="23"/>
  <c r="D55" i="23"/>
  <c r="L58" i="23"/>
  <c r="O58" i="23"/>
  <c r="D58" i="23"/>
  <c r="E55" i="23"/>
  <c r="S82" i="23" s="1" a="1"/>
  <c r="S82" i="23" s="1"/>
  <c r="L55" i="23"/>
  <c r="S89" i="23" s="1" a="1"/>
  <c r="S89" i="23" s="1"/>
  <c r="E31" i="23"/>
  <c r="W77" i="23" s="1"/>
  <c r="I55" i="23"/>
  <c r="S86" i="23" s="1" a="1"/>
  <c r="S86" i="23" s="1"/>
  <c r="G58" i="23"/>
  <c r="H58" i="23"/>
  <c r="I31" i="23"/>
  <c r="G13" i="4"/>
  <c r="M16" i="4" s="1"/>
  <c r="N55" i="23"/>
  <c r="S91" i="23" s="1" a="1"/>
  <c r="S91" i="23" s="1"/>
  <c r="F31" i="23"/>
  <c r="H55" i="23"/>
  <c r="S85" i="23" s="1" a="1"/>
  <c r="S85" i="23" s="1"/>
  <c r="B3" i="23"/>
  <c r="F55" i="23"/>
  <c r="S83" i="23" s="1" a="1"/>
  <c r="S83" i="23" s="1"/>
  <c r="H27" i="23"/>
  <c r="H31" i="23"/>
  <c r="E28" i="23"/>
  <c r="W74" i="23" s="1"/>
  <c r="K58" i="23"/>
  <c r="B3" i="4"/>
  <c r="F29" i="23"/>
  <c r="E30" i="23"/>
  <c r="W76" i="23" s="1"/>
  <c r="H26" i="23"/>
  <c r="S72" i="23" s="1"/>
  <c r="D13" i="4"/>
  <c r="H28" i="23"/>
  <c r="M58" i="23"/>
  <c r="I29" i="23"/>
  <c r="H30" i="23"/>
  <c r="G29" i="23"/>
  <c r="E58" i="23"/>
  <c r="G31" i="23"/>
  <c r="F58" i="23"/>
  <c r="F30" i="23"/>
  <c r="O55" i="23"/>
  <c r="S92" i="23" s="1" a="1"/>
  <c r="S92" i="23" s="1"/>
  <c r="E26" i="23"/>
  <c r="M55" i="23"/>
  <c r="S90" i="23" s="1" a="1"/>
  <c r="S90" i="23" s="1"/>
  <c r="K55" i="23"/>
  <c r="S88" i="23" s="1" a="1"/>
  <c r="S88" i="23" s="1"/>
  <c r="N58" i="23"/>
  <c r="I58" i="23"/>
  <c r="J55" i="23"/>
  <c r="S87" i="23" s="1" a="1"/>
  <c r="S87" i="23" s="1"/>
  <c r="I28" i="23"/>
  <c r="J58" i="23"/>
  <c r="H29" i="23"/>
  <c r="I30" i="23"/>
  <c r="E27" i="23"/>
  <c r="W73" i="23" s="1"/>
  <c r="F28" i="23"/>
  <c r="G28" i="23"/>
  <c r="F27" i="23"/>
  <c r="G27" i="23"/>
  <c r="G16" i="4"/>
  <c r="J16" i="4"/>
  <c r="J13" i="4"/>
  <c r="D16" i="4" s="1"/>
  <c r="I27" i="23"/>
  <c r="I26" i="23"/>
  <c r="S76" i="23" l="1"/>
  <c r="J30" i="23"/>
  <c r="S75" i="23"/>
  <c r="J29" i="23"/>
  <c r="S74" i="23"/>
  <c r="J28" i="23"/>
  <c r="T76" i="23"/>
  <c r="K30" i="23"/>
  <c r="S81" i="23" a="1"/>
  <c r="S81" i="23" s="1"/>
  <c r="D56" i="23"/>
  <c r="K28" i="23"/>
  <c r="T74" i="23"/>
  <c r="T77" i="23"/>
  <c r="K31" i="23"/>
  <c r="T75" i="23"/>
  <c r="K29" i="23"/>
  <c r="H32" i="23"/>
  <c r="S77" i="23"/>
  <c r="J31" i="23"/>
  <c r="S73" i="23"/>
  <c r="J27" i="23"/>
  <c r="AB17" i="22"/>
  <c r="AC17" i="22" s="1"/>
  <c r="AA10" i="22"/>
  <c r="AB16" i="22"/>
  <c r="AC16" i="22" s="1"/>
  <c r="AA9" i="22"/>
  <c r="AB22" i="22"/>
  <c r="AC22" i="22" s="1"/>
  <c r="AB21" i="22"/>
  <c r="AC21" i="22" s="1"/>
  <c r="AB36" i="22"/>
  <c r="AC36" i="22" s="1"/>
  <c r="AB23" i="22"/>
  <c r="AC23" i="22" s="1"/>
  <c r="AA33" i="22"/>
  <c r="AA23" i="22"/>
  <c r="AB7" i="22"/>
  <c r="AC7" i="22" s="1"/>
  <c r="AA12" i="22"/>
  <c r="AA26" i="22"/>
  <c r="AB12" i="22"/>
  <c r="AC12" i="22" s="1"/>
  <c r="AB11" i="22"/>
  <c r="AC11" i="22" s="1"/>
  <c r="AA32" i="22"/>
  <c r="AB8" i="22"/>
  <c r="AC8" i="22" s="1"/>
  <c r="AA31" i="22"/>
  <c r="AA5" i="22"/>
  <c r="AB9" i="22"/>
  <c r="AC9" i="22" s="1"/>
  <c r="AA14" i="22"/>
  <c r="AA25" i="22"/>
  <c r="AA24" i="22"/>
  <c r="AA17" i="22"/>
  <c r="AB5" i="22"/>
  <c r="AC5" i="22" s="1"/>
  <c r="AB31" i="22"/>
  <c r="AC31" i="22" s="1"/>
  <c r="AA13" i="22"/>
  <c r="AB18" i="22"/>
  <c r="AC18" i="22" s="1"/>
  <c r="AA36" i="22"/>
  <c r="AB32" i="22"/>
  <c r="AC32" i="22" s="1"/>
  <c r="AB15" i="22"/>
  <c r="AC15" i="22" s="1"/>
  <c r="AB14" i="22"/>
  <c r="AC14" i="22" s="1"/>
  <c r="AB28" i="22"/>
  <c r="AC28" i="22" s="1"/>
  <c r="AB10" i="22"/>
  <c r="AC10" i="22" s="1"/>
  <c r="Z4" i="22"/>
  <c r="AB20" i="22"/>
  <c r="AC20" i="22" s="1"/>
  <c r="AA28" i="22"/>
  <c r="AB34" i="22"/>
  <c r="AC34" i="22" s="1"/>
  <c r="AA30" i="22"/>
  <c r="AB35" i="22"/>
  <c r="AC35" i="22" s="1"/>
  <c r="AA19" i="22"/>
  <c r="AA34" i="22"/>
  <c r="AA7" i="22"/>
  <c r="AB13" i="22"/>
  <c r="AC13" i="22" s="1"/>
  <c r="AB25" i="22"/>
  <c r="AC25" i="22" s="1"/>
  <c r="AA20" i="22"/>
  <c r="AB19" i="22"/>
  <c r="AC19" i="22" s="1"/>
  <c r="AA35" i="22"/>
  <c r="AA15" i="22"/>
  <c r="AA16" i="22"/>
  <c r="AA18" i="22"/>
  <c r="AA6" i="22"/>
  <c r="AA29" i="22"/>
  <c r="AB33" i="22"/>
  <c r="AC33" i="22" s="1"/>
  <c r="AB30" i="22"/>
  <c r="AC30" i="22" s="1"/>
  <c r="AB29" i="22"/>
  <c r="AC29" i="22" s="1"/>
  <c r="AA11" i="22"/>
  <c r="AB27" i="22"/>
  <c r="AC27" i="22" s="1"/>
  <c r="AA27" i="22"/>
  <c r="AB24" i="22"/>
  <c r="AC24" i="22" s="1"/>
  <c r="AB6" i="22"/>
  <c r="AC6" i="22" s="1"/>
  <c r="AA21" i="22"/>
  <c r="AA8" i="22"/>
  <c r="AB26" i="22"/>
  <c r="AC26" i="22" s="1"/>
  <c r="AA22" i="22"/>
  <c r="W72" i="23"/>
  <c r="E32" i="23"/>
  <c r="AJ4" i="22"/>
  <c r="AJ72" i="22"/>
  <c r="AJ77" i="22"/>
  <c r="AJ61" i="22"/>
  <c r="AJ84" i="22"/>
  <c r="AJ74" i="22"/>
  <c r="AJ51" i="22"/>
  <c r="AJ92" i="22"/>
  <c r="AJ86" i="22"/>
  <c r="AJ75" i="22"/>
  <c r="AJ95" i="22"/>
  <c r="AJ53" i="22"/>
  <c r="AJ63" i="22"/>
  <c r="AJ48" i="22"/>
  <c r="AJ73" i="22"/>
  <c r="AJ87" i="22"/>
  <c r="AJ54" i="22"/>
  <c r="AJ49" i="22"/>
  <c r="AJ47" i="22"/>
  <c r="AJ56" i="22"/>
  <c r="AJ91" i="22"/>
  <c r="AJ67" i="22"/>
  <c r="AJ90" i="22"/>
  <c r="AJ58" i="22"/>
  <c r="AJ50" i="22"/>
  <c r="AJ70" i="22"/>
  <c r="AJ96" i="22"/>
  <c r="AJ82" i="22"/>
  <c r="AJ55" i="22"/>
  <c r="AJ52" i="22"/>
  <c r="AJ76" i="22"/>
  <c r="AJ64" i="22"/>
  <c r="AJ65" i="22"/>
  <c r="AJ59" i="22"/>
  <c r="AJ44" i="22"/>
  <c r="AJ66" i="22"/>
  <c r="AJ45" i="22"/>
  <c r="AJ85" i="22"/>
  <c r="AJ93" i="22"/>
  <c r="AJ78" i="22"/>
  <c r="AJ62" i="22"/>
  <c r="AJ69" i="22"/>
  <c r="AJ71" i="22"/>
  <c r="AJ88" i="22"/>
  <c r="AJ83" i="22"/>
  <c r="AJ68" i="22"/>
  <c r="AJ80" i="22"/>
  <c r="AJ81" i="22"/>
  <c r="AJ57" i="22"/>
  <c r="AJ79" i="22"/>
  <c r="AJ89" i="22"/>
  <c r="AJ60" i="22"/>
  <c r="AJ46" i="22"/>
  <c r="AJ94" i="22"/>
  <c r="T73" i="23"/>
  <c r="K27" i="23"/>
  <c r="M13" i="4"/>
  <c r="J26" i="23"/>
  <c r="T72" i="23"/>
  <c r="G32" i="23"/>
  <c r="F32" i="23"/>
  <c r="K26" i="23"/>
  <c r="I32" i="23"/>
  <c r="AQ6" i="22"/>
  <c r="AN4" i="22"/>
  <c r="AQ10" i="22"/>
  <c r="AQ8" i="22"/>
  <c r="AQ9" i="22"/>
  <c r="AQ7" i="22"/>
  <c r="AQ5" i="22"/>
  <c r="AQ4" i="22"/>
  <c r="AA4" i="22" l="1"/>
  <c r="AB4" i="22"/>
  <c r="AC4" i="22" s="1"/>
  <c r="AD7" i="22" s="1"/>
  <c r="T81" i="23" a="1"/>
  <c r="T81" i="23" s="1"/>
  <c r="E56" i="23"/>
  <c r="D57" i="23"/>
  <c r="C10" i="23"/>
  <c r="C14" i="23"/>
  <c r="C9" i="23"/>
  <c r="C8" i="23"/>
  <c r="C12" i="23"/>
  <c r="C13" i="23"/>
  <c r="C17" i="23"/>
  <c r="C11" i="23"/>
  <c r="C15" i="23"/>
  <c r="C16" i="23"/>
  <c r="J32" i="23"/>
  <c r="K32" i="23"/>
  <c r="D46" i="23"/>
  <c r="E44" i="23" s="1"/>
  <c r="G46" i="23"/>
  <c r="F46" i="23"/>
  <c r="H42" i="23" s="1"/>
  <c r="AD25" i="22" l="1"/>
  <c r="F14" i="23"/>
  <c r="E14" i="23"/>
  <c r="AD31" i="22"/>
  <c r="F9" i="23"/>
  <c r="E9" i="23"/>
  <c r="AD5" i="22"/>
  <c r="AD10" i="22"/>
  <c r="E10" i="23"/>
  <c r="F10" i="23"/>
  <c r="AD19" i="22"/>
  <c r="AD32" i="22"/>
  <c r="AD23" i="22"/>
  <c r="AD8" i="22"/>
  <c r="AD36" i="22"/>
  <c r="AD14" i="22"/>
  <c r="AD20" i="22"/>
  <c r="AD15" i="22"/>
  <c r="AD9" i="22"/>
  <c r="AD29" i="22"/>
  <c r="AD11" i="22"/>
  <c r="AD35" i="22"/>
  <c r="AD24" i="22"/>
  <c r="AD18" i="22"/>
  <c r="AD21" i="22"/>
  <c r="AD4" i="22"/>
  <c r="AD13" i="22"/>
  <c r="AD26" i="22"/>
  <c r="G14" i="23"/>
  <c r="AD6" i="22"/>
  <c r="F11" i="23"/>
  <c r="G11" i="23" s="1"/>
  <c r="E11" i="23"/>
  <c r="AD33" i="22"/>
  <c r="F8" i="23"/>
  <c r="G8" i="23" s="1"/>
  <c r="E8" i="23"/>
  <c r="AD30" i="22"/>
  <c r="T82" i="23" a="1"/>
  <c r="T82" i="23" s="1"/>
  <c r="F56" i="23"/>
  <c r="E57" i="23"/>
  <c r="F16" i="23"/>
  <c r="G16" i="23" s="1"/>
  <c r="E16" i="23"/>
  <c r="F15" i="23"/>
  <c r="G15" i="23" s="1"/>
  <c r="E15" i="23"/>
  <c r="G9" i="23"/>
  <c r="AD34" i="22"/>
  <c r="F17" i="23"/>
  <c r="G17" i="23" s="1"/>
  <c r="E17" i="23"/>
  <c r="AD28" i="22"/>
  <c r="F12" i="23"/>
  <c r="G12" i="23" s="1"/>
  <c r="E12" i="23"/>
  <c r="AD22" i="22"/>
  <c r="G10" i="23"/>
  <c r="AD17" i="22"/>
  <c r="AD27" i="22"/>
  <c r="AD16" i="22"/>
  <c r="E13" i="23"/>
  <c r="F13" i="23"/>
  <c r="G13" i="23" s="1"/>
  <c r="AD12" i="22"/>
  <c r="H45" i="23"/>
  <c r="E45" i="23"/>
  <c r="E42" i="23"/>
  <c r="E41" i="23"/>
  <c r="H41" i="23"/>
  <c r="H44" i="23"/>
  <c r="H43" i="23"/>
  <c r="E43" i="23"/>
  <c r="T83" i="23" l="1" a="1"/>
  <c r="T83" i="23" s="1"/>
  <c r="G56" i="23"/>
  <c r="F57" i="23"/>
  <c r="J9" i="23"/>
  <c r="J16" i="23"/>
  <c r="J10" i="23"/>
  <c r="J12" i="23"/>
  <c r="J8" i="23"/>
  <c r="J14" i="23"/>
  <c r="J13" i="23"/>
  <c r="J17" i="23"/>
  <c r="J15" i="23"/>
  <c r="J11" i="23"/>
  <c r="E46" i="23"/>
  <c r="H46" i="23"/>
  <c r="N13" i="23" l="1"/>
  <c r="O13" i="23"/>
  <c r="AX9" i="22" s="1"/>
  <c r="AW9" i="22"/>
  <c r="P13" i="23"/>
  <c r="N15" i="23"/>
  <c r="O15" i="23"/>
  <c r="AX11" i="22" s="1"/>
  <c r="AW11" i="22"/>
  <c r="P15" i="23"/>
  <c r="N12" i="23"/>
  <c r="O12" i="23"/>
  <c r="AX8" i="22" s="1"/>
  <c r="AW8" i="22"/>
  <c r="O14" i="23"/>
  <c r="AX10" i="22" s="1"/>
  <c r="N14" i="23"/>
  <c r="AW10" i="22"/>
  <c r="P14" i="23"/>
  <c r="O10" i="23"/>
  <c r="AX6" i="22" s="1"/>
  <c r="N10" i="23"/>
  <c r="AW6" i="22"/>
  <c r="P10" i="23"/>
  <c r="O17" i="23"/>
  <c r="AX13" i="22" s="1"/>
  <c r="N17" i="23"/>
  <c r="AW13" i="22"/>
  <c r="N9" i="23"/>
  <c r="O9" i="23"/>
  <c r="AX5" i="22" s="1"/>
  <c r="AW5" i="22"/>
  <c r="H56" i="23"/>
  <c r="T84" i="23" a="1"/>
  <c r="T84" i="23" s="1"/>
  <c r="G57" i="23"/>
  <c r="N11" i="23"/>
  <c r="O11" i="23"/>
  <c r="AX7" i="22" s="1"/>
  <c r="AW7" i="22"/>
  <c r="P11" i="23"/>
  <c r="N8" i="23"/>
  <c r="O8" i="23"/>
  <c r="AX4" i="22" s="1"/>
  <c r="AW4" i="22"/>
  <c r="N16" i="23"/>
  <c r="O16" i="23"/>
  <c r="AX12" i="22" s="1"/>
  <c r="AW12" i="22"/>
  <c r="P9" i="23" l="1"/>
  <c r="P17" i="23"/>
  <c r="P16" i="23"/>
  <c r="T85" i="23" a="1"/>
  <c r="T85" i="23" s="1"/>
  <c r="I56" i="23"/>
  <c r="H57" i="23"/>
  <c r="P12" i="23"/>
  <c r="P8" i="23"/>
  <c r="J56" i="23" l="1"/>
  <c r="T86" i="23" a="1"/>
  <c r="T86" i="23" s="1"/>
  <c r="I57" i="23"/>
  <c r="T87" i="23" l="1" a="1"/>
  <c r="T87" i="23" s="1"/>
  <c r="K56" i="23"/>
  <c r="J57" i="23"/>
  <c r="K57" i="23" l="1"/>
  <c r="T88" i="23" a="1"/>
  <c r="T88" i="23" s="1"/>
  <c r="L56" i="23"/>
  <c r="L57" i="23" l="1"/>
  <c r="T89" i="23" a="1"/>
  <c r="T89" i="23" s="1"/>
  <c r="M56" i="23"/>
  <c r="N56" i="23" l="1"/>
  <c r="M57" i="23"/>
  <c r="T90" i="23" a="1"/>
  <c r="T90" i="23" s="1"/>
  <c r="O56" i="23" l="1"/>
  <c r="T91" i="23" a="1"/>
  <c r="T91" i="23" s="1"/>
  <c r="N57" i="23"/>
  <c r="T92" i="23" l="1" a="1"/>
  <c r="T92" i="23" s="1"/>
  <c r="O57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Guilherme</author>
  </authors>
  <commentList>
    <comment ref="K4" authorId="0" shapeId="0" xr:uid="{C2CDAF58-DED3-483B-A73B-B7F7E835F77C}">
      <text>
        <r>
          <rPr>
            <b/>
            <sz val="9"/>
            <color indexed="81"/>
            <rFont val="Segoe UI"/>
            <family val="2"/>
          </rPr>
          <t>Guilherme: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<sst xmlns="http://schemas.openxmlformats.org/spreadsheetml/2006/main" count="2642" uniqueCount="666">
  <si>
    <t>TRECHO</t>
  </si>
  <si>
    <t>VALOR PREVISTO</t>
  </si>
  <si>
    <t>-</t>
  </si>
  <si>
    <t>ID</t>
  </si>
  <si>
    <t>REGIÃO</t>
  </si>
  <si>
    <t>CONTRATO</t>
  </si>
  <si>
    <t>OSP</t>
  </si>
  <si>
    <t>DATA EMISSÃO</t>
  </si>
  <si>
    <t>N° TRECHO</t>
  </si>
  <si>
    <t>SERVIÇO</t>
  </si>
  <si>
    <t>SITUAÇÃO</t>
  </si>
  <si>
    <t>REGIÕES</t>
  </si>
  <si>
    <t>CONTRATOS</t>
  </si>
  <si>
    <t>Código Região</t>
  </si>
  <si>
    <t>Região</t>
  </si>
  <si>
    <t>Código Contrato</t>
  </si>
  <si>
    <t>Contrato</t>
  </si>
  <si>
    <t>Roçada</t>
  </si>
  <si>
    <t>Em andamento</t>
  </si>
  <si>
    <t>Concluída</t>
  </si>
  <si>
    <t>Justificada</t>
  </si>
  <si>
    <t>Cancelada</t>
  </si>
  <si>
    <t>jan/fev</t>
  </si>
  <si>
    <t>VALOR MEDIDO</t>
  </si>
  <si>
    <t>CRONOGRAMA</t>
  </si>
  <si>
    <t>TOTAL MEDIDO</t>
  </si>
  <si>
    <t>SALDO</t>
  </si>
  <si>
    <t>SITUAÇÃO FINAL</t>
  </si>
  <si>
    <t>%</t>
  </si>
  <si>
    <t>OBSERVAÇÃO</t>
  </si>
  <si>
    <t>Janeiro</t>
  </si>
  <si>
    <t>Fevereiro</t>
  </si>
  <si>
    <t>Março</t>
  </si>
  <si>
    <t>Abril</t>
  </si>
  <si>
    <t>Maio</t>
  </si>
  <si>
    <t>Junho</t>
  </si>
  <si>
    <t>Recomposição mecanizada de aterro</t>
  </si>
  <si>
    <t>Reparo EDS</t>
  </si>
  <si>
    <t>Em elaboração</t>
  </si>
  <si>
    <t>G1</t>
  </si>
  <si>
    <t>G2</t>
  </si>
  <si>
    <t>Tapa-Buraco PMF</t>
  </si>
  <si>
    <t>Tapa-Buraco CAE</t>
  </si>
  <si>
    <t>G3</t>
  </si>
  <si>
    <t>Recomposição manual de aterro</t>
  </si>
  <si>
    <t>Remoção mecânica de barreira</t>
  </si>
  <si>
    <t>Enrocamento de pedra arrumada</t>
  </si>
  <si>
    <t>Enrocamento de pedra jogada</t>
  </si>
  <si>
    <t>Execução de Drenos DPS 07</t>
  </si>
  <si>
    <t>Execução de Contenção</t>
  </si>
  <si>
    <t>Recomposição de estruturas de concreto (contenção)</t>
  </si>
  <si>
    <t>Corta rio</t>
  </si>
  <si>
    <t>Recomposição de BSTC 100</t>
  </si>
  <si>
    <t>Recomposição guarda corpo</t>
  </si>
  <si>
    <t>Recomposição de bueiros celulares</t>
  </si>
  <si>
    <t>Remendo Profundo</t>
  </si>
  <si>
    <t>Caiação de EDS e pontes</t>
  </si>
  <si>
    <t>G4</t>
  </si>
  <si>
    <t>Microrrevestimento asfáltico 8 mm</t>
  </si>
  <si>
    <t>Fornecimento e aplicação de CBUQ</t>
  </si>
  <si>
    <t>Reciclagem do pavimento e execução de TSD</t>
  </si>
  <si>
    <t>G5</t>
  </si>
  <si>
    <t>Terraplenagem</t>
  </si>
  <si>
    <t>Execução de BSTC 100</t>
  </si>
  <si>
    <t>Reconformação da plataforma</t>
  </si>
  <si>
    <t>Recomposição do revestimento primário</t>
  </si>
  <si>
    <t>G6</t>
  </si>
  <si>
    <t>Serviços em pontes de madeira sem reaproveitamento</t>
  </si>
  <si>
    <t>Serviços em pontes de madeira com reaproveitamento</t>
  </si>
  <si>
    <t>Recomposição de elementos estruturais e não estruturais em pontes mistas ou de concreto</t>
  </si>
  <si>
    <t>G8</t>
  </si>
  <si>
    <t>Recuperação funcional do pavimento</t>
  </si>
  <si>
    <t>Pintura Horizontal da PPD e Pista de Taxiamento</t>
  </si>
  <si>
    <t>Manutenção corretiva Aeródromo</t>
  </si>
  <si>
    <t>G9</t>
  </si>
  <si>
    <t>Administração Local</t>
  </si>
  <si>
    <t>RELAÇÃO DOS TRECHOS DAS REGIÕES DE MANUTENÇÃO</t>
  </si>
  <si>
    <t>LOTE</t>
  </si>
  <si>
    <t>REGIÃO DE CONSERVAÇÃO</t>
  </si>
  <si>
    <t>CIDADE SEDE</t>
  </si>
  <si>
    <t>S.R.E</t>
  </si>
  <si>
    <t>SEGMENTOS</t>
  </si>
  <si>
    <t>EXTENSÃO
(KM)</t>
  </si>
  <si>
    <t>TIPO</t>
  </si>
  <si>
    <t>JURISDIÇÃO</t>
  </si>
  <si>
    <t>ACESSO</t>
  </si>
  <si>
    <t>Estadual</t>
  </si>
  <si>
    <t>PPS</t>
  </si>
  <si>
    <t>EXTENSÃO TOTAL (KM)</t>
  </si>
  <si>
    <t>NÚMERO TRECHO</t>
  </si>
  <si>
    <t>Limpeza EDS</t>
  </si>
  <si>
    <t>Limpeza Ponte</t>
  </si>
  <si>
    <t>Recomposição de BDTC 100</t>
  </si>
  <si>
    <t>Tapa-Buraco CAE / Remendo Profundo</t>
  </si>
  <si>
    <t>---------- COMBINAÇÕES ----------</t>
  </si>
  <si>
    <t>Tapa-Buraco CAE / Recomposição mecanizada de aterro / Enrocamento de pedra arrumada / Enrocamento de pedra jogada / Reparo EDS / Remendo Profundo</t>
  </si>
  <si>
    <t>Enrocamento de pedra arrumada / Enrocamento de pedra jogada / Terraplenagem / Execução de BSTC 100 / Reconformação da plataforma / Recomposição do revestimento primário</t>
  </si>
  <si>
    <t>Execução de BDTC 100</t>
  </si>
  <si>
    <t>Terraplenagem / Execução de BDTC 100 / Reconformação da plataforma / Recomposição do revestimento primário</t>
  </si>
  <si>
    <t>Recomposição mecanizada de aterro / Enrocamento de pedra arrumada / Enrocamento de pedra jogada / Reparo EDS</t>
  </si>
  <si>
    <t>Terraplenagem / Reconformação da plataforma / Recomposição do revestimento primário</t>
  </si>
  <si>
    <t>Terraplenagem / Execução de BSTC 100 / Reconformação da plataforma</t>
  </si>
  <si>
    <t>Recomposição manual de aterro / Enrocamento de pedra arrumada / Enrocamento de pedra jogada / Reparo EDS</t>
  </si>
  <si>
    <t>Roçada / Tapa-Buraco CAE / Recomposição manual de aterro / Enrocamento de pedra arrumada / Enrocamento de pedra jogada / Reparo EDS / Remendo Profundo</t>
  </si>
  <si>
    <t>Roçada / Tapa-Buraco CAE / Remendo Profundo</t>
  </si>
  <si>
    <t>Limpeza EDS / Caiação de EDS e pontes</t>
  </si>
  <si>
    <t>Roçada / Tapa-Buraco CAE</t>
  </si>
  <si>
    <t>Roçada / Limpeza Ponte / Caiação de EDS e pontes</t>
  </si>
  <si>
    <t>Tapa-Buraco PMF / Remendo Profundo</t>
  </si>
  <si>
    <t>Terraplenagem / Reconformação da plataforma</t>
  </si>
  <si>
    <t>BASE CONSOLIDADA — alimenta o DASHBOARD (não editar)</t>
  </si>
  <si>
    <t>Critério de região aplicado:</t>
  </si>
  <si>
    <t>N° OSPs</t>
  </si>
  <si>
    <t>SCORE</t>
  </si>
  <si>
    <t>RANK</t>
  </si>
  <si>
    <t>FILTRO — REGIÃO:</t>
  </si>
  <si>
    <t>TODAS</t>
  </si>
  <si>
    <t>N° DE OSPs</t>
  </si>
  <si>
    <t>VALOR PREVISTO (R$)</t>
  </si>
  <si>
    <t>TOTAL MEDIDO (R$)</t>
  </si>
  <si>
    <t>SALDO A MEDIR (R$)</t>
  </si>
  <si>
    <t>% DE EXECUÇÃO</t>
  </si>
  <si>
    <t>OSPs CONCLUÍDAS</t>
  </si>
  <si>
    <t>OSPs CANCELADAS</t>
  </si>
  <si>
    <t>VALOR MÉDIO / OSP (R$)</t>
  </si>
  <si>
    <t>% EXEC.</t>
  </si>
  <si>
    <t>CONCLUÍDAS</t>
  </si>
  <si>
    <t>CANCELADAS</t>
  </si>
  <si>
    <t>% DAS OSPs</t>
  </si>
  <si>
    <t>% DO VALOR</t>
  </si>
  <si>
    <t>TOTAL</t>
  </si>
  <si>
    <t>MÊS</t>
  </si>
  <si>
    <t>Valor medido no mês</t>
  </si>
  <si>
    <t>Acumulado</t>
  </si>
  <si>
    <t>% do valor previsto</t>
  </si>
  <si>
    <t>OSPs com medição</t>
  </si>
  <si>
    <t>#</t>
  </si>
  <si>
    <t>% DO TOTAL</t>
  </si>
  <si>
    <t>FONTES DOS GRÁFICOS DO DASHBOARD</t>
  </si>
  <si>
    <t>PREVISTO</t>
  </si>
  <si>
    <t>MEDIDO</t>
  </si>
  <si>
    <t>MEDIDO NO MÊS</t>
  </si>
  <si>
    <t>ACUMULADO</t>
  </si>
  <si>
    <t>Roçada / Limpeza EDS</t>
  </si>
  <si>
    <t>INSERIR OSP  →  HISTÓRICO:</t>
  </si>
  <si>
    <t>VER CONSOLIDADO  →  RESUMO:</t>
  </si>
  <si>
    <t>próxima linha livre →</t>
  </si>
  <si>
    <t>DETALHAMENTO</t>
  </si>
  <si>
    <t>FONTE: SISTEMA DE GESTÃO OSP - AGETO</t>
  </si>
  <si>
    <t>COMPARATIVO POR REGIÃO</t>
  </si>
  <si>
    <t>TOP 10 SERVIÇOS POR VALOR PREVISTO</t>
  </si>
  <si>
    <t>TOP 10 OSPs POR VALOR PREVISTO</t>
  </si>
  <si>
    <t>SITUAÇÃO DAS OSPs</t>
  </si>
  <si>
    <t>EVOLUÇÃO MENSAL — 2026</t>
  </si>
  <si>
    <t>DADOS DOS GRÁFICOS (apoio)</t>
  </si>
  <si>
    <t>Valor Previsto</t>
  </si>
  <si>
    <t>Total Medido</t>
  </si>
  <si>
    <t>Medido no mês</t>
  </si>
  <si>
    <t>FILTRO DE REGIÃO (DASHBOARD)</t>
  </si>
  <si>
    <t>Rótulo</t>
  </si>
  <si>
    <t>Código</t>
  </si>
  <si>
    <t>*</t>
  </si>
  <si>
    <t>CONTROLE DE OSPs — LOTE 04</t>
  </si>
  <si>
    <t>R11</t>
  </si>
  <si>
    <t>R12</t>
  </si>
  <si>
    <t>R13</t>
  </si>
  <si>
    <t>R22</t>
  </si>
  <si>
    <t>R23</t>
  </si>
  <si>
    <t>R24</t>
  </si>
  <si>
    <t>C11</t>
  </si>
  <si>
    <t>C12</t>
  </si>
  <si>
    <t>C13</t>
  </si>
  <si>
    <t>C22</t>
  </si>
  <si>
    <t>C23</t>
  </si>
  <si>
    <t>C24</t>
  </si>
  <si>
    <t>049.2024</t>
  </si>
  <si>
    <t>009.2025</t>
  </si>
  <si>
    <t>051.2024</t>
  </si>
  <si>
    <t>042.2025</t>
  </si>
  <si>
    <t>043.2025</t>
  </si>
  <si>
    <t>041.2025</t>
  </si>
  <si>
    <t>REGIÃO 11</t>
  </si>
  <si>
    <t>REGIÃO 12</t>
  </si>
  <si>
    <t>REGIÃO 13</t>
  </si>
  <si>
    <t>REGIÃO 22</t>
  </si>
  <si>
    <t>REGIÃO 23</t>
  </si>
  <si>
    <t>REGIÃO 24</t>
  </si>
  <si>
    <t>Região 11</t>
  </si>
  <si>
    <t>Região 12</t>
  </si>
  <si>
    <t>Região 13</t>
  </si>
  <si>
    <t>Região 22</t>
  </si>
  <si>
    <t>Região 23</t>
  </si>
  <si>
    <t>Região 24</t>
  </si>
  <si>
    <t>DETALHAMENTO OSPs — LOTE 04</t>
  </si>
  <si>
    <t>TOTAL — LOTE 04</t>
  </si>
  <si>
    <t>Gurupi</t>
  </si>
  <si>
    <t>RODOVIA TO-070 - TRECHO SANDOLÂNDIA - FORMOSO DO ARAGUAIA</t>
  </si>
  <si>
    <t>181ETO0171</t>
  </si>
  <si>
    <t>PERÍMETRO URBANO DE SANDOLÂNDIA</t>
  </si>
  <si>
    <t>RODOVIA TO-373 - TRECHO ALVORADA - ARAGUAÇU</t>
  </si>
  <si>
    <t>373ETO0221</t>
  </si>
  <si>
    <t>ALVORADA *TRECHO URBANO*</t>
  </si>
  <si>
    <t>RODOVIA TO-070 - TRECHO ALIANÇA DO TOCANTINS - BREJINHO DE NAZARÉ</t>
  </si>
  <si>
    <t>070ETO0120</t>
  </si>
  <si>
    <t>BREJINHO DE NAZARÉ *TRECHO URBANO* - ALIANCA *TRECHO URBANO*</t>
  </si>
  <si>
    <t>070ETO0121</t>
  </si>
  <si>
    <t>ALIANCA *TRECHO URBANO*</t>
  </si>
  <si>
    <t>RODOVIA TO-070 - TRECHO DUERÉ - ALIANÇA DO TOCANTINS</t>
  </si>
  <si>
    <t>070ETO0140</t>
  </si>
  <si>
    <t>ENTR. BR-153 (B) - ENTR. TO-164</t>
  </si>
  <si>
    <t>070ETO0150</t>
  </si>
  <si>
    <t>ENTR. TO-164 - ENTR. TO-374</t>
  </si>
  <si>
    <t>070ETO0160</t>
  </si>
  <si>
    <t>ENTR. TO-374 - DUERÉ *TRECHO URBANO*</t>
  </si>
  <si>
    <t>RODOVIA TO-070 - TRECHO FORMOSO DO ARAGUAIA - DUERÉ</t>
  </si>
  <si>
    <t>070ETO0170</t>
  </si>
  <si>
    <t>DUERÉ *TRECHO URBANO* - ENTR.TO-374</t>
  </si>
  <si>
    <t>070ETO0200</t>
  </si>
  <si>
    <t>ENTR. TO-374 (DUERE) - FORMOSO DO ARAGUAIA *TRECHO URBANO*</t>
  </si>
  <si>
    <t>070ETO0201</t>
  </si>
  <si>
    <t>FORMOSO DO ARAGUAIA *TRECHO URBANO*</t>
  </si>
  <si>
    <t>070ETO0230</t>
  </si>
  <si>
    <t>ENTR. BR-242 (FORMOSO DO ARAGUAIA ) - DORILÂNDIA</t>
  </si>
  <si>
    <t>070ETO0240</t>
  </si>
  <si>
    <t>DORILÂNDIA - ENTR. TO-181</t>
  </si>
  <si>
    <t>070ETO0250</t>
  </si>
  <si>
    <t>ENTR. TO-181 - SANDOLÂNDIA *TRECHO URBANO*</t>
  </si>
  <si>
    <t>RODOVIA TO-181 - TRECHO ENTR. TO-255 - ENTR. TO-481 (CAPAO DO COCO)</t>
  </si>
  <si>
    <t>181ETO0070</t>
  </si>
  <si>
    <t>ENTR. TO-255 - ENTR. TO-481 (CAPAO DO COCO)</t>
  </si>
  <si>
    <t>RODOVIA TO-181 - TRECHO ENTR. TO-481 (CAPAO DO COCO) - FAZENDA COBRAPE</t>
  </si>
  <si>
    <t>181ETO0090</t>
  </si>
  <si>
    <t>ENTR. TO-481 (CAPAO DO COCO) - INICIO PAVIMENTAÇÃO (FAZ. COBRAPE)</t>
  </si>
  <si>
    <t>RODOVIA TO-181 - TRECHO FAZENDA COBRAPE - ENTR. BR-242</t>
  </si>
  <si>
    <t>181ETO0110</t>
  </si>
  <si>
    <t>FAZ. COBRAPE - LAGOA DA ONÇA</t>
  </si>
  <si>
    <t>181ETO0120</t>
  </si>
  <si>
    <t>LAGOA DA ONÇA - ENTR. BR-242</t>
  </si>
  <si>
    <t>RODOVIA TO-181 - TRECHO ENTR. BR-242 - FUNDAÇÃO BRADESCO</t>
  </si>
  <si>
    <t>181ETO0140</t>
  </si>
  <si>
    <t>ENTR. BR-242 (B) - FUNDAÇÃO BRADESCO</t>
  </si>
  <si>
    <t>RODOVIA TO-181 - TRECHO FUNDAÇÃO BRADESCO - ENTR. TO-070</t>
  </si>
  <si>
    <t>181ETO0150</t>
  </si>
  <si>
    <t>FIM PAVIMENTAÇÃO - ENTR. TO-070</t>
  </si>
  <si>
    <t>RODOVIA TO-181 - TRECHO ARAGUAÇU - SANDOLÂNDIA</t>
  </si>
  <si>
    <t>181ETO0200</t>
  </si>
  <si>
    <t>SANDOLANDIA *TRECHO URBANO* - ENTR. TO-373 (ARAGUAÇU *TRECHO URBANO*)</t>
  </si>
  <si>
    <t>RODOVIA TO-181 - TRECHO ARAGUAÇU - DIVISA TO-GO</t>
  </si>
  <si>
    <t>181ETO0230</t>
  </si>
  <si>
    <t>ARAGUAÇU *TRECHO URBANO* - DIV TO-GO</t>
  </si>
  <si>
    <t>RODOVIA TO-362 - TRECHO SANTA RITA DO TOCANTINS - BREJINHO DE NAZARÉ</t>
  </si>
  <si>
    <t>362ETO0100</t>
  </si>
  <si>
    <t>ENTR. BR-153 (STA RITA DO TO) - ENTR. TO-070 (BREJINHO DE NAZARÉ)</t>
  </si>
  <si>
    <t>362ETO0110</t>
  </si>
  <si>
    <t>ENTR. TO-070 - BREJINHO DE NAZARÉ *TRECHO URBANO*</t>
  </si>
  <si>
    <t>RODOVIA TO-362 - TRECHO BREJINHO DE NAZARÉ - ENTR. TO-365 (ACESSO BALSA)</t>
  </si>
  <si>
    <t>362ETO0120</t>
  </si>
  <si>
    <t>BREJINHO DE NAZARÉ *TRECHO URBANO* - ENTR. TO-365</t>
  </si>
  <si>
    <t>RODOVIA TO-365 - TRECHO RIO TOCANTINS (BALSA) - TREVO DA PRAIA - ENTR. BR-153</t>
  </si>
  <si>
    <t>365ETO0220</t>
  </si>
  <si>
    <t>RIO TOCANTINS (BALSA) - ENTR. TO-362</t>
  </si>
  <si>
    <t>365ETO0230</t>
  </si>
  <si>
    <t>ENTR. TO-362 - ENTR. TO-373</t>
  </si>
  <si>
    <t>365ETO0240</t>
  </si>
  <si>
    <t>ENTR. TO-373 - TREVO DA PRAIA</t>
  </si>
  <si>
    <t>365ETO0250</t>
  </si>
  <si>
    <t>TREVO DA PRAIA - ENTR. BR-153</t>
  </si>
  <si>
    <t>RODOVIA TO-373 - TRECHO ENTR. TO-365 - RIO TOCANTINS (BALSA)</t>
  </si>
  <si>
    <t>373ETO0100</t>
  </si>
  <si>
    <t>ENTR. TO-365 - RIO TOCANTINS (BALSA)</t>
  </si>
  <si>
    <t>RODOVIA TO-373 - TRECHO ALVORADA - ARAGUAÇU - DIVISA TO-GO</t>
  </si>
  <si>
    <t>373ETO0240</t>
  </si>
  <si>
    <t>ALVORADA *TRECHO URBANO* - ENTR. TO-181 (ARAGUAÇU *TRECHO URBANO*)</t>
  </si>
  <si>
    <t>373ETO0250</t>
  </si>
  <si>
    <t>ENTR. TO-181 (ARAGUAÇU *TRECHO URBANO*) - ARAGUAÇU (ACESSO SUL)</t>
  </si>
  <si>
    <t>373ETO0260</t>
  </si>
  <si>
    <t>ARAGUAÇU (ACESSO SUL) - DIV TO-GO</t>
  </si>
  <si>
    <t>RODOVIA TO-374 - TRECHO DUERÉ - GURUPI</t>
  </si>
  <si>
    <t>374ETO0200</t>
  </si>
  <si>
    <t>ENTR. TO-070 - GURUPI *TRECHO URBANO*</t>
  </si>
  <si>
    <t xml:space="preserve">RODOVIA TO-460 - TRECHO BR-242 (VILA QUIXABA) - SUCUPIRA </t>
  </si>
  <si>
    <t>460ETO0010</t>
  </si>
  <si>
    <t>BR-242 (VILA QUIXABA) - SUCUPIRA *TRECHO URBANO*</t>
  </si>
  <si>
    <t>RODOVIA TO-481 - TRECHO DUERÉ - ENTR. TO-181 (CAPAO DO COCO)</t>
  </si>
  <si>
    <t>481ETO0020</t>
  </si>
  <si>
    <t>DUERÉ *TRECHO URBANO* - ENTR. TO-181 (CAPAO DO COCO)</t>
  </si>
  <si>
    <t>RODOVIA TO-483 - TRECHO SUCUPIRA - FIGUEIRÓPOLIS</t>
  </si>
  <si>
    <t>483ETO0010</t>
  </si>
  <si>
    <t>SUCUPIRA *TRECHO URBANO* - FIM PAVIMENTAÇÃO</t>
  </si>
  <si>
    <t>483ETO0020</t>
  </si>
  <si>
    <t>FIM PAVIMENTAÇÃO - FIGUEIRÓPOLIS *TRECHO URBANO*</t>
  </si>
  <si>
    <t>RODOVIA TO-484 - TRECHO FIGUEIRÓPOLIS - KM 64 (RIO FORMOSO)</t>
  </si>
  <si>
    <t>484ETO0010</t>
  </si>
  <si>
    <t>FIGUEIROPOLIS - *FIM TRECHO*- KM 64(RIO FORMOSO)</t>
  </si>
  <si>
    <t>Peixe</t>
  </si>
  <si>
    <t>RODOVIA TO-141 - TRECHO PALMEIRÓPOLIS - DIVISA TO-GO</t>
  </si>
  <si>
    <t>141ETO0110</t>
  </si>
  <si>
    <t>PALMEIRÓPOLIS *TRECHO URBANO* - DIV TO-GO</t>
  </si>
  <si>
    <t>RODOVIA TO-280 - TRECHO NATIVIDADE - ALMAS</t>
  </si>
  <si>
    <t>280ETO0150</t>
  </si>
  <si>
    <t>ENTR. TO-040 (ALMAS) - ENTR. BR-010-TO-050</t>
  </si>
  <si>
    <t>RODOVIA TO-280 - TRECHO SÃO VALÉRIO DE NATIVIDADE - NATIVIDADE</t>
  </si>
  <si>
    <t>280ETO0175</t>
  </si>
  <si>
    <t>ENTR.TO-050 - BR-010 (NATIVIDADE ACESSO SUL) - ENTR. TO-486</t>
  </si>
  <si>
    <t>280ETO0180</t>
  </si>
  <si>
    <t>ENTR. TO-486 - ENTR. TO-482</t>
  </si>
  <si>
    <t>280ETO0190</t>
  </si>
  <si>
    <t>ENTR.TO-482 - SÃO VALÉRIO DA NATIVIDADE *TRECHO URBANO*</t>
  </si>
  <si>
    <t>RODOVIA TO-280 - TRECHO ENTR. BR-242 - SÃO VALÉRIO DE NATIVIDADE</t>
  </si>
  <si>
    <t>280ETO0191</t>
  </si>
  <si>
    <t>SÃO VALÉRIO DA NATIVIDADE *TRECHO URBANO*</t>
  </si>
  <si>
    <t>280ETO0200</t>
  </si>
  <si>
    <t>SÃO VALÉRIO DA NATIVIDADE *TRECHO URBANO* - ENTR. TO-490</t>
  </si>
  <si>
    <t>280ETO0210</t>
  </si>
  <si>
    <t>ENTR. TO-490 - ENTR.TO-373</t>
  </si>
  <si>
    <t>280ETO0220</t>
  </si>
  <si>
    <t>ENTR. TO-373 - ENTR. BR-242</t>
  </si>
  <si>
    <t>ENTR. TO-280 - UHE (PEIXE ANGICAL)</t>
  </si>
  <si>
    <t>Outros</t>
  </si>
  <si>
    <t>RODOVIA TO-296 - TRECHO SÃO SALVADOR DO TOCANTINS - PARANÃ</t>
  </si>
  <si>
    <t>296ETO0220</t>
  </si>
  <si>
    <t>ENTR. BR-242 (PARANÃ) - SÃO SALVADOR DO TOCANTINS *TRECHO URBANO*</t>
  </si>
  <si>
    <t>ENTR. TO-387 - UHE SÃO SALVADOR</t>
  </si>
  <si>
    <t>RODOVIA TO-296 - TRECHO JAÚ DO TOCANTINS - SÃO SALVADOR DO TOCANTINS</t>
  </si>
  <si>
    <t>296ETO0230</t>
  </si>
  <si>
    <t>SÃO SALVADOR DO TOCANTINS *TRECHO URBANO* - ENTR. TO-387</t>
  </si>
  <si>
    <t>296ETO0240</t>
  </si>
  <si>
    <t>ENTR. TO-387 - RETIRO</t>
  </si>
  <si>
    <t>296ETO0250</t>
  </si>
  <si>
    <t>RETIRO - ENTR. TO-491</t>
  </si>
  <si>
    <t>296ETO0260</t>
  </si>
  <si>
    <t>ENTR. TO-491 - JAÚ DO TOCANTINS *TRECHO URBANO*</t>
  </si>
  <si>
    <t>296ETO0261</t>
  </si>
  <si>
    <t>JAÚ DO TOCANTINS *TRECHO URBANO*</t>
  </si>
  <si>
    <t>296ETO0262</t>
  </si>
  <si>
    <t>RODOVIA TO-296 - TALISMÃ - ENTR. TO-498 (JAÚ DO TOCANTINS)</t>
  </si>
  <si>
    <t>296ETO0300</t>
  </si>
  <si>
    <t>ENTR. TO-498 - ENTR. TO-495</t>
  </si>
  <si>
    <t>296ETO0310</t>
  </si>
  <si>
    <t>ENTR. TO-495 - ENTR. BR-153</t>
  </si>
  <si>
    <t>RODOVIA TO-365 - TRECHO IPUEIRAS - SILVANÓPOLIS</t>
  </si>
  <si>
    <t>365ETO0170</t>
  </si>
  <si>
    <t>ENTR- TO-050-BR-010 (SILVANÓPOLIS) - SURUBIM</t>
  </si>
  <si>
    <t>365ETO0180</t>
  </si>
  <si>
    <t>SURUBIM - ENTR. TO-458</t>
  </si>
  <si>
    <t>365ETO0190</t>
  </si>
  <si>
    <t>ENTR. TO-458 - IPUEIRAS *TRECHO URBANO*</t>
  </si>
  <si>
    <t>365ETO0191</t>
  </si>
  <si>
    <t>IPUEIRAS *TRECHO URBANO*</t>
  </si>
  <si>
    <t>365ETO0210</t>
  </si>
  <si>
    <t>ENTR. TO-458 (IPUEIRAS *TRECHO URBANO*) - RIO TOCANTINS( BALSA)</t>
  </si>
  <si>
    <t>RODOVIA TO-373 - TRECHO ENTR. TO-365 (BALSA) - SÃO MIGUEL - LAGOA DO ROMÃO -ENTR. TO-280</t>
  </si>
  <si>
    <t>373ETO0120</t>
  </si>
  <si>
    <t>RIO TOCANTINS (BALSA) - SÃO MIGUEL</t>
  </si>
  <si>
    <t>373ETO0130</t>
  </si>
  <si>
    <t>SÃO MIGUEL - LAGOA DO ROMÃO</t>
  </si>
  <si>
    <t>373ETO0140</t>
  </si>
  <si>
    <t>LAGOA DO ROMÃO - ENTR. TO-479</t>
  </si>
  <si>
    <t>373ETO0150</t>
  </si>
  <si>
    <t>ENTR.TO- 479 - ENTR. TO-280</t>
  </si>
  <si>
    <t>RODOVIA TO-373 - TRECHO ALVORADA - ENTR. BR-242</t>
  </si>
  <si>
    <t>373ETO0190</t>
  </si>
  <si>
    <t>ENTR. BR-242 - ENTR. TO-498 (SANTA CRUZ)</t>
  </si>
  <si>
    <t>373ETO0200</t>
  </si>
  <si>
    <t>ENTR. TO-498 (SANTA CRUZ) - VILA UNIÃO</t>
  </si>
  <si>
    <t>373ETO0210</t>
  </si>
  <si>
    <t>VILA UNIÃO - CANA BRAVA</t>
  </si>
  <si>
    <t>373ETO0220</t>
  </si>
  <si>
    <t>CANA BRAVA - ENTR. BR-153 ALVORADA *TRECHO URBANO*</t>
  </si>
  <si>
    <t>RODOVIA TO-387 - TRECHO PALMEIRÓPOLIS - SÃO SALVADOR DO TOCANTINS</t>
  </si>
  <si>
    <t>387ETO0170</t>
  </si>
  <si>
    <t>ENTR. TO-296 - PALMEIRÓPOLIS *TRECHO URBANO*</t>
  </si>
  <si>
    <t>RODOVIA TO-387 - TRECHO PALMEIRÓPOLIS - DIVISA TO-GO</t>
  </si>
  <si>
    <t>387ETO0171</t>
  </si>
  <si>
    <t>PERÍMETRO URBANO DE PALMEIRÓPOLIS</t>
  </si>
  <si>
    <t>387ETO0172</t>
  </si>
  <si>
    <t>387ETO0200</t>
  </si>
  <si>
    <t>PALMEIRÓPOLIS *TRECHO URBANO* - ENTR. TO-498</t>
  </si>
  <si>
    <t>387ETO0210</t>
  </si>
  <si>
    <t>ENTR. TO-498 - BARROLÂNDIA</t>
  </si>
  <si>
    <t>387ETO0220</t>
  </si>
  <si>
    <t>BARROLÂNDIA - DIV TO-GO</t>
  </si>
  <si>
    <t>RODOVIA TO-458 - TRECHO ENTR. TO-365 (IPUEIRAS) - ENTR. BR-010</t>
  </si>
  <si>
    <t>458ETO0050</t>
  </si>
  <si>
    <t>ENTR. TO-365 - MORRO DE SÃO JOÃO</t>
  </si>
  <si>
    <t>458ETO0060</t>
  </si>
  <si>
    <t>MORRO DE SÃO JOÃO - ENTR. TO-482</t>
  </si>
  <si>
    <t>458ETO0070</t>
  </si>
  <si>
    <t>ENTR. TO-482 - ENTR. TO-050-BR-010</t>
  </si>
  <si>
    <t>RODOVIA TO-479 - TRECHO PEIXE - POVOADO LAGOA DO ROMÃO (ENTR. TO-373)</t>
  </si>
  <si>
    <t>479ETO0010</t>
  </si>
  <si>
    <t>ENTROC. TO-373 - PEIXE (RIO TOCANTINS)</t>
  </si>
  <si>
    <t>RODOVIA TO-482 - TRECHO: ENTR. TO-280 (SÃO VALÉRIO DE NATIVIDADE) / ENTR. TO-458</t>
  </si>
  <si>
    <t>482ETO0010</t>
  </si>
  <si>
    <t>ENTR. TO-458 - POV. APINAJE (BALSA)</t>
  </si>
  <si>
    <t>482ETO0020</t>
  </si>
  <si>
    <t>POV. APINAJE (BALSA) - POV. SÃO PEDRO</t>
  </si>
  <si>
    <t>482ETO0030</t>
  </si>
  <si>
    <t>POV. SÃO PEDRO - ENTR. TO-280</t>
  </si>
  <si>
    <t>RODOVIA TO-486 - TRECHO SANTA ROSA DO TOCANTINS - ENTR. TO-280 (NATIVIDADE)</t>
  </si>
  <si>
    <t>486ETO0010</t>
  </si>
  <si>
    <t>SANTA ROSA *TRECHO URBANO* - ENTR. TO-280 (NATIVIDADE)</t>
  </si>
  <si>
    <t>RODOVIA TO-490 - TRECHO SÃO VALÉRIO DE NATIVIDADE - ENTR. BR-242</t>
  </si>
  <si>
    <t>490ETO0010</t>
  </si>
  <si>
    <t>ENTR. TO-280 (SÃO VALÉRIO DA NATIVIDADE) - TIGRE</t>
  </si>
  <si>
    <t>490ETO0020</t>
  </si>
  <si>
    <t>TIGRE - ENTR. BR-242</t>
  </si>
  <si>
    <t>RODOVIA TO-491 - TRECHO ENTR. BR-242 - ENTR. TO-296 (POVOADO RETIRO)</t>
  </si>
  <si>
    <t>491ETO0010</t>
  </si>
  <si>
    <t>ENTR. TO-373-BR-242 - ENTR. TO-296</t>
  </si>
  <si>
    <t>RODOVIA TO-495 - TRECHO DIVISA TO-GO - LOURENÇO BORGES - ENTR. TO-296</t>
  </si>
  <si>
    <t>495ETO0010</t>
  </si>
  <si>
    <t>ENTR. TO-296 - POV LORENÇO BORGES</t>
  </si>
  <si>
    <t>495ETO0020</t>
  </si>
  <si>
    <t>POV LORENÇO BORGES - DIVISA TO-GO</t>
  </si>
  <si>
    <t>RODOVIA TO-498 - TRECHO JAÚ DO TOCANTINS - ENTR. TO-373 (SANTA CRUZ)</t>
  </si>
  <si>
    <t>498ETO0010</t>
  </si>
  <si>
    <t>ENTR. TO-373 (SANTA CRUZ) - ENTR. TO-296</t>
  </si>
  <si>
    <t>296ETO0290</t>
  </si>
  <si>
    <t>JAÚ DO TOCANTINS *TRECHO URBANO* - ENTR. TO-498</t>
  </si>
  <si>
    <t>RODOVIA TO-498 - TRECHO JAÚ DO TOCANTINS - ENTR. TO-387</t>
  </si>
  <si>
    <t>498ETO0050</t>
  </si>
  <si>
    <t>JAÚ DO TOCANTINS *TRECHO URBANO* - NOVO HORIZONTE</t>
  </si>
  <si>
    <t>498ETO0080</t>
  </si>
  <si>
    <t>NOVO HORIZONTE - MONTEIRÓPOLIS</t>
  </si>
  <si>
    <t>498ETO0090</t>
  </si>
  <si>
    <t>MONTEIRÓPOLIS - ENTR. TO-387</t>
  </si>
  <si>
    <t>Dianópolis</t>
  </si>
  <si>
    <t>RODOVIA TO-040 - TRECHO ENTR. TO-369 - ENTR. TO-280 (ALMAS)</t>
  </si>
  <si>
    <t>040ETO0140</t>
  </si>
  <si>
    <t>ENTR. TO-369 - ENTR. TO-280 (ALMAS)</t>
  </si>
  <si>
    <t>RODOVIA TO-040 - TRECHO ALMAS - PORTO ALEGRE DO TOCANTINS</t>
  </si>
  <si>
    <t>040ETO0150</t>
  </si>
  <si>
    <t>ENTR. TO-280 (ALMAS) - ENTR. TO-477</t>
  </si>
  <si>
    <t>040ETO0160</t>
  </si>
  <si>
    <t>ENTR. TO-477 - PORTO ALEGRE DO TOCANTINS</t>
  </si>
  <si>
    <t>RODOVIA TO-040 - TRECHO DIANÓPOLIS - NOVO JARDIM</t>
  </si>
  <si>
    <t>040ETO0190</t>
  </si>
  <si>
    <t>ENTR. TO-476 (DIANÓPOLIS) - ENTR. TO-387-TO-110</t>
  </si>
  <si>
    <t>040ETO0200</t>
  </si>
  <si>
    <t>ENTR. TO-387-TO-110 - AMARALINA</t>
  </si>
  <si>
    <t>040ETO0210</t>
  </si>
  <si>
    <t>AMARALINA - NOVO JARDIM</t>
  </si>
  <si>
    <t>RODOVIA TO-040 - TRECHO NOVO JARDIM - DIVISA TO-BA</t>
  </si>
  <si>
    <t>040ETO0220</t>
  </si>
  <si>
    <t>NOVO JARDIM - ENTR. TO-110</t>
  </si>
  <si>
    <t>040ETO0230</t>
  </si>
  <si>
    <t>ENTR. TO-110 - DIV TO-BA</t>
  </si>
  <si>
    <t>RODOVIA TO-040 - TRECHO PORTO ALEGRE DO TOCANTINS - DIANÓPOLIS</t>
  </si>
  <si>
    <t>ENTR. TO-040 - PROJETO MANOEL ALVES</t>
  </si>
  <si>
    <t>040ETO0170</t>
  </si>
  <si>
    <t>PORTO ALEGRE DO TOCANTINS - ENTR.TO-387</t>
  </si>
  <si>
    <t>040ETO0180</t>
  </si>
  <si>
    <t>ENTR.TO-387 - ENTR.TO-476 (DIANÓPOLIS)</t>
  </si>
  <si>
    <t>RODOVIA TO-050 - TRECHO ARRAIAS - DIVISA TO-GO</t>
  </si>
  <si>
    <t>050ETO0270</t>
  </si>
  <si>
    <t>ARRAIAS (ACESSO SUL) - ENTR. TO-499</t>
  </si>
  <si>
    <t>050ETO0280</t>
  </si>
  <si>
    <t>ENTR. TO-499 - ENTR. TO-296</t>
  </si>
  <si>
    <t>050ETO0290</t>
  </si>
  <si>
    <t>ENTR. TO-296 - DIV TO-GO</t>
  </si>
  <si>
    <t>RODOVIA TO-050 - TRECHO CONCEIÇÃO DO TOCANTINS - ARRAIAS</t>
  </si>
  <si>
    <t>050ETO0230</t>
  </si>
  <si>
    <t>CONCEIÇÃO DO TOCANTINS - ENTR. BR-242</t>
  </si>
  <si>
    <t>050ETO0240</t>
  </si>
  <si>
    <t>ENTR. BR-242 - ENTR. TO-296</t>
  </si>
  <si>
    <t>050ETO0250</t>
  </si>
  <si>
    <t>ENTR. TO-296 - ARRAIAS (ACESSO NORTE)</t>
  </si>
  <si>
    <t>050ETO0260</t>
  </si>
  <si>
    <t>ARRAIAS (ACESSO NORTE) - ARRAIAS (ACESSO SUL)</t>
  </si>
  <si>
    <t>RODOVIA TO-050 - TRECHO ENTR. BR-010 (POVOADO PRÍNCIPE) - CONCEIÇÃO DO TOCANTINS</t>
  </si>
  <si>
    <t>387ETO0071</t>
  </si>
  <si>
    <t>CONCEIÇÃO DO TOCANTINS *TRECHO URBANO*</t>
  </si>
  <si>
    <t>050ETO0210</t>
  </si>
  <si>
    <t>ENTR. BR-010 (PRÍNCIPE) - ENTR. TO-387</t>
  </si>
  <si>
    <t>050ETO0220</t>
  </si>
  <si>
    <t>ENTR. TO-387 - CONCEIÇÃO DO TOCANTINS</t>
  </si>
  <si>
    <t>RODOVIA TO-110 - TRECHO AURORA DO TOCANTINS - LAVANDEIRA</t>
  </si>
  <si>
    <t>110ETO0330</t>
  </si>
  <si>
    <t>AURORA DO TOCANTINS *TRECHO URBANO* - LAVANDEIRA</t>
  </si>
  <si>
    <t>RODOVIA TO-110 - TRECHO COMBINADO - NOVO ALEGRE - DIVISA TO-GO</t>
  </si>
  <si>
    <t>110ETO0341</t>
  </si>
  <si>
    <t>COMBINADO *TRECHO URBANO*</t>
  </si>
  <si>
    <t>110ETO0370</t>
  </si>
  <si>
    <t>COMBINADO *TRECHO URBANO* - NOVO ALEGRE *TRECHO URBANO*</t>
  </si>
  <si>
    <t>110ETO0390</t>
  </si>
  <si>
    <t>NOVO ALEGRE *TRECHO URBANO* - DIV TO-GO</t>
  </si>
  <si>
    <t>RODOVIA TO-110 - TRECHO ENTR. TO-040 (DIANÓPOLIS) - DIVISA TO-BA (GARGANTA)</t>
  </si>
  <si>
    <t>110ETO0110</t>
  </si>
  <si>
    <t>GARGANTA - ENTR. TO-040-TO-280</t>
  </si>
  <si>
    <t>RODOVIA TO-110 - TRECHO ENTR. TO-040 - PONTE ALTA DO BOM JESUS</t>
  </si>
  <si>
    <t>110ETO0150</t>
  </si>
  <si>
    <t>ENTR. TO-040 - CABECEIRINHA</t>
  </si>
  <si>
    <t>110ETO0160</t>
  </si>
  <si>
    <t>CABECEIRINHA - IPANEMA</t>
  </si>
  <si>
    <t>110ETO0170</t>
  </si>
  <si>
    <t>IPANEMA - BOA VISTA DE BELÉM</t>
  </si>
  <si>
    <t>110ETO0180</t>
  </si>
  <si>
    <t>BOA VISTA DE BELÉM - ENTR. TO-485</t>
  </si>
  <si>
    <t>110ETO0190</t>
  </si>
  <si>
    <t>ENTR. TO-485 - PONTE ALTA DO BOM JESUS *TRECHO URBANO*</t>
  </si>
  <si>
    <t>RODOVIA TO-110 - TRECHO LAVANDEIRA - COMBINADO</t>
  </si>
  <si>
    <t>110ETO0340</t>
  </si>
  <si>
    <t>LAVANDEIRA - COMBINADO *TRECHO URBANO*</t>
  </si>
  <si>
    <t>RODOVIA TO-110 - TRECHO PONTE ALTA DO BOM JESUS - ENTR. BR-242(TAGUATINGA)</t>
  </si>
  <si>
    <t>110ETO0210</t>
  </si>
  <si>
    <t>PONTE ALTA DO BOM JESUS *TRECHO URBANO* - ALTAMIRA</t>
  </si>
  <si>
    <t>110ETO0220</t>
  </si>
  <si>
    <t>ALTAMIRA - SÃO GONÇALO</t>
  </si>
  <si>
    <t>110ETO0230</t>
  </si>
  <si>
    <t>SÃO GONÇALO - ENTR. BR-242 (A)</t>
  </si>
  <si>
    <t>RODOVIA TO-110 - TRECHO TAGUATINGA - AURORA DO TOCANTINS</t>
  </si>
  <si>
    <t>110ETO0241</t>
  </si>
  <si>
    <t>TAGUATINGA *TRECHO URBANO*</t>
  </si>
  <si>
    <t>110ETO0270</t>
  </si>
  <si>
    <t>TAGUATINGA *TRECHO URBANO* - POV. SAPATEIRO</t>
  </si>
  <si>
    <t>110ETO0280</t>
  </si>
  <si>
    <t>POV. SAPATEIRO - ENTR. ACESSO POV. AZUIS</t>
  </si>
  <si>
    <t>110ETO0290</t>
  </si>
  <si>
    <t>ENTR. ACESSO POV. AZUIS - AURORA DO TOCANTINS *TRECHO URBANO*</t>
  </si>
  <si>
    <t>ENTR- TO-110 - RIO AZUIS</t>
  </si>
  <si>
    <t>RODOVIA TO-296 - TRECHO ENTR. TO-050 - ENTR. TO-110 (COMBINADO)</t>
  </si>
  <si>
    <t>296ETO0110</t>
  </si>
  <si>
    <t>COMBINADO *TRECHO URBANO* - ENTR. TO-497</t>
  </si>
  <si>
    <t>296ETO0120</t>
  </si>
  <si>
    <t>ENTR. TO-497 - ENTR. TO-050</t>
  </si>
  <si>
    <t>RODOVIA TO-296 - TRECHO ENTR. BR-242 (POVOADO SÃO BOM JESUS DAS PALMAS) - ENTR. TO-050</t>
  </si>
  <si>
    <t>296ETO0170</t>
  </si>
  <si>
    <t>ENTR. TO-050 - ENTR. BR-242</t>
  </si>
  <si>
    <t>RODOVIA TO-369 - TRECHO ENTR. TO-040 - ENTR. TO-476 (FUNIL - RIO SONINHO)</t>
  </si>
  <si>
    <t>369ETO0100</t>
  </si>
  <si>
    <t>ENTR. TO-476 - ENTR. TO-040</t>
  </si>
  <si>
    <t>RODOVIA TO-387 - TRECHO CONCEIÇÃO DO TOCANTINS - TAIPAS DO TOCANTINS</t>
  </si>
  <si>
    <t>387ETO0070</t>
  </si>
  <si>
    <t>ENTR. TO-485 (TAIPAS) - CONCEIÇÃO DO TOCANTINS *TRECHO URBANO*</t>
  </si>
  <si>
    <t>RODOVIA TO-387 - TRECHO ENTR. BR-010 - ENTR. TO-050 (CONCEIÇÃO DO TOCANTINS)</t>
  </si>
  <si>
    <t>387ETO0100</t>
  </si>
  <si>
    <t>ENTR. TO-050 - ENTR. TO-130-BR-010</t>
  </si>
  <si>
    <t>RODOVIA TO-387 - TRECHO ENTR. TO-040 - TAIPAS DO TOCANTINS</t>
  </si>
  <si>
    <t>387ETO0040</t>
  </si>
  <si>
    <t>ENTR. TO-040-TO-280 - TAIPAS DO TOCANTINS *TRECHO URBANO*</t>
  </si>
  <si>
    <t>387ETO0041</t>
  </si>
  <si>
    <t>INÍCIO PU TAIPAS - FIM PU TAIPAS</t>
  </si>
  <si>
    <t>RODOVIA TO-476 - TRECHO RIO DA CONCEIÇÃO - DIANÓPOLIS</t>
  </si>
  <si>
    <t>476ETO0060</t>
  </si>
  <si>
    <t>RIO DA CONCEIÇÃO *TRECHO URBANO* - CATINGUEIRO</t>
  </si>
  <si>
    <t>476ETO0070</t>
  </si>
  <si>
    <t>CATINGUEIRO - ENTR. TO-040-TO-280-TO-387</t>
  </si>
  <si>
    <t>RODOVIA TO-476 - TRECHO RIO DA CONCEIÇÃO - ENTR. TO-477</t>
  </si>
  <si>
    <t>476ETO0030</t>
  </si>
  <si>
    <t>ENTR. TO-477 - RIO DA CONCEIÇÃO *TRECHO URBANO*</t>
  </si>
  <si>
    <t>RODOVIA TO-477 - TRECHO ALMAS - ENTR. TO-476</t>
  </si>
  <si>
    <t>477ETO0020</t>
  </si>
  <si>
    <t>ENTR. TO-476 - ENTR. TO-040-TO-280 (ALMAS)</t>
  </si>
  <si>
    <t>RODOVIA TO-477 - TRECHO ENTR. BR-010 (POVOADO BONFIM) - ALMAS</t>
  </si>
  <si>
    <t>477ETO0060</t>
  </si>
  <si>
    <t>ALMAS *TRECHO URBANO* - BARRA NOVA</t>
  </si>
  <si>
    <t>477ETO0070</t>
  </si>
  <si>
    <t>BARRA NOVA - ENTR. TO-050-BR-010</t>
  </si>
  <si>
    <t>RODOVIA TO-485 - TRECHO TAIPAS DO TOCANTINS - ENTR. TO-110</t>
  </si>
  <si>
    <t>485ETO0010</t>
  </si>
  <si>
    <t>ENTR. TO-110 - CARAIBINHA</t>
  </si>
  <si>
    <t>485ETO0020</t>
  </si>
  <si>
    <t>CARAIBINHA - POV. BURITI</t>
  </si>
  <si>
    <t>485ETO0030</t>
  </si>
  <si>
    <t>BURITI - ENTR. TO-487 (MIMOSA DOS MARINS)</t>
  </si>
  <si>
    <t>485ETO0040</t>
  </si>
  <si>
    <t>ENTR. TO-487 (MIMOSA DOS MARINS) - LIMOEIRO</t>
  </si>
  <si>
    <t>485ETO0050</t>
  </si>
  <si>
    <t>LIMOEIRO - ENTR. TO-387 (TAIPAS DO TOCANTINS)</t>
  </si>
  <si>
    <t>RODOVIA TO-487 - TRECHO ENTR. TO-485 (MIMOSA DOS MARINS) - ENTR. BR-242</t>
  </si>
  <si>
    <t>487ETO0010</t>
  </si>
  <si>
    <t>ENTR. TO 485 (MIMOSA) - ENTR. BR-242</t>
  </si>
  <si>
    <t>RODOVIA TO-497 - TRECHO ENTR. BR-242 - ENTR. TO-296 (POVOADO JACARÉ)</t>
  </si>
  <si>
    <t>497ETO0010</t>
  </si>
  <si>
    <t>ENTR. BR-242 (TAGUATINGA) - MIMOSA</t>
  </si>
  <si>
    <t>497ETO0020</t>
  </si>
  <si>
    <t>MIMOSA - DEPASA</t>
  </si>
  <si>
    <t>497ETO0030</t>
  </si>
  <si>
    <t>DEPASA - POV . JACARE</t>
  </si>
  <si>
    <t>497ETO0050</t>
  </si>
  <si>
    <t>POV JACARÉ - ENTR. TO-296</t>
  </si>
  <si>
    <t>RODOVIA TO-499 - TRECHO ENTR. TO-050 - DIVISA TO-GO</t>
  </si>
  <si>
    <t>499ETO0010</t>
  </si>
  <si>
    <t>ENTR. TO-050 - DIV TO-GO</t>
  </si>
  <si>
    <t>PSU</t>
  </si>
  <si>
    <t>Municipal</t>
  </si>
  <si>
    <t>PDU</t>
  </si>
  <si>
    <t>LEN</t>
  </si>
  <si>
    <t>EOP</t>
  </si>
  <si>
    <t>SERVIÇOS RESTAURAÇÃO</t>
  </si>
  <si>
    <t>SERVIÇOS MANUTENÇÃO</t>
  </si>
  <si>
    <t>Recomposição mecanizada de aterro / Enrocamento de pedra arrumada / Enrocamento de pedra jogada / Terraplenagem</t>
  </si>
  <si>
    <t>Roçada / Tapa-Buraco CAE / Remendo Profundo / Reconformação da plataforma</t>
  </si>
  <si>
    <t>Enrocamento de pedra arrumada / Enrocamento de pedra jogada / Terraplenagem / Reconformação da plataforma / Recomposição do revestimento primário</t>
  </si>
  <si>
    <t>Tapa-Buraco CAE / Enrocamento de pedra arrumada / Enrocamento de pedra jogada / Recomposição de BDTC 100 / Reparo EDS / Remendo Profundo</t>
  </si>
  <si>
    <t>Tapa-Buraco CAE / Enrocamento de pedra arrumada / Enrocamento de pedra jogada / Reparo EDS / Remendo Profundo</t>
  </si>
  <si>
    <t>Roçada / Tapa-Buraco PMF</t>
  </si>
  <si>
    <t>Roçada / Tapa-Buraco PMF / Caiação de EDS e pontes</t>
  </si>
  <si>
    <t>Enrocamento de pedra jogada / Terraplenagem / Execução de BSTC 100 / Execução de BDTC 100 / Reconformação da plataforma / Recomposição do revestimento primário</t>
  </si>
  <si>
    <t>Tapa-Buraco CAE / Recomposição manual de aterro / Enrocamento de pedra arrumada / Enrocamento de pedra jogada / Reparo EDS / Remendo Profundo / Terraplenagem</t>
  </si>
  <si>
    <t xml:space="preserve"> Roçada / Caiação de EDS e pontes</t>
  </si>
  <si>
    <t>Terraplenagem / Recomposição do revestimento primário</t>
  </si>
  <si>
    <t>Roçada / Tapa-Buraco PMF / Tapa-Buraco CAE / Remendo Profundo</t>
  </si>
  <si>
    <t>Roçada / Limpeza EDS / Caiação de EDS e pontes</t>
  </si>
  <si>
    <t>Roçada / Tapa-Buraco CAE / Reparo EDS / Remendo Profundo / Caiação de EDS e pontes</t>
  </si>
  <si>
    <t>Reconformação da plataforma / Recomposição do revestimento primário</t>
  </si>
  <si>
    <t>Análise Gestor</t>
  </si>
  <si>
    <t>Correção Fiscal</t>
  </si>
  <si>
    <t>jan/fev/mar</t>
  </si>
  <si>
    <t>mar/abr/mai</t>
  </si>
  <si>
    <t>mar</t>
  </si>
  <si>
    <t>mai/jun</t>
  </si>
  <si>
    <t>mai/jun/jul</t>
  </si>
  <si>
    <t>jun/jul</t>
  </si>
  <si>
    <t>fev/mar/abr</t>
  </si>
  <si>
    <t>fev</t>
  </si>
  <si>
    <t>Serviços em pontes de madeira sem resproveitamento</t>
  </si>
  <si>
    <t>Tapa-Buraco PMF / Recomposição manual de aterro / Enrocamento de pedra arrumada / Enrocamento de pedra jogada / Reparo EDS / Remendo Profundo</t>
  </si>
  <si>
    <t>Recomposição mecanizada de aterro / Enrocamento de pedra arrumada / Enrocamento de pedra jogada / Terraplenagem / Reconformação da plataforma</t>
  </si>
  <si>
    <t>Agosto</t>
  </si>
  <si>
    <t>Julho</t>
  </si>
  <si>
    <t>Setembro</t>
  </si>
  <si>
    <t>abr/mai</t>
  </si>
  <si>
    <t>ago/set/out</t>
  </si>
  <si>
    <t>ago/set</t>
  </si>
  <si>
    <t>jul/ago/set</t>
  </si>
  <si>
    <t>set/out</t>
  </si>
  <si>
    <t>Sinalização de Obras</t>
  </si>
  <si>
    <t>Drenagem</t>
  </si>
  <si>
    <t xml:space="preserve">Reciclagem do pavimento e execução de TSD / Microrrevestimento asfáltico 8 mm / Sinalização de Obras </t>
  </si>
  <si>
    <t>4.1</t>
  </si>
  <si>
    <t>4.2</t>
  </si>
  <si>
    <t>4.3</t>
  </si>
  <si>
    <t>4.4</t>
  </si>
  <si>
    <t>4.5</t>
  </si>
  <si>
    <t>Em cumprimento ao Termo de Ajustamento de Gestão, com destaque para a Cláusula Segunda, Parágrafo Sexto, é importante ressaltar que, nos anos anteriores, os serviços de manutenção rodoviária foram realizados por meio de Administração Direta, através da Residência Viária de Dianópolis - RV-13. Dessa forma, não há registros históricos disponíveis sobre o desempenho dessas atividades.</t>
  </si>
  <si>
    <t>jul</t>
  </si>
  <si>
    <t>set/out/nov</t>
  </si>
  <si>
    <t>Microrrevestimento asfáltico 8 mm / Sinalização de Obras</t>
  </si>
  <si>
    <t>Em cumprimento ao Termo de Ajustamento de Gestão, com destaque para a Cláusula Segunda, Parágrafo Sexto, é importante ressaltar que, nos anos anteriores, os serviços de manutenção rodoviária foram realizados por meio de Administração Direta da Residencia Viaria de Gurupi . Dessa forma, não há registros históricos disponíveis sobre o desempenho dessas atividades. Dessa forma, os serviços propostos são fundamentais para a durabilidade das estruturas, redução de riscos e eficiência operacional das vias públicas e rodoviárias.</t>
  </si>
  <si>
    <t>Roçada / Remendo profundo</t>
  </si>
  <si>
    <t>mar/abr</t>
  </si>
  <si>
    <t>abr/mai/jun</t>
  </si>
  <si>
    <t>jun/jul/ago</t>
  </si>
  <si>
    <t>jul/ago</t>
  </si>
  <si>
    <t>out/nov</t>
  </si>
  <si>
    <t>Outubro</t>
  </si>
  <si>
    <t>Roçada / Tapa-Buraco PMF / Remendo profundo</t>
  </si>
  <si>
    <t>jan/fev/mar/abr</t>
  </si>
  <si>
    <t>fev/mar</t>
  </si>
  <si>
    <t>abr</t>
  </si>
  <si>
    <t>out/nov/dez</t>
  </si>
  <si>
    <t>Tapa-Buraco CAE / Reparo EDS / Remendo Profundo / Enrocamento de pedra arrumada</t>
  </si>
  <si>
    <t>Tapa-Buraco PMF / Recomposição manual de aterro / Enrocamento de pedra jogada / Reparo EDS / Caiação de EDS e pontes</t>
  </si>
  <si>
    <t>Roçada / Tapa-Buraco PMF / Recomposição manual de aterro / Enrocamento de pedra arrumada / Reparo EDS / Caiação de EDS e pontes</t>
  </si>
  <si>
    <t>Terraplenagem / Execução de BSTC 100 / Recomposição do revestimento primário</t>
  </si>
  <si>
    <t>Tapa-Buraco PMF / Recomposição manual de aterro / Enrocamento de pedra arrumada / Reparo EDS</t>
  </si>
  <si>
    <t>Ressalta-se a liberação apenas do serviço de reconformação da plataforma, conforme memória de cálculo e diagrama linear.</t>
  </si>
  <si>
    <t>out</t>
  </si>
  <si>
    <t>O serviço de roçagem e poda nas rodovias é fundamental para garantir a segurança viária, pois melhora a visibilidade da sinalização, evita o esconderijo de animais que podem invadir a pista e reduz o risco de incêndios causados por vegetação seca. Além disso, contribui para a conservação da estrada e para a estética da via.</t>
  </si>
  <si>
    <t>Tapa-Buraco CAE / Execução de Contenção</t>
  </si>
  <si>
    <t>set</t>
  </si>
  <si>
    <t xml:space="preserve">Reciclagem do pavimento e execução de TSD / Microrrevestimento asfáltico 8 mm </t>
  </si>
  <si>
    <t>Reciclagem do pavimento e execução de TSD / Fornecimento e aplicação de CBUQ</t>
  </si>
  <si>
    <t>Reciclagem do pavimento e execução de TSD / Microrrevestimento asfáltico 8 mm / Fornecimento e aplicação de CBUQ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</si>
</sst>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  <numFmt numFmtId="166" formatCode="0.0%"/>
    <numFmt numFmtId="167" formatCode="#,##0;\(#,##0\);&quot;-&quot;"/>
    <numFmt numFmtId="168" formatCode="&quot;R$&quot;\ #,##0.00;\(&quot;R$&quot;\ #,##0.00\);&quot;-&quot;"/>
    <numFmt numFmtId="169" formatCode="&quot;R$&quot;\ #,##0;\(&quot;R$&quot;\ #,##0\);&quot;-&quot;"/>
    <numFmt numFmtId="170" formatCode="m/d/yyyy"/>
  </numFmts>
  <fonts count="58" x14ac:knownFonts="1"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sz val="14"/>
      <name val="Calibri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2"/>
      <color rgb="FF002060"/>
      <name val="Times New Roman"/>
      <family val="1"/>
    </font>
    <font>
      <sz val="12"/>
      <color rgb="FF00B050"/>
      <name val="Times New Roman"/>
      <family val="1"/>
    </font>
    <font>
      <sz val="12"/>
      <color rgb="FF00B0F0"/>
      <name val="Times New Roman"/>
      <family val="1"/>
    </font>
    <font>
      <sz val="12"/>
      <color rgb="FFC0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</font>
    <font>
      <b/>
      <sz val="14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name val="Calibri"/>
      <family val="2"/>
    </font>
    <font>
      <b/>
      <sz val="25"/>
      <name val="Times New Roman"/>
      <family val="1"/>
    </font>
    <font>
      <b/>
      <sz val="10"/>
      <color rgb="FF595959"/>
      <name val="Times New Roman"/>
      <family val="1"/>
    </font>
    <font>
      <b/>
      <sz val="18"/>
      <color rgb="FF333F4F"/>
      <name val="Times New Roman"/>
      <family val="1"/>
    </font>
    <font>
      <b/>
      <sz val="14"/>
      <color rgb="FF333F4F"/>
      <name val="Times New Roman"/>
      <family val="1"/>
    </font>
    <font>
      <sz val="12"/>
      <name val="Calibri"/>
      <family val="2"/>
      <scheme val="minor"/>
    </font>
    <font>
      <sz val="12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2"/>
      <color theme="10"/>
      <name val="Calibri"/>
      <family val="2"/>
    </font>
    <font>
      <i/>
      <sz val="9"/>
      <color rgb="FF808080"/>
      <name val="Times New Roman"/>
      <family val="1"/>
    </font>
    <font>
      <b/>
      <sz val="12"/>
      <color rgb="FFFFFFFF"/>
      <name val="Times New Roman"/>
      <family val="1"/>
    </font>
    <font>
      <sz val="16"/>
      <color rgb="FFFFFFFF"/>
      <name val="Times New Roman"/>
      <family val="1"/>
    </font>
    <font>
      <sz val="12"/>
      <color theme="0"/>
      <name val="Times New Roman"/>
      <family val="1"/>
    </font>
    <font>
      <b/>
      <sz val="14"/>
      <color rgb="FFFFFFFF"/>
      <name val="Times New Roman"/>
      <family val="1"/>
    </font>
    <font>
      <b/>
      <sz val="45"/>
      <color rgb="FFFFFFFF"/>
      <name val="Times New Roman"/>
      <family val="1"/>
    </font>
    <font>
      <b/>
      <sz val="20"/>
      <color rgb="FFFFFFFF"/>
      <name val="Times New Roman"/>
      <family val="1"/>
    </font>
    <font>
      <b/>
      <sz val="18"/>
      <color rgb="FFFFFFFF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0"/>
      <name val="Times New Roman"/>
      <family val="1"/>
    </font>
    <font>
      <b/>
      <sz val="9"/>
      <color theme="1"/>
      <name val="Calibri"/>
      <family val="2"/>
    </font>
    <font>
      <u/>
      <sz val="12"/>
      <color theme="1"/>
      <name val="Calibri"/>
      <family val="2"/>
    </font>
    <font>
      <sz val="12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sz val="12"/>
      <color rgb="FF7030A0"/>
      <name val="Times New Roman"/>
      <family val="1"/>
    </font>
    <font>
      <sz val="12"/>
      <name val="Times New Roman"/>
      <family val="1"/>
    </font>
    <font>
      <sz val="12"/>
      <color rgb="FFED7D31"/>
      <name val="Times New Roman"/>
      <family val="1"/>
    </font>
    <font>
      <sz val="12"/>
      <name val="Calibri"/>
      <family val="2"/>
      <scheme val="minor"/>
    </font>
    <font>
      <sz val="12"/>
      <name val="Calibri"/>
      <scheme val="minor"/>
    </font>
    <font>
      <sz val="12"/>
      <name val="Times New Roman"/>
    </font>
    <font>
      <b/>
      <sz val="12"/>
      <color rgb="FFFFFFFF"/>
      <name val="Calibri"/>
      <family val="2"/>
    </font>
    <font>
      <sz val="12"/>
      <color rgb="FFFF0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0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theme="4"/>
      </right>
      <top style="thin">
        <color rgb="FFB4C6E7"/>
      </top>
      <bottom style="thin">
        <color rgb="FFB4C6E7"/>
      </bottom>
      <diagonal/>
    </border>
    <border>
      <left style="medium">
        <color theme="4"/>
      </left>
      <right style="thin">
        <color rgb="FFB4C6E7"/>
      </right>
      <top style="thin">
        <color rgb="FFB4C6E7"/>
      </top>
      <bottom style="medium">
        <color theme="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theme="4"/>
      </bottom>
      <diagonal/>
    </border>
    <border>
      <left style="thin">
        <color rgb="FFB4C6E7"/>
      </left>
      <right style="medium">
        <color theme="4"/>
      </right>
      <top style="thin">
        <color rgb="FFB4C6E7"/>
      </top>
      <bottom style="medium">
        <color theme="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medium">
        <color indexed="6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 style="thin">
        <color theme="4"/>
      </top>
      <bottom/>
      <diagonal/>
    </border>
    <border>
      <left/>
      <right style="medium">
        <color theme="4"/>
      </right>
      <top style="thin">
        <color theme="4"/>
      </top>
      <bottom/>
      <diagonal/>
    </border>
    <border>
      <left style="medium">
        <color theme="4"/>
      </left>
      <right/>
      <top/>
      <bottom style="double">
        <color theme="4"/>
      </bottom>
      <diagonal/>
    </border>
    <border>
      <left/>
      <right style="medium">
        <color theme="4"/>
      </right>
      <top/>
      <bottom style="double">
        <color theme="4"/>
      </bottom>
      <diagonal/>
    </border>
    <border>
      <left style="medium">
        <color indexed="6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indexed="64"/>
      </left>
      <right style="thin">
        <color theme="0"/>
      </right>
      <top style="slantDashDot">
        <color theme="0"/>
      </top>
      <bottom style="slantDashDot">
        <color theme="0"/>
      </bottom>
      <diagonal/>
    </border>
    <border>
      <left style="thin">
        <color theme="0"/>
      </left>
      <right style="thin">
        <color theme="0"/>
      </right>
      <top style="slantDashDot">
        <color theme="0"/>
      </top>
      <bottom style="slantDashDot">
        <color theme="0"/>
      </bottom>
      <diagonal/>
    </border>
    <border>
      <left style="thin">
        <color theme="0"/>
      </left>
      <right style="medium">
        <color indexed="64"/>
      </right>
      <top style="slantDashDot">
        <color theme="0"/>
      </top>
      <bottom style="slantDashDot">
        <color theme="0"/>
      </bottom>
      <diagonal/>
    </border>
    <border>
      <left style="medium">
        <color indexed="64"/>
      </left>
      <right/>
      <top style="slantDashDot">
        <color theme="0"/>
      </top>
      <bottom style="slantDashDot">
        <color theme="0"/>
      </bottom>
      <diagonal/>
    </border>
    <border>
      <left/>
      <right/>
      <top style="slantDashDot">
        <color theme="0"/>
      </top>
      <bottom style="slantDashDot">
        <color theme="0"/>
      </bottom>
      <diagonal/>
    </border>
    <border>
      <left style="medium">
        <color theme="4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medium">
        <color theme="4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medium">
        <color theme="4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4"/>
      </right>
      <top/>
      <bottom style="thin">
        <color theme="3"/>
      </bottom>
      <diagonal/>
    </border>
    <border>
      <left style="medium">
        <color theme="4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medium">
        <color theme="4"/>
      </right>
      <top style="thin">
        <color rgb="FFB4C6E7"/>
      </top>
      <bottom/>
      <diagonal/>
    </border>
    <border>
      <left style="medium">
        <color theme="4"/>
      </left>
      <right style="thin">
        <color theme="3"/>
      </right>
      <top style="thin">
        <color theme="3"/>
      </top>
      <bottom style="medium">
        <color theme="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4"/>
      </bottom>
      <diagonal/>
    </border>
    <border>
      <left style="thin">
        <color theme="3"/>
      </left>
      <right style="medium">
        <color theme="4"/>
      </right>
      <top style="thin">
        <color theme="3"/>
      </top>
      <bottom style="medium">
        <color theme="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3"/>
      </right>
      <top/>
      <bottom/>
      <diagonal/>
    </border>
    <border>
      <left/>
      <right style="thin">
        <color rgb="FFB4C6E7"/>
      </right>
      <top/>
      <bottom/>
      <diagonal/>
    </border>
    <border>
      <left style="medium">
        <color theme="4"/>
      </left>
      <right/>
      <top/>
      <bottom/>
      <diagonal/>
    </border>
    <border>
      <left/>
      <right/>
      <top/>
      <bottom style="medium">
        <color theme="4"/>
      </bottom>
      <diagonal/>
    </border>
    <border>
      <left/>
      <right style="thin">
        <color rgb="FFB4C6E7"/>
      </right>
      <top/>
      <bottom style="medium">
        <color theme="4"/>
      </bottom>
      <diagonal/>
    </border>
    <border>
      <left/>
      <right style="medium">
        <color indexed="64"/>
      </right>
      <top style="slantDashDot">
        <color theme="0"/>
      </top>
      <bottom style="slantDashDot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0" fontId="33" fillId="0" borderId="0" applyNumberFormat="0" applyFill="0" applyBorder="0" applyAlignment="0" applyProtection="0"/>
  </cellStyleXfs>
  <cellXfs count="336">
    <xf numFmtId="0" fontId="0" fillId="0" borderId="0" xfId="0"/>
    <xf numFmtId="0" fontId="5" fillId="0" borderId="0" xfId="0" applyFont="1"/>
    <xf numFmtId="0" fontId="4" fillId="0" borderId="0" xfId="0" applyFont="1" applyAlignment="1">
      <alignment wrapText="1"/>
    </xf>
    <xf numFmtId="0" fontId="7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3" fontId="6" fillId="0" borderId="2" xfId="0" quotePrefix="1" applyNumberFormat="1" applyFont="1" applyBorder="1" applyAlignment="1">
      <alignment horizontal="center" vertical="center" wrapText="1"/>
    </xf>
    <xf numFmtId="164" fontId="6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65" fontId="0" fillId="0" borderId="2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1" fontId="9" fillId="0" borderId="2" xfId="0" quotePrefix="1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/>
    </xf>
    <xf numFmtId="3" fontId="9" fillId="0" borderId="20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 wrapText="1"/>
    </xf>
    <xf numFmtId="49" fontId="15" fillId="0" borderId="12" xfId="0" quotePrefix="1" applyNumberFormat="1" applyFont="1" applyBorder="1" applyAlignment="1">
      <alignment horizontal="left" vertical="center" wrapText="1"/>
    </xf>
    <xf numFmtId="165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10" fontId="21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vertical="center"/>
    </xf>
    <xf numFmtId="0" fontId="11" fillId="3" borderId="10" xfId="0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0" fillId="10" borderId="0" xfId="0" applyFill="1"/>
    <xf numFmtId="0" fontId="20" fillId="0" borderId="0" xfId="3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0" fillId="0" borderId="6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center" vertical="center" wrapText="1"/>
    </xf>
    <xf numFmtId="0" fontId="20" fillId="0" borderId="0" xfId="3" applyFont="1" applyAlignment="1">
      <alignment vertical="center" wrapText="1"/>
    </xf>
    <xf numFmtId="0" fontId="20" fillId="0" borderId="0" xfId="3" applyFont="1" applyAlignment="1">
      <alignment vertical="center"/>
    </xf>
    <xf numFmtId="0" fontId="20" fillId="0" borderId="0" xfId="3" applyFont="1" applyAlignment="1">
      <alignment horizontal="center" vertical="center"/>
    </xf>
    <xf numFmtId="0" fontId="20" fillId="0" borderId="23" xfId="3" applyFont="1" applyBorder="1" applyAlignment="1">
      <alignment horizontal="center" vertical="center"/>
    </xf>
    <xf numFmtId="4" fontId="20" fillId="0" borderId="0" xfId="3" applyNumberFormat="1" applyFont="1" applyAlignment="1">
      <alignment vertical="center"/>
    </xf>
    <xf numFmtId="49" fontId="20" fillId="0" borderId="0" xfId="3" applyNumberFormat="1" applyFont="1" applyAlignment="1">
      <alignment vertical="center"/>
    </xf>
    <xf numFmtId="0" fontId="20" fillId="0" borderId="21" xfId="3" applyFont="1" applyBorder="1" applyAlignment="1">
      <alignment horizontal="center" vertical="center"/>
    </xf>
    <xf numFmtId="0" fontId="20" fillId="0" borderId="21" xfId="3" applyFont="1" applyBorder="1"/>
    <xf numFmtId="0" fontId="20" fillId="0" borderId="21" xfId="3" applyFont="1" applyBorder="1" applyAlignment="1">
      <alignment vertical="center" wrapText="1"/>
    </xf>
    <xf numFmtId="4" fontId="20" fillId="0" borderId="21" xfId="3" applyNumberFormat="1" applyFont="1" applyBorder="1" applyAlignment="1">
      <alignment vertical="center"/>
    </xf>
    <xf numFmtId="0" fontId="20" fillId="0" borderId="8" xfId="3" applyFont="1" applyBorder="1" applyAlignment="1">
      <alignment horizontal="center" vertical="center" wrapText="1"/>
    </xf>
    <xf numFmtId="0" fontId="20" fillId="0" borderId="0" xfId="3" applyFont="1"/>
    <xf numFmtId="2" fontId="20" fillId="0" borderId="23" xfId="3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49" fontId="23" fillId="0" borderId="5" xfId="3" applyNumberFormat="1" applyFont="1" applyBorder="1" applyAlignment="1">
      <alignment horizontal="center" vertical="center" wrapText="1"/>
    </xf>
    <xf numFmtId="4" fontId="23" fillId="0" borderId="5" xfId="3" applyNumberFormat="1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left" vertical="center" wrapText="1"/>
    </xf>
    <xf numFmtId="49" fontId="4" fillId="10" borderId="4" xfId="0" applyNumberFormat="1" applyFont="1" applyFill="1" applyBorder="1" applyAlignment="1">
      <alignment horizontal="center" vertical="center" wrapText="1"/>
    </xf>
    <xf numFmtId="49" fontId="6" fillId="0" borderId="2" xfId="0" quotePrefix="1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49" fontId="9" fillId="0" borderId="2" xfId="0" quotePrefix="1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17" fontId="0" fillId="0" borderId="0" xfId="0" applyNumberFormat="1"/>
    <xf numFmtId="49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12" borderId="0" xfId="0" applyFill="1"/>
    <xf numFmtId="0" fontId="21" fillId="0" borderId="0" xfId="0" applyFont="1"/>
    <xf numFmtId="0" fontId="21" fillId="16" borderId="0" xfId="0" applyFont="1" applyFill="1"/>
    <xf numFmtId="17" fontId="21" fillId="16" borderId="0" xfId="0" applyNumberFormat="1" applyFont="1" applyFill="1"/>
    <xf numFmtId="0" fontId="0" fillId="0" borderId="0" xfId="0" applyAlignment="1">
      <alignment wrapText="1"/>
    </xf>
    <xf numFmtId="49" fontId="29" fillId="0" borderId="2" xfId="0" applyNumberFormat="1" applyFont="1" applyBorder="1" applyAlignment="1">
      <alignment horizontal="center" vertical="center" wrapText="1"/>
    </xf>
    <xf numFmtId="49" fontId="30" fillId="0" borderId="12" xfId="0" quotePrefix="1" applyNumberFormat="1" applyFont="1" applyBorder="1" applyAlignment="1">
      <alignment horizontal="center" vertical="center" wrapText="1"/>
    </xf>
    <xf numFmtId="49" fontId="30" fillId="0" borderId="12" xfId="0" quotePrefix="1" applyNumberFormat="1" applyFont="1" applyBorder="1" applyAlignment="1">
      <alignment horizontal="left" vertical="center" wrapText="1"/>
    </xf>
    <xf numFmtId="0" fontId="0" fillId="12" borderId="0" xfId="0" applyFill="1" applyAlignment="1">
      <alignment wrapText="1"/>
    </xf>
    <xf numFmtId="0" fontId="0" fillId="17" borderId="0" xfId="0" applyFill="1" applyAlignment="1">
      <alignment horizontal="center"/>
    </xf>
    <xf numFmtId="0" fontId="0" fillId="17" borderId="35" xfId="0" applyFill="1" applyBorder="1" applyAlignment="1">
      <alignment horizontal="center"/>
    </xf>
    <xf numFmtId="0" fontId="22" fillId="17" borderId="34" xfId="0" applyFont="1" applyFill="1" applyBorder="1" applyAlignment="1">
      <alignment vertical="center"/>
    </xf>
    <xf numFmtId="0" fontId="22" fillId="17" borderId="35" xfId="0" applyFont="1" applyFill="1" applyBorder="1" applyAlignment="1">
      <alignment horizontal="center" vertical="center"/>
    </xf>
    <xf numFmtId="0" fontId="26" fillId="17" borderId="0" xfId="0" applyFont="1" applyFill="1" applyAlignment="1">
      <alignment vertical="center"/>
    </xf>
    <xf numFmtId="0" fontId="26" fillId="17" borderId="35" xfId="0" applyFont="1" applyFill="1" applyBorder="1" applyAlignment="1">
      <alignment vertical="center"/>
    </xf>
    <xf numFmtId="3" fontId="27" fillId="17" borderId="0" xfId="0" applyNumberFormat="1" applyFont="1" applyFill="1" applyAlignment="1">
      <alignment vertical="center"/>
    </xf>
    <xf numFmtId="3" fontId="27" fillId="17" borderId="35" xfId="0" applyNumberFormat="1" applyFont="1" applyFill="1" applyBorder="1" applyAlignment="1">
      <alignment vertical="center"/>
    </xf>
    <xf numFmtId="0" fontId="0" fillId="17" borderId="36" xfId="0" applyFill="1" applyBorder="1" applyAlignment="1">
      <alignment horizontal="center"/>
    </xf>
    <xf numFmtId="0" fontId="0" fillId="17" borderId="37" xfId="0" applyFill="1" applyBorder="1" applyAlignment="1">
      <alignment horizontal="center"/>
    </xf>
    <xf numFmtId="0" fontId="0" fillId="17" borderId="38" xfId="0" applyFill="1" applyBorder="1" applyAlignment="1">
      <alignment horizontal="center"/>
    </xf>
    <xf numFmtId="0" fontId="0" fillId="17" borderId="34" xfId="0" applyFill="1" applyBorder="1"/>
    <xf numFmtId="0" fontId="0" fillId="17" borderId="0" xfId="0" applyFill="1"/>
    <xf numFmtId="0" fontId="0" fillId="17" borderId="35" xfId="0" applyFill="1" applyBorder="1"/>
    <xf numFmtId="0" fontId="37" fillId="17" borderId="0" xfId="0" applyFont="1" applyFill="1"/>
    <xf numFmtId="0" fontId="28" fillId="12" borderId="41" xfId="0" applyFont="1" applyFill="1" applyBorder="1" applyAlignment="1">
      <alignment horizontal="center" vertical="center"/>
    </xf>
    <xf numFmtId="169" fontId="4" fillId="14" borderId="77" xfId="0" applyNumberFormat="1" applyFont="1" applyFill="1" applyBorder="1" applyAlignment="1">
      <alignment horizontal="center"/>
    </xf>
    <xf numFmtId="169" fontId="4" fillId="14" borderId="78" xfId="0" applyNumberFormat="1" applyFont="1" applyFill="1" applyBorder="1" applyAlignment="1">
      <alignment horizontal="center"/>
    </xf>
    <xf numFmtId="166" fontId="4" fillId="14" borderId="24" xfId="0" applyNumberFormat="1" applyFont="1" applyFill="1" applyBorder="1" applyAlignment="1">
      <alignment horizontal="center"/>
    </xf>
    <xf numFmtId="166" fontId="4" fillId="14" borderId="45" xfId="0" applyNumberFormat="1" applyFont="1" applyFill="1" applyBorder="1" applyAlignment="1">
      <alignment horizontal="center"/>
    </xf>
    <xf numFmtId="0" fontId="38" fillId="15" borderId="81" xfId="0" applyFont="1" applyFill="1" applyBorder="1" applyAlignment="1">
      <alignment horizontal="center" vertical="center" wrapText="1"/>
    </xf>
    <xf numFmtId="17" fontId="38" fillId="15" borderId="80" xfId="0" applyNumberFormat="1" applyFont="1" applyFill="1" applyBorder="1" applyAlignment="1">
      <alignment horizontal="center" vertical="center" wrapText="1"/>
    </xf>
    <xf numFmtId="17" fontId="38" fillId="15" borderId="82" xfId="0" applyNumberFormat="1" applyFont="1" applyFill="1" applyBorder="1" applyAlignment="1">
      <alignment horizontal="center" vertical="center" wrapText="1"/>
    </xf>
    <xf numFmtId="167" fontId="4" fillId="14" borderId="77" xfId="0" applyNumberFormat="1" applyFont="1" applyFill="1" applyBorder="1" applyAlignment="1">
      <alignment horizontal="center" vertical="center"/>
    </xf>
    <xf numFmtId="0" fontId="4" fillId="14" borderId="77" xfId="0" applyFont="1" applyFill="1" applyBorder="1" applyAlignment="1">
      <alignment horizontal="center" vertical="center"/>
    </xf>
    <xf numFmtId="166" fontId="4" fillId="14" borderId="78" xfId="0" applyNumberFormat="1" applyFont="1" applyFill="1" applyBorder="1" applyAlignment="1">
      <alignment horizontal="center" vertical="center"/>
    </xf>
    <xf numFmtId="167" fontId="4" fillId="14" borderId="24" xfId="0" applyNumberFormat="1" applyFont="1" applyFill="1" applyBorder="1" applyAlignment="1">
      <alignment horizontal="center" vertical="center"/>
    </xf>
    <xf numFmtId="0" fontId="4" fillId="14" borderId="24" xfId="0" applyFont="1" applyFill="1" applyBorder="1" applyAlignment="1">
      <alignment horizontal="center" vertical="center"/>
    </xf>
    <xf numFmtId="168" fontId="4" fillId="14" borderId="24" xfId="0" applyNumberFormat="1" applyFont="1" applyFill="1" applyBorder="1" applyAlignment="1">
      <alignment horizontal="right" vertical="center"/>
    </xf>
    <xf numFmtId="166" fontId="4" fillId="14" borderId="45" xfId="0" applyNumberFormat="1" applyFont="1" applyFill="1" applyBorder="1" applyAlignment="1">
      <alignment horizontal="center" vertical="center"/>
    </xf>
    <xf numFmtId="166" fontId="6" fillId="14" borderId="45" xfId="0" applyNumberFormat="1" applyFont="1" applyFill="1" applyBorder="1" applyAlignment="1">
      <alignment horizontal="center" vertical="center"/>
    </xf>
    <xf numFmtId="0" fontId="42" fillId="14" borderId="76" xfId="0" applyFont="1" applyFill="1" applyBorder="1" applyAlignment="1">
      <alignment horizontal="center" vertical="center"/>
    </xf>
    <xf numFmtId="0" fontId="42" fillId="14" borderId="44" xfId="0" applyFont="1" applyFill="1" applyBorder="1" applyAlignment="1">
      <alignment horizontal="center" vertical="center"/>
    </xf>
    <xf numFmtId="168" fontId="42" fillId="14" borderId="77" xfId="0" applyNumberFormat="1" applyFont="1" applyFill="1" applyBorder="1" applyAlignment="1">
      <alignment horizontal="right" vertical="center"/>
    </xf>
    <xf numFmtId="168" fontId="42" fillId="14" borderId="24" xfId="0" applyNumberFormat="1" applyFont="1" applyFill="1" applyBorder="1" applyAlignment="1">
      <alignment horizontal="right" vertical="center"/>
    </xf>
    <xf numFmtId="0" fontId="42" fillId="18" borderId="44" xfId="0" applyFont="1" applyFill="1" applyBorder="1" applyAlignment="1">
      <alignment horizontal="center" vertical="center"/>
    </xf>
    <xf numFmtId="167" fontId="4" fillId="18" borderId="24" xfId="0" applyNumberFormat="1" applyFont="1" applyFill="1" applyBorder="1" applyAlignment="1">
      <alignment horizontal="center" vertical="center"/>
    </xf>
    <xf numFmtId="0" fontId="4" fillId="18" borderId="24" xfId="0" applyFont="1" applyFill="1" applyBorder="1" applyAlignment="1">
      <alignment horizontal="center" vertical="center"/>
    </xf>
    <xf numFmtId="168" fontId="42" fillId="18" borderId="24" xfId="0" applyNumberFormat="1" applyFont="1" applyFill="1" applyBorder="1" applyAlignment="1">
      <alignment horizontal="right" vertical="center"/>
    </xf>
    <xf numFmtId="166" fontId="4" fillId="18" borderId="45" xfId="0" applyNumberFormat="1" applyFont="1" applyFill="1" applyBorder="1" applyAlignment="1">
      <alignment horizontal="center" vertical="center"/>
    </xf>
    <xf numFmtId="0" fontId="38" fillId="15" borderId="80" xfId="0" applyFont="1" applyFill="1" applyBorder="1" applyAlignment="1">
      <alignment horizontal="center" vertical="center" wrapText="1"/>
    </xf>
    <xf numFmtId="0" fontId="38" fillId="15" borderId="82" xfId="0" applyFont="1" applyFill="1" applyBorder="1" applyAlignment="1">
      <alignment horizontal="center" vertical="center" wrapText="1"/>
    </xf>
    <xf numFmtId="0" fontId="42" fillId="18" borderId="46" xfId="0" applyFont="1" applyFill="1" applyBorder="1" applyAlignment="1">
      <alignment horizontal="center" vertical="center"/>
    </xf>
    <xf numFmtId="167" fontId="4" fillId="18" borderId="47" xfId="0" applyNumberFormat="1" applyFont="1" applyFill="1" applyBorder="1" applyAlignment="1">
      <alignment horizontal="center" vertical="center"/>
    </xf>
    <xf numFmtId="0" fontId="4" fillId="18" borderId="47" xfId="0" applyFont="1" applyFill="1" applyBorder="1" applyAlignment="1">
      <alignment horizontal="center" vertical="center"/>
    </xf>
    <xf numFmtId="168" fontId="42" fillId="18" borderId="47" xfId="0" applyNumberFormat="1" applyFont="1" applyFill="1" applyBorder="1" applyAlignment="1">
      <alignment horizontal="right" vertical="center"/>
    </xf>
    <xf numFmtId="166" fontId="4" fillId="18" borderId="48" xfId="0" applyNumberFormat="1" applyFont="1" applyFill="1" applyBorder="1" applyAlignment="1">
      <alignment horizontal="center" vertical="center"/>
    </xf>
    <xf numFmtId="166" fontId="4" fillId="14" borderId="24" xfId="0" applyNumberFormat="1" applyFont="1" applyFill="1" applyBorder="1" applyAlignment="1">
      <alignment horizontal="center" vertical="center"/>
    </xf>
    <xf numFmtId="0" fontId="42" fillId="14" borderId="44" xfId="0" applyFont="1" applyFill="1" applyBorder="1" applyAlignment="1">
      <alignment horizontal="left"/>
    </xf>
    <xf numFmtId="0" fontId="42" fillId="14" borderId="76" xfId="0" applyFont="1" applyFill="1" applyBorder="1" applyAlignment="1">
      <alignment horizontal="left" vertical="center"/>
    </xf>
    <xf numFmtId="0" fontId="42" fillId="14" borderId="44" xfId="0" applyFont="1" applyFill="1" applyBorder="1" applyAlignment="1">
      <alignment horizontal="left" vertical="center"/>
    </xf>
    <xf numFmtId="0" fontId="42" fillId="18" borderId="44" xfId="0" applyFont="1" applyFill="1" applyBorder="1" applyAlignment="1">
      <alignment horizontal="left" vertical="center"/>
    </xf>
    <xf numFmtId="169" fontId="4" fillId="18" borderId="24" xfId="0" applyNumberFormat="1" applyFont="1" applyFill="1" applyBorder="1" applyAlignment="1">
      <alignment horizontal="center"/>
    </xf>
    <xf numFmtId="169" fontId="4" fillId="18" borderId="45" xfId="0" applyNumberFormat="1" applyFont="1" applyFill="1" applyBorder="1" applyAlignment="1">
      <alignment horizontal="center"/>
    </xf>
    <xf numFmtId="0" fontId="42" fillId="18" borderId="44" xfId="0" applyFont="1" applyFill="1" applyBorder="1" applyAlignment="1">
      <alignment horizontal="left"/>
    </xf>
    <xf numFmtId="166" fontId="4" fillId="18" borderId="24" xfId="0" applyNumberFormat="1" applyFont="1" applyFill="1" applyBorder="1" applyAlignment="1">
      <alignment horizontal="center" vertical="center"/>
    </xf>
    <xf numFmtId="168" fontId="4" fillId="18" borderId="24" xfId="0" applyNumberFormat="1" applyFont="1" applyFill="1" applyBorder="1" applyAlignment="1">
      <alignment horizontal="right" vertical="center"/>
    </xf>
    <xf numFmtId="0" fontId="42" fillId="18" borderId="46" xfId="0" applyFont="1" applyFill="1" applyBorder="1" applyAlignment="1">
      <alignment horizontal="left" vertical="center"/>
    </xf>
    <xf numFmtId="167" fontId="4" fillId="18" borderId="47" xfId="0" applyNumberFormat="1" applyFont="1" applyFill="1" applyBorder="1" applyAlignment="1">
      <alignment horizontal="center"/>
    </xf>
    <xf numFmtId="167" fontId="4" fillId="18" borderId="48" xfId="0" applyNumberFormat="1" applyFont="1" applyFill="1" applyBorder="1" applyAlignment="1">
      <alignment horizontal="center"/>
    </xf>
    <xf numFmtId="0" fontId="42" fillId="19" borderId="85" xfId="0" applyFont="1" applyFill="1" applyBorder="1" applyAlignment="1">
      <alignment horizontal="center" vertical="center"/>
    </xf>
    <xf numFmtId="167" fontId="42" fillId="19" borderId="86" xfId="0" applyNumberFormat="1" applyFont="1" applyFill="1" applyBorder="1" applyAlignment="1">
      <alignment horizontal="center" vertical="center"/>
    </xf>
    <xf numFmtId="168" fontId="42" fillId="19" borderId="86" xfId="0" applyNumberFormat="1" applyFont="1" applyFill="1" applyBorder="1" applyAlignment="1">
      <alignment horizontal="right" vertical="center"/>
    </xf>
    <xf numFmtId="166" fontId="42" fillId="19" borderId="87" xfId="0" applyNumberFormat="1" applyFont="1" applyFill="1" applyBorder="1" applyAlignment="1">
      <alignment horizontal="center" vertical="center"/>
    </xf>
    <xf numFmtId="49" fontId="4" fillId="14" borderId="24" xfId="0" applyNumberFormat="1" applyFont="1" applyFill="1" applyBorder="1" applyAlignment="1">
      <alignment horizontal="center" vertical="center"/>
    </xf>
    <xf numFmtId="49" fontId="4" fillId="18" borderId="24" xfId="0" applyNumberFormat="1" applyFont="1" applyFill="1" applyBorder="1" applyAlignment="1">
      <alignment horizontal="center" vertical="center"/>
    </xf>
    <xf numFmtId="0" fontId="42" fillId="18" borderId="83" xfId="0" applyFont="1" applyFill="1" applyBorder="1" applyAlignment="1">
      <alignment horizontal="center" vertical="center"/>
    </xf>
    <xf numFmtId="49" fontId="4" fillId="18" borderId="79" xfId="0" applyNumberFormat="1" applyFont="1" applyFill="1" applyBorder="1" applyAlignment="1">
      <alignment horizontal="center" vertical="center"/>
    </xf>
    <xf numFmtId="167" fontId="4" fillId="18" borderId="79" xfId="0" applyNumberFormat="1" applyFont="1" applyFill="1" applyBorder="1" applyAlignment="1">
      <alignment horizontal="center" vertical="center"/>
    </xf>
    <xf numFmtId="168" fontId="4" fillId="18" borderId="79" xfId="0" applyNumberFormat="1" applyFont="1" applyFill="1" applyBorder="1" applyAlignment="1">
      <alignment horizontal="right" vertical="center"/>
    </xf>
    <xf numFmtId="166" fontId="4" fillId="18" borderId="84" xfId="0" applyNumberFormat="1" applyFont="1" applyFill="1" applyBorder="1" applyAlignment="1">
      <alignment horizontal="center" vertical="center"/>
    </xf>
    <xf numFmtId="166" fontId="42" fillId="19" borderId="86" xfId="0" applyNumberFormat="1" applyFont="1" applyFill="1" applyBorder="1" applyAlignment="1">
      <alignment horizontal="center" vertical="center"/>
    </xf>
    <xf numFmtId="0" fontId="45" fillId="0" borderId="0" xfId="0" applyFont="1"/>
    <xf numFmtId="0" fontId="46" fillId="0" borderId="0" xfId="0" applyFont="1"/>
    <xf numFmtId="0" fontId="44" fillId="17" borderId="0" xfId="0" applyFont="1" applyFill="1"/>
    <xf numFmtId="0" fontId="0" fillId="12" borderId="34" xfId="0" applyFill="1" applyBorder="1"/>
    <xf numFmtId="0" fontId="0" fillId="0" borderId="35" xfId="0" applyBorder="1"/>
    <xf numFmtId="0" fontId="23" fillId="0" borderId="14" xfId="3" applyFont="1" applyBorder="1" applyAlignment="1">
      <alignment horizontal="center" vertical="center" wrapText="1"/>
    </xf>
    <xf numFmtId="49" fontId="23" fillId="0" borderId="14" xfId="3" applyNumberFormat="1" applyFont="1" applyBorder="1" applyAlignment="1">
      <alignment horizontal="center" vertical="center" wrapText="1"/>
    </xf>
    <xf numFmtId="4" fontId="23" fillId="0" borderId="14" xfId="3" applyNumberFormat="1" applyFont="1" applyBorder="1" applyAlignment="1">
      <alignment horizontal="center" vertical="center" wrapText="1"/>
    </xf>
    <xf numFmtId="49" fontId="20" fillId="0" borderId="0" xfId="3" applyNumberFormat="1" applyFont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49" fontId="23" fillId="0" borderId="4" xfId="3" applyNumberFormat="1" applyFont="1" applyBorder="1" applyAlignment="1">
      <alignment horizontal="center" vertical="center" wrapText="1"/>
    </xf>
    <xf numFmtId="4" fontId="23" fillId="0" borderId="4" xfId="3" applyNumberFormat="1" applyFont="1" applyBorder="1" applyAlignment="1">
      <alignment horizontal="center" vertical="center" wrapText="1"/>
    </xf>
    <xf numFmtId="0" fontId="20" fillId="0" borderId="11" xfId="3" applyFont="1" applyBorder="1" applyAlignment="1">
      <alignment horizontal="center" vertical="center" wrapText="1"/>
    </xf>
    <xf numFmtId="0" fontId="20" fillId="0" borderId="98" xfId="3" applyFont="1" applyBorder="1" applyAlignment="1">
      <alignment horizontal="center" vertical="center" wrapText="1"/>
    </xf>
    <xf numFmtId="0" fontId="20" fillId="0" borderId="98" xfId="3" applyFont="1" applyBorder="1" applyAlignment="1">
      <alignment horizontal="center" vertical="center"/>
    </xf>
    <xf numFmtId="0" fontId="20" fillId="0" borderId="98" xfId="3" applyFont="1" applyBorder="1" applyAlignment="1">
      <alignment vertical="center"/>
    </xf>
    <xf numFmtId="0" fontId="20" fillId="0" borderId="98" xfId="3" applyFont="1" applyBorder="1" applyAlignment="1">
      <alignment vertical="center" wrapText="1"/>
    </xf>
    <xf numFmtId="4" fontId="20" fillId="0" borderId="98" xfId="3" applyNumberFormat="1" applyFont="1" applyBorder="1" applyAlignment="1">
      <alignment vertical="center"/>
    </xf>
    <xf numFmtId="0" fontId="20" fillId="0" borderId="99" xfId="3" applyFont="1" applyBorder="1" applyAlignment="1">
      <alignment horizontal="center" vertical="center" wrapText="1"/>
    </xf>
    <xf numFmtId="0" fontId="20" fillId="0" borderId="21" xfId="3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1" fontId="6" fillId="0" borderId="2" xfId="0" quotePrefix="1" applyNumberFormat="1" applyFont="1" applyBorder="1" applyAlignment="1">
      <alignment horizontal="center" vertical="center" wrapText="1"/>
    </xf>
    <xf numFmtId="49" fontId="6" fillId="0" borderId="12" xfId="0" quotePrefix="1" applyNumberFormat="1" applyFont="1" applyBorder="1" applyAlignment="1">
      <alignment horizontal="center" vertical="center" wrapText="1"/>
    </xf>
    <xf numFmtId="3" fontId="29" fillId="0" borderId="2" xfId="0" applyNumberFormat="1" applyFont="1" applyBorder="1" applyAlignment="1">
      <alignment horizontal="center" vertical="center" wrapText="1"/>
    </xf>
    <xf numFmtId="1" fontId="29" fillId="0" borderId="2" xfId="0" quotePrefix="1" applyNumberFormat="1" applyFont="1" applyBorder="1" applyAlignment="1">
      <alignment horizontal="center" vertical="center" wrapText="1"/>
    </xf>
    <xf numFmtId="170" fontId="6" fillId="0" borderId="2" xfId="0" quotePrefix="1" applyNumberFormat="1" applyFont="1" applyBorder="1" applyAlignment="1">
      <alignment horizontal="center" vertical="center" wrapText="1"/>
    </xf>
    <xf numFmtId="164" fontId="6" fillId="0" borderId="3" xfId="1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9" fontId="51" fillId="0" borderId="12" xfId="0" quotePrefix="1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0" fontId="52" fillId="0" borderId="4" xfId="0" applyFont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1" fontId="9" fillId="10" borderId="2" xfId="0" quotePrefix="1" applyNumberFormat="1" applyFont="1" applyFill="1" applyBorder="1" applyAlignment="1">
      <alignment horizontal="center" vertical="center" wrapText="1"/>
    </xf>
    <xf numFmtId="49" fontId="53" fillId="0" borderId="2" xfId="0" applyNumberFormat="1" applyFont="1" applyBorder="1" applyAlignment="1">
      <alignment horizontal="center" vertical="center" wrapText="1"/>
    </xf>
    <xf numFmtId="170" fontId="51" fillId="0" borderId="2" xfId="0" quotePrefix="1" applyNumberFormat="1" applyFont="1" applyBorder="1" applyAlignment="1">
      <alignment horizontal="center" vertical="center" wrapText="1"/>
    </xf>
    <xf numFmtId="3" fontId="54" fillId="0" borderId="2" xfId="0" applyNumberFormat="1" applyFont="1" applyBorder="1" applyAlignment="1">
      <alignment horizontal="center" vertical="center" wrapText="1"/>
    </xf>
    <xf numFmtId="49" fontId="54" fillId="0" borderId="2" xfId="0" applyNumberFormat="1" applyFont="1" applyBorder="1" applyAlignment="1">
      <alignment horizontal="center" vertical="center" wrapText="1"/>
    </xf>
    <xf numFmtId="1" fontId="54" fillId="0" borderId="2" xfId="0" quotePrefix="1" applyNumberFormat="1" applyFont="1" applyBorder="1" applyAlignment="1">
      <alignment horizontal="center" vertical="center" wrapText="1"/>
    </xf>
    <xf numFmtId="170" fontId="55" fillId="0" borderId="2" xfId="0" quotePrefix="1" applyNumberFormat="1" applyFont="1" applyBorder="1" applyAlignment="1">
      <alignment horizontal="center" vertical="center" wrapText="1"/>
    </xf>
    <xf numFmtId="164" fontId="55" fillId="0" borderId="2" xfId="1" applyNumberFormat="1" applyFont="1" applyFill="1" applyBorder="1" applyAlignment="1">
      <alignment horizontal="center" vertical="center"/>
    </xf>
    <xf numFmtId="3" fontId="55" fillId="0" borderId="3" xfId="0" quotePrefix="1" applyNumberFormat="1" applyFont="1" applyBorder="1" applyAlignment="1">
      <alignment horizontal="center" vertical="center" wrapText="1"/>
    </xf>
    <xf numFmtId="49" fontId="55" fillId="0" borderId="12" xfId="0" quotePrefix="1" applyNumberFormat="1" applyFont="1" applyBorder="1" applyAlignment="1">
      <alignment horizontal="center" vertical="center" wrapText="1"/>
    </xf>
    <xf numFmtId="0" fontId="54" fillId="0" borderId="2" xfId="0" quotePrefix="1" applyFont="1" applyBorder="1" applyAlignment="1">
      <alignment horizontal="left" vertical="center" wrapText="1"/>
    </xf>
    <xf numFmtId="1" fontId="20" fillId="0" borderId="98" xfId="3" applyNumberFormat="1" applyFont="1" applyBorder="1" applyAlignment="1">
      <alignment horizontal="center" vertical="center" wrapText="1"/>
    </xf>
    <xf numFmtId="1" fontId="20" fillId="0" borderId="21" xfId="3" applyNumberFormat="1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17" fontId="12" fillId="6" borderId="12" xfId="0" applyNumberFormat="1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17" fontId="12" fillId="7" borderId="12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7" fontId="12" fillId="5" borderId="12" xfId="0" applyNumberFormat="1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17" fontId="12" fillId="4" borderId="12" xfId="0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39" fillId="17" borderId="29" xfId="0" applyFont="1" applyFill="1" applyBorder="1" applyAlignment="1">
      <alignment horizontal="center" vertical="center"/>
    </xf>
    <xf numFmtId="0" fontId="39" fillId="17" borderId="30" xfId="0" applyFont="1" applyFill="1" applyBorder="1" applyAlignment="1">
      <alignment horizontal="center" vertical="center"/>
    </xf>
    <xf numFmtId="0" fontId="39" fillId="17" borderId="31" xfId="0" applyFont="1" applyFill="1" applyBorder="1" applyAlignment="1">
      <alignment horizontal="center" vertical="center"/>
    </xf>
    <xf numFmtId="0" fontId="36" fillId="13" borderId="71" xfId="0" applyFont="1" applyFill="1" applyBorder="1" applyAlignment="1">
      <alignment horizontal="center" vertical="center"/>
    </xf>
    <xf numFmtId="0" fontId="36" fillId="13" borderId="72" xfId="0" applyFont="1" applyFill="1" applyBorder="1" applyAlignment="1">
      <alignment horizontal="center" vertical="center"/>
    </xf>
    <xf numFmtId="0" fontId="36" fillId="13" borderId="73" xfId="0" applyFont="1" applyFill="1" applyBorder="1" applyAlignment="1">
      <alignment horizontal="center" vertical="center"/>
    </xf>
    <xf numFmtId="0" fontId="0" fillId="17" borderId="3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35" xfId="0" applyFill="1" applyBorder="1" applyAlignment="1">
      <alignment horizontal="center"/>
    </xf>
    <xf numFmtId="0" fontId="56" fillId="13" borderId="25" xfId="4" applyFont="1" applyFill="1" applyBorder="1" applyAlignment="1">
      <alignment horizontal="center" vertical="center"/>
    </xf>
    <xf numFmtId="0" fontId="35" fillId="13" borderId="33" xfId="4" applyFont="1" applyFill="1" applyBorder="1" applyAlignment="1">
      <alignment horizontal="center" vertical="center"/>
    </xf>
    <xf numFmtId="0" fontId="56" fillId="13" borderId="60" xfId="4" applyFont="1" applyFill="1" applyBorder="1" applyAlignment="1">
      <alignment horizontal="center" vertical="center"/>
    </xf>
    <xf numFmtId="0" fontId="35" fillId="13" borderId="62" xfId="4" applyFont="1" applyFill="1" applyBorder="1" applyAlignment="1">
      <alignment horizontal="center" vertical="center"/>
    </xf>
    <xf numFmtId="0" fontId="35" fillId="13" borderId="25" xfId="4" applyFont="1" applyFill="1" applyBorder="1" applyAlignment="1">
      <alignment horizontal="center" vertical="center"/>
    </xf>
    <xf numFmtId="0" fontId="35" fillId="13" borderId="60" xfId="4" applyFont="1" applyFill="1" applyBorder="1" applyAlignment="1">
      <alignment horizontal="center" vertical="center"/>
    </xf>
    <xf numFmtId="0" fontId="56" fillId="13" borderId="27" xfId="4" applyFont="1" applyFill="1" applyBorder="1" applyAlignment="1">
      <alignment horizontal="center" vertical="center"/>
    </xf>
    <xf numFmtId="0" fontId="35" fillId="13" borderId="28" xfId="4" applyFont="1" applyFill="1" applyBorder="1" applyAlignment="1">
      <alignment horizontal="center" vertical="center"/>
    </xf>
    <xf numFmtId="0" fontId="56" fillId="13" borderId="61" xfId="4" applyFont="1" applyFill="1" applyBorder="1" applyAlignment="1">
      <alignment horizontal="center" vertical="center"/>
    </xf>
    <xf numFmtId="0" fontId="35" fillId="13" borderId="49" xfId="4" applyFont="1" applyFill="1" applyBorder="1" applyAlignment="1">
      <alignment horizontal="center" vertical="center"/>
    </xf>
    <xf numFmtId="3" fontId="27" fillId="14" borderId="67" xfId="0" applyNumberFormat="1" applyFont="1" applyFill="1" applyBorder="1" applyAlignment="1">
      <alignment horizontal="center" vertical="center"/>
    </xf>
    <xf numFmtId="3" fontId="27" fillId="14" borderId="68" xfId="0" applyNumberFormat="1" applyFont="1" applyFill="1" applyBorder="1" applyAlignment="1">
      <alignment horizontal="center" vertical="center"/>
    </xf>
    <xf numFmtId="168" fontId="27" fillId="14" borderId="58" xfId="0" applyNumberFormat="1" applyFont="1" applyFill="1" applyBorder="1" applyAlignment="1">
      <alignment horizontal="center" vertical="center"/>
    </xf>
    <xf numFmtId="168" fontId="27" fillId="14" borderId="59" xfId="0" applyNumberFormat="1" applyFont="1" applyFill="1" applyBorder="1" applyAlignment="1">
      <alignment horizontal="center" vertical="center"/>
    </xf>
    <xf numFmtId="0" fontId="38" fillId="3" borderId="50" xfId="4" applyFont="1" applyFill="1" applyBorder="1" applyAlignment="1">
      <alignment horizontal="center" vertical="center"/>
    </xf>
    <xf numFmtId="0" fontId="38" fillId="3" borderId="51" xfId="4" applyFont="1" applyFill="1" applyBorder="1" applyAlignment="1">
      <alignment horizontal="center" vertical="center"/>
    </xf>
    <xf numFmtId="0" fontId="38" fillId="3" borderId="52" xfId="4" applyFont="1" applyFill="1" applyBorder="1" applyAlignment="1">
      <alignment horizontal="center" vertical="center"/>
    </xf>
    <xf numFmtId="0" fontId="38" fillId="3" borderId="53" xfId="4" applyFont="1" applyFill="1" applyBorder="1" applyAlignment="1">
      <alignment horizontal="center" vertical="center"/>
    </xf>
    <xf numFmtId="0" fontId="38" fillId="3" borderId="54" xfId="4" applyFont="1" applyFill="1" applyBorder="1" applyAlignment="1">
      <alignment horizontal="center" vertical="center"/>
    </xf>
    <xf numFmtId="0" fontId="38" fillId="3" borderId="55" xfId="4" applyFont="1" applyFill="1" applyBorder="1" applyAlignment="1">
      <alignment horizontal="center" vertical="center"/>
    </xf>
    <xf numFmtId="0" fontId="26" fillId="14" borderId="65" xfId="0" applyFont="1" applyFill="1" applyBorder="1" applyAlignment="1">
      <alignment horizontal="center" vertical="center"/>
    </xf>
    <xf numFmtId="0" fontId="26" fillId="14" borderId="66" xfId="0" applyFont="1" applyFill="1" applyBorder="1" applyAlignment="1">
      <alignment horizontal="center" vertical="center"/>
    </xf>
    <xf numFmtId="0" fontId="26" fillId="14" borderId="42" xfId="0" applyFont="1" applyFill="1" applyBorder="1" applyAlignment="1">
      <alignment horizontal="center" vertical="center"/>
    </xf>
    <xf numFmtId="0" fontId="26" fillId="14" borderId="43" xfId="0" applyFont="1" applyFill="1" applyBorder="1" applyAlignment="1">
      <alignment horizontal="center" vertical="center"/>
    </xf>
    <xf numFmtId="10" fontId="27" fillId="14" borderId="58" xfId="0" applyNumberFormat="1" applyFont="1" applyFill="1" applyBorder="1" applyAlignment="1">
      <alignment horizontal="center" vertical="center"/>
    </xf>
    <xf numFmtId="10" fontId="27" fillId="14" borderId="59" xfId="0" applyNumberFormat="1" applyFont="1" applyFill="1" applyBorder="1" applyAlignment="1">
      <alignment horizontal="center" vertical="center"/>
    </xf>
    <xf numFmtId="3" fontId="27" fillId="14" borderId="58" xfId="0" applyNumberFormat="1" applyFont="1" applyFill="1" applyBorder="1" applyAlignment="1">
      <alignment horizontal="center" vertical="center"/>
    </xf>
    <xf numFmtId="3" fontId="27" fillId="14" borderId="59" xfId="0" applyNumberFormat="1" applyFont="1" applyFill="1" applyBorder="1" applyAlignment="1">
      <alignment horizontal="center" vertical="center"/>
    </xf>
    <xf numFmtId="0" fontId="13" fillId="9" borderId="56" xfId="0" applyFont="1" applyFill="1" applyBorder="1" applyAlignment="1">
      <alignment horizontal="center" vertical="center"/>
    </xf>
    <xf numFmtId="0" fontId="13" fillId="9" borderId="57" xfId="0" applyFont="1" applyFill="1" applyBorder="1" applyAlignment="1">
      <alignment horizontal="center" vertical="center"/>
    </xf>
    <xf numFmtId="0" fontId="35" fillId="3" borderId="32" xfId="4" applyFont="1" applyFill="1" applyBorder="1" applyAlignment="1">
      <alignment horizontal="right" vertical="center"/>
    </xf>
    <xf numFmtId="0" fontId="35" fillId="3" borderId="25" xfId="4" applyFont="1" applyFill="1" applyBorder="1" applyAlignment="1">
      <alignment horizontal="right" vertical="center"/>
    </xf>
    <xf numFmtId="0" fontId="34" fillId="12" borderId="69" xfId="0" applyFont="1" applyFill="1" applyBorder="1" applyAlignment="1">
      <alignment horizontal="right" vertical="center"/>
    </xf>
    <xf numFmtId="0" fontId="34" fillId="12" borderId="70" xfId="0" applyFont="1" applyFill="1" applyBorder="1" applyAlignment="1">
      <alignment horizontal="right" vertical="center"/>
    </xf>
    <xf numFmtId="0" fontId="34" fillId="12" borderId="63" xfId="0" applyFont="1" applyFill="1" applyBorder="1" applyAlignment="1">
      <alignment horizontal="center" vertical="center"/>
    </xf>
    <xf numFmtId="0" fontId="34" fillId="12" borderId="64" xfId="0" applyFont="1" applyFill="1" applyBorder="1" applyAlignment="1">
      <alignment horizontal="center" vertical="center"/>
    </xf>
    <xf numFmtId="0" fontId="43" fillId="14" borderId="93" xfId="0" applyFont="1" applyFill="1" applyBorder="1" applyAlignment="1">
      <alignment horizontal="left" vertical="center" wrapText="1"/>
    </xf>
    <xf numFmtId="0" fontId="43" fillId="14" borderId="0" xfId="0" applyFont="1" applyFill="1" applyAlignment="1">
      <alignment horizontal="left" vertical="center" wrapText="1"/>
    </xf>
    <xf numFmtId="0" fontId="43" fillId="14" borderId="92" xfId="0" applyFont="1" applyFill="1" applyBorder="1" applyAlignment="1">
      <alignment horizontal="left" vertical="center" wrapText="1"/>
    </xf>
    <xf numFmtId="0" fontId="43" fillId="18" borderId="93" xfId="0" applyFont="1" applyFill="1" applyBorder="1" applyAlignment="1">
      <alignment horizontal="left" vertical="center" wrapText="1"/>
    </xf>
    <xf numFmtId="0" fontId="43" fillId="18" borderId="0" xfId="0" applyFont="1" applyFill="1" applyAlignment="1">
      <alignment horizontal="left" vertical="center" wrapText="1"/>
    </xf>
    <xf numFmtId="0" fontId="43" fillId="18" borderId="92" xfId="0" applyFont="1" applyFill="1" applyBorder="1" applyAlignment="1">
      <alignment horizontal="left" vertical="center" wrapText="1"/>
    </xf>
    <xf numFmtId="0" fontId="43" fillId="18" borderId="58" xfId="0" applyFont="1" applyFill="1" applyBorder="1" applyAlignment="1">
      <alignment horizontal="left" vertical="center" wrapText="1"/>
    </xf>
    <xf numFmtId="0" fontId="43" fillId="18" borderId="94" xfId="0" applyFont="1" applyFill="1" applyBorder="1" applyAlignment="1">
      <alignment horizontal="left" vertical="center" wrapText="1"/>
    </xf>
    <xf numFmtId="0" fontId="43" fillId="18" borderId="95" xfId="0" applyFont="1" applyFill="1" applyBorder="1" applyAlignment="1">
      <alignment horizontal="left" vertical="center" wrapText="1"/>
    </xf>
    <xf numFmtId="0" fontId="36" fillId="13" borderId="74" xfId="0" applyFont="1" applyFill="1" applyBorder="1" applyAlignment="1">
      <alignment horizontal="center" vertical="center"/>
    </xf>
    <xf numFmtId="0" fontId="36" fillId="13" borderId="75" xfId="0" applyFont="1" applyFill="1" applyBorder="1" applyAlignment="1">
      <alignment horizontal="center" vertical="center"/>
    </xf>
    <xf numFmtId="0" fontId="36" fillId="13" borderId="96" xfId="0" applyFont="1" applyFill="1" applyBorder="1" applyAlignment="1">
      <alignment horizontal="center" vertical="center"/>
    </xf>
    <xf numFmtId="0" fontId="40" fillId="13" borderId="88" xfId="0" applyFont="1" applyFill="1" applyBorder="1" applyAlignment="1">
      <alignment horizontal="center" vertical="center"/>
    </xf>
    <xf numFmtId="0" fontId="40" fillId="13" borderId="89" xfId="0" applyFont="1" applyFill="1" applyBorder="1" applyAlignment="1">
      <alignment horizontal="center" vertical="center"/>
    </xf>
    <xf numFmtId="0" fontId="40" fillId="13" borderId="90" xfId="0" applyFont="1" applyFill="1" applyBorder="1" applyAlignment="1">
      <alignment horizontal="center" vertical="center"/>
    </xf>
    <xf numFmtId="0" fontId="38" fillId="15" borderId="93" xfId="0" applyFont="1" applyFill="1" applyBorder="1" applyAlignment="1">
      <alignment horizontal="center" vertical="center" wrapText="1"/>
    </xf>
    <xf numFmtId="0" fontId="38" fillId="15" borderId="0" xfId="0" applyFont="1" applyFill="1" applyAlignment="1">
      <alignment horizontal="center" vertical="center" wrapText="1"/>
    </xf>
    <xf numFmtId="0" fontId="38" fillId="15" borderId="91" xfId="0" applyFont="1" applyFill="1" applyBorder="1" applyAlignment="1">
      <alignment horizontal="center" vertical="center" wrapText="1"/>
    </xf>
    <xf numFmtId="0" fontId="15" fillId="14" borderId="93" xfId="0" applyFont="1" applyFill="1" applyBorder="1" applyAlignment="1">
      <alignment horizontal="left" vertical="center" wrapText="1"/>
    </xf>
    <xf numFmtId="0" fontId="15" fillId="14" borderId="0" xfId="0" applyFont="1" applyFill="1" applyAlignment="1">
      <alignment horizontal="left" vertical="center" wrapText="1"/>
    </xf>
    <xf numFmtId="0" fontId="15" fillId="14" borderId="92" xfId="0" applyFont="1" applyFill="1" applyBorder="1" applyAlignment="1">
      <alignment horizontal="left" vertical="center" wrapText="1"/>
    </xf>
    <xf numFmtId="0" fontId="0" fillId="17" borderId="39" xfId="0" applyFill="1" applyBorder="1" applyAlignment="1">
      <alignment horizontal="center"/>
    </xf>
    <xf numFmtId="0" fontId="0" fillId="17" borderId="26" xfId="0" applyFill="1" applyBorder="1" applyAlignment="1">
      <alignment horizontal="center"/>
    </xf>
    <xf numFmtId="0" fontId="0" fillId="17" borderId="40" xfId="0" applyFill="1" applyBorder="1" applyAlignment="1">
      <alignment horizontal="center"/>
    </xf>
    <xf numFmtId="0" fontId="41" fillId="13" borderId="88" xfId="0" applyFont="1" applyFill="1" applyBorder="1" applyAlignment="1">
      <alignment horizontal="center" vertical="center"/>
    </xf>
    <xf numFmtId="0" fontId="41" fillId="13" borderId="89" xfId="0" applyFont="1" applyFill="1" applyBorder="1" applyAlignment="1">
      <alignment horizontal="center" vertical="center"/>
    </xf>
    <xf numFmtId="0" fontId="41" fillId="13" borderId="90" xfId="0" applyFont="1" applyFill="1" applyBorder="1" applyAlignment="1">
      <alignment horizontal="center" vertical="center"/>
    </xf>
    <xf numFmtId="0" fontId="42" fillId="19" borderId="85" xfId="0" applyFont="1" applyFill="1" applyBorder="1" applyAlignment="1">
      <alignment horizontal="center" vertical="center"/>
    </xf>
    <xf numFmtId="0" fontId="42" fillId="19" borderId="86" xfId="0" applyFont="1" applyFill="1" applyBorder="1" applyAlignment="1">
      <alignment horizontal="center" vertical="center"/>
    </xf>
    <xf numFmtId="0" fontId="0" fillId="17" borderId="36" xfId="0" applyFill="1" applyBorder="1" applyAlignment="1">
      <alignment horizontal="center"/>
    </xf>
    <xf numFmtId="0" fontId="0" fillId="17" borderId="37" xfId="0" applyFill="1" applyBorder="1" applyAlignment="1">
      <alignment horizontal="center"/>
    </xf>
    <xf numFmtId="0" fontId="0" fillId="17" borderId="38" xfId="0" applyFill="1" applyBorder="1" applyAlignment="1">
      <alignment horizontal="center"/>
    </xf>
    <xf numFmtId="0" fontId="25" fillId="9" borderId="17" xfId="0" applyFont="1" applyFill="1" applyBorder="1" applyAlignment="1">
      <alignment horizontal="center" vertical="center" wrapText="1"/>
    </xf>
    <xf numFmtId="0" fontId="25" fillId="9" borderId="18" xfId="0" applyFont="1" applyFill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center" vertical="center" wrapText="1"/>
    </xf>
    <xf numFmtId="3" fontId="29" fillId="0" borderId="12" xfId="0" applyNumberFormat="1" applyFont="1" applyBorder="1" applyAlignment="1">
      <alignment horizontal="center" vertical="center" wrapText="1"/>
    </xf>
    <xf numFmtId="49" fontId="29" fillId="0" borderId="12" xfId="0" applyNumberFormat="1" applyFont="1" applyBorder="1" applyAlignment="1">
      <alignment horizontal="center" vertical="center" wrapText="1"/>
    </xf>
    <xf numFmtId="2" fontId="29" fillId="0" borderId="12" xfId="0" applyNumberFormat="1" applyFont="1" applyBorder="1" applyAlignment="1">
      <alignment horizontal="center" vertical="center" wrapText="1"/>
    </xf>
    <xf numFmtId="170" fontId="30" fillId="0" borderId="12" xfId="0" applyNumberFormat="1" applyFont="1" applyBorder="1" applyAlignment="1">
      <alignment horizontal="center" vertical="center" wrapText="1"/>
    </xf>
    <xf numFmtId="170" fontId="30" fillId="0" borderId="2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49" fontId="29" fillId="0" borderId="12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164" fontId="30" fillId="0" borderId="12" xfId="1" applyNumberFormat="1" applyFont="1" applyFill="1" applyBorder="1" applyAlignment="1">
      <alignment horizontal="center" vertical="center"/>
    </xf>
    <xf numFmtId="3" fontId="47" fillId="0" borderId="12" xfId="0" applyNumberFormat="1" applyFont="1" applyBorder="1" applyAlignment="1">
      <alignment horizontal="center" vertical="center" wrapText="1"/>
    </xf>
    <xf numFmtId="49" fontId="30" fillId="0" borderId="12" xfId="0" applyNumberFormat="1" applyFont="1" applyBorder="1" applyAlignment="1">
      <alignment horizontal="center" vertical="center" wrapText="1"/>
    </xf>
    <xf numFmtId="1" fontId="29" fillId="0" borderId="12" xfId="0" applyNumberFormat="1" applyFont="1" applyBorder="1" applyAlignment="1">
      <alignment horizontal="center" vertical="center" wrapText="1"/>
    </xf>
    <xf numFmtId="170" fontId="48" fillId="0" borderId="12" xfId="0" applyNumberFormat="1" applyFont="1" applyBorder="1" applyAlignment="1">
      <alignment horizontal="center" vertical="center" wrapText="1"/>
    </xf>
    <xf numFmtId="170" fontId="48" fillId="0" borderId="2" xfId="0" applyNumberFormat="1" applyFont="1" applyBorder="1" applyAlignment="1">
      <alignment horizontal="center"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164" fontId="48" fillId="0" borderId="12" xfId="1" applyNumberFormat="1" applyFont="1" applyFill="1" applyBorder="1" applyAlignment="1">
      <alignment horizontal="center" vertical="center"/>
    </xf>
    <xf numFmtId="3" fontId="49" fillId="0" borderId="12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22" fillId="11" borderId="7" xfId="0" applyFont="1" applyFill="1" applyBorder="1" applyAlignment="1">
      <alignment horizontal="center" vertical="center"/>
    </xf>
    <xf numFmtId="0" fontId="22" fillId="11" borderId="97" xfId="0" applyFont="1" applyFill="1" applyBorder="1" applyAlignment="1">
      <alignment horizontal="center" vertical="center"/>
    </xf>
    <xf numFmtId="0" fontId="22" fillId="11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3" fontId="55" fillId="0" borderId="2" xfId="0" quotePrefix="1" applyNumberFormat="1" applyFont="1" applyBorder="1" applyAlignment="1">
      <alignment horizontal="center" vertical="center" wrapText="1"/>
    </xf>
    <xf numFmtId="49" fontId="29" fillId="0" borderId="2" xfId="0" quotePrefix="1" applyNumberFormat="1" applyFont="1" applyBorder="1" applyAlignment="1">
      <alignment horizontal="left" vertical="center" wrapText="1"/>
    </xf>
    <xf numFmtId="3" fontId="6" fillId="0" borderId="3" xfId="0" quotePrefix="1" applyNumberFormat="1" applyFont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 wrapText="1"/>
    </xf>
    <xf numFmtId="0" fontId="0" fillId="0" borderId="0" xfId="0" applyNumberFormat="1"/>
  </cellXfs>
  <cellStyles count="5">
    <cellStyle name="Hiperlink" xfId="4" builtinId="8"/>
    <cellStyle name="Moeda" xfId="1" builtinId="4"/>
    <cellStyle name="Normal" xfId="0" builtinId="0"/>
    <cellStyle name="Normal 2" xfId="2" xr:uid="{DACA4F86-7166-42FB-ACB3-E059ED3C5FB2}"/>
    <cellStyle name="Normal 9" xfId="3" xr:uid="{16CCAB0D-F153-4658-8D1F-5E2AB536490E}"/>
  </cellStyles>
  <dxfs count="20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 patternType="solid">
          <fgColor indexed="64"/>
          <bgColor rgb="FFED7D31"/>
        </patternFill>
      </fill>
    </dxf>
    <dxf>
      <fill>
        <patternFill patternType="solid">
          <fgColor auto="1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ill>
        <patternFill patternType="solid">
          <fgColor auto="1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ont>
        <color rgb="FFFFFFFF"/>
      </font>
      <fill>
        <patternFill patternType="solid">
          <fgColor indexed="64"/>
          <bgColor rgb="FFED7D31"/>
        </patternFill>
      </fill>
    </dxf>
    <dxf>
      <fill>
        <patternFill patternType="solid">
          <fgColor auto="1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ill>
        <patternFill patternType="solid">
          <fgColor auto="1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ont>
        <color rgb="FFFFFFFF"/>
      </font>
      <fill>
        <patternFill patternType="solid">
          <fgColor indexed="64"/>
          <bgColor rgb="FFED7D31"/>
        </patternFill>
      </fill>
    </dxf>
    <dxf>
      <fill>
        <patternFill patternType="solid">
          <fgColor auto="1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ill>
        <patternFill patternType="solid">
          <fgColor auto="1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ont>
        <color rgb="FFFFFFFF"/>
      </font>
      <fill>
        <patternFill patternType="solid">
          <fgColor indexed="64"/>
          <bgColor rgb="FFED7D31"/>
        </patternFill>
      </fill>
    </dxf>
    <dxf>
      <fill>
        <patternFill patternType="solid">
          <fgColor auto="1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ill>
        <patternFill patternType="solid">
          <fgColor auto="1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ont>
        <color rgb="FFFFFFFF"/>
      </font>
      <fill>
        <patternFill patternType="solid">
          <fgColor indexed="64"/>
          <bgColor rgb="FFED7D31"/>
        </patternFill>
      </fill>
    </dxf>
    <dxf>
      <fill>
        <patternFill patternType="solid">
          <fgColor auto="1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ont>
        <color rgb="FFFFFFFF"/>
      </font>
      <fill>
        <patternFill patternType="solid">
          <fgColor indexed="64"/>
          <bgColor rgb="FFED7D31"/>
        </patternFill>
      </fill>
    </dxf>
    <dxf>
      <fill>
        <patternFill patternType="solid">
          <fgColor auto="1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ill>
        <patternFill patternType="solid">
          <fgColor auto="1"/>
        </patternFill>
      </fill>
    </dxf>
    <dxf>
      <fill>
        <patternFill>
          <fgColor rgb="FF00B0F0"/>
          <bgColor rgb="FF00B0F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</font>
      <numFmt numFmtId="3" formatCode="#,##0"/>
      <alignment wrapText="1"/>
      <border>
        <right style="thin">
          <color indexed="64"/>
        </right>
      </border>
    </dxf>
    <dxf>
      <font>
        <color auto="1"/>
        <name val="Times New Roman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color auto="1"/>
        <name val="Times New Roman"/>
        <family val="1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Times New Roman"/>
      </font>
      <numFmt numFmtId="170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border outline="0">
        <top style="thin">
          <color rgb="FF000000"/>
        </top>
      </border>
    </dxf>
    <dxf>
      <font>
        <name val="Times New Roman"/>
      </font>
      <alignment wrapText="1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wrapText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</font>
      <numFmt numFmtId="3" formatCode="#,##0"/>
      <alignment wrapText="1"/>
      <border>
        <right style="thin">
          <color indexed="64"/>
        </right>
      </border>
    </dxf>
    <dxf>
      <font>
        <color auto="1"/>
        <name val="Times New Roman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color auto="1"/>
        <name val="Times New Roman"/>
        <family val="1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Times New Roman"/>
      </font>
      <numFmt numFmtId="170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border outline="0">
        <top style="thin">
          <color rgb="FF000000"/>
        </top>
      </border>
    </dxf>
    <dxf>
      <font>
        <name val="Times New Roman"/>
      </font>
      <alignment wrapText="1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wrapText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</font>
      <numFmt numFmtId="3" formatCode="#,##0"/>
      <alignment wrapText="1"/>
      <border>
        <right style="thin">
          <color indexed="64"/>
        </right>
      </border>
    </dxf>
    <dxf>
      <font>
        <color auto="1"/>
        <name val="Times New Roman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color auto="1"/>
        <name val="Times New Roman"/>
        <family val="1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Times New Roman"/>
      </font>
      <numFmt numFmtId="170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border outline="0">
        <top style="thin">
          <color rgb="FF000000"/>
        </top>
      </border>
    </dxf>
    <dxf>
      <font>
        <name val="Times New Roman"/>
      </font>
      <alignment wrapText="1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wrapText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</font>
      <numFmt numFmtId="3" formatCode="#,##0"/>
      <alignment wrapText="1"/>
      <border>
        <right style="thin">
          <color indexed="64"/>
        </right>
      </border>
    </dxf>
    <dxf>
      <font>
        <color auto="1"/>
        <name val="Times New Roman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color auto="1"/>
        <name val="Times New Roman"/>
        <family val="1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Times New Roman"/>
      </font>
      <numFmt numFmtId="170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border outline="0">
        <top style="thin">
          <color rgb="FF000000"/>
        </top>
      </border>
    </dxf>
    <dxf>
      <font>
        <name val="Times New Roman"/>
      </font>
      <alignment wrapText="1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wrapText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</font>
      <numFmt numFmtId="3" formatCode="#,##0"/>
      <alignment wrapText="1"/>
      <border>
        <right style="thin">
          <color indexed="64"/>
        </right>
      </border>
    </dxf>
    <dxf>
      <font>
        <color auto="1"/>
        <name val="Times New Roman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color auto="1"/>
        <name val="Times New Roman"/>
        <family val="1"/>
      </font>
      <numFmt numFmtId="3" formatCode="#,##0"/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Times New Roman"/>
      </font>
      <numFmt numFmtId="170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border outline="0">
        <top style="thin">
          <color rgb="FF000000"/>
        </top>
      </border>
    </dxf>
    <dxf>
      <font>
        <name val="Times New Roman"/>
      </font>
      <alignment wrapText="1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wrapText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</font>
      <alignment wrapText="1"/>
      <border outline="0">
        <right style="thin">
          <color indexed="64"/>
        </right>
      </border>
    </dxf>
    <dxf>
      <font>
        <color auto="1"/>
        <name val="Times New Roman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color auto="1"/>
        <name val="Times New Roman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auto="1"/>
        <name val="Times New Roman"/>
      </font>
      <numFmt numFmtId="170" formatCode="m/d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minor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border outline="0">
        <top style="thin">
          <color rgb="FF000000"/>
        </top>
      </border>
    </dxf>
    <dxf>
      <font>
        <name val="Times New Roman"/>
      </font>
      <alignment wrapText="1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wrapText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en-US" sz="2500" b="1" i="0" u="none" strike="noStrike" kern="1200" baseline="0">
                <a:solidFill>
                  <a:srgbClr val="1F4E79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r>
              <a:rPr lang="en-US" sz="2500" b="1" i="0" u="none" strike="noStrike" kern="1200" baseline="0">
                <a:solidFill>
                  <a:srgbClr val="1F4E79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VALOR PREVISTO x MEDIDO </a:t>
            </a:r>
          </a:p>
          <a:p>
            <a:pPr algn="ctr" rtl="0">
              <a:defRPr lang="en-US" sz="2500" b="1" i="0" u="none" strike="noStrike" kern="1200" baseline="0">
                <a:solidFill>
                  <a:srgbClr val="1F4E79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r>
              <a:rPr lang="en-US" sz="2500" b="1" i="0" u="none" strike="noStrike" kern="1200" baseline="0">
                <a:solidFill>
                  <a:srgbClr val="1F4E79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POR REGIÃO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DETALHAMENTO!$S$71</c:f>
              <c:strCache>
                <c:ptCount val="1"/>
                <c:pt idx="0">
                  <c:v>Valor Previsto</c:v>
                </c:pt>
              </c:strCache>
            </c:strRef>
          </c:tx>
          <c:invertIfNegative val="0"/>
          <c:cat>
            <c:strRef>
              <c:f>DETALHAMENTO!$R$72:$R$77</c:f>
              <c:strCache>
                <c:ptCount val="6"/>
                <c:pt idx="0">
                  <c:v>R11</c:v>
                </c:pt>
                <c:pt idx="1">
                  <c:v>R12</c:v>
                </c:pt>
                <c:pt idx="2">
                  <c:v>R13</c:v>
                </c:pt>
                <c:pt idx="3">
                  <c:v>R22</c:v>
                </c:pt>
                <c:pt idx="4">
                  <c:v>R23</c:v>
                </c:pt>
                <c:pt idx="5">
                  <c:v>R24</c:v>
                </c:pt>
              </c:strCache>
            </c:strRef>
          </c:cat>
          <c:val>
            <c:numRef>
              <c:f>DETALHAMENTO!$S$72:$S$77</c:f>
              <c:numCache>
                <c:formatCode>General</c:formatCode>
                <c:ptCount val="6"/>
                <c:pt idx="0">
                  <c:v>4157179.6500000004</c:v>
                </c:pt>
                <c:pt idx="1">
                  <c:v>9892927.004999999</c:v>
                </c:pt>
                <c:pt idx="2">
                  <c:v>16489090.886000006</c:v>
                </c:pt>
                <c:pt idx="3">
                  <c:v>39969135.950000003</c:v>
                </c:pt>
                <c:pt idx="4">
                  <c:v>0</c:v>
                </c:pt>
                <c:pt idx="5">
                  <c:v>15211656.09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D-467E-ABFA-3D669207B4E1}"/>
            </c:ext>
          </c:extLst>
        </c:ser>
        <c:ser>
          <c:idx val="1"/>
          <c:order val="1"/>
          <c:tx>
            <c:strRef>
              <c:f>DETALHAMENTO!$T$71</c:f>
              <c:strCache>
                <c:ptCount val="1"/>
                <c:pt idx="0">
                  <c:v>Total Medido</c:v>
                </c:pt>
              </c:strCache>
            </c:strRef>
          </c:tx>
          <c:invertIfNegative val="0"/>
          <c:cat>
            <c:strRef>
              <c:f>DETALHAMENTO!$R$72:$R$77</c:f>
              <c:strCache>
                <c:ptCount val="6"/>
                <c:pt idx="0">
                  <c:v>R11</c:v>
                </c:pt>
                <c:pt idx="1">
                  <c:v>R12</c:v>
                </c:pt>
                <c:pt idx="2">
                  <c:v>R13</c:v>
                </c:pt>
                <c:pt idx="3">
                  <c:v>R22</c:v>
                </c:pt>
                <c:pt idx="4">
                  <c:v>R23</c:v>
                </c:pt>
                <c:pt idx="5">
                  <c:v>R24</c:v>
                </c:pt>
              </c:strCache>
            </c:strRef>
          </c:cat>
          <c:val>
            <c:numRef>
              <c:f>DETALHAMENTO!$T$72:$T$77</c:f>
              <c:numCache>
                <c:formatCode>General</c:formatCode>
                <c:ptCount val="6"/>
                <c:pt idx="0">
                  <c:v>2632614.4180000001</c:v>
                </c:pt>
                <c:pt idx="1">
                  <c:v>8793229.5600000005</c:v>
                </c:pt>
                <c:pt idx="2">
                  <c:v>13456411.499999994</c:v>
                </c:pt>
                <c:pt idx="3">
                  <c:v>17891793.329999998</c:v>
                </c:pt>
                <c:pt idx="4">
                  <c:v>0</c:v>
                </c:pt>
                <c:pt idx="5">
                  <c:v>12628849.740000002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3D-467E-ABFA-3D669207B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4"/>
        <c:axId val="806045407"/>
        <c:axId val="509474447"/>
      </c:barChart>
      <c:catAx>
        <c:axId val="80604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rgbClr val="40404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pt-BR"/>
          </a:p>
        </c:txPr>
        <c:crossAx val="509474447"/>
        <c:crosses val="autoZero"/>
        <c:auto val="1"/>
        <c:lblAlgn val="ctr"/>
        <c:lblOffset val="100"/>
        <c:noMultiLvlLbl val="0"/>
      </c:catAx>
      <c:valAx>
        <c:axId val="509474447"/>
        <c:scaling>
          <c:orientation val="minMax"/>
        </c:scaling>
        <c:delete val="0"/>
        <c:axPos val="l"/>
        <c:majorGridlines/>
        <c:numFmt formatCode="&quot;R$ &quot;#,##0.0,,&quot; M&quot;" sourceLinked="0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rgbClr val="595959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pt-BR"/>
          </a:p>
        </c:txPr>
        <c:crossAx val="806045407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t"/>
      <c:overlay val="0"/>
      <c:txPr>
        <a:bodyPr/>
        <a:lstStyle/>
        <a:p>
          <a:pPr>
            <a:defRPr sz="1500">
              <a:solidFill>
                <a:srgbClr val="40404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1270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en-US" sz="2500" b="1" i="0" u="none" strike="noStrike" kern="1200" baseline="0">
                <a:solidFill>
                  <a:srgbClr val="1F4E79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r>
              <a:rPr lang="en-US" sz="2500" b="1" i="0" u="none" strike="noStrike" kern="1200" baseline="0">
                <a:solidFill>
                  <a:srgbClr val="1F4E79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EVOLUÇÃO MENSAL</a:t>
            </a:r>
          </a:p>
          <a:p>
            <a:pPr algn="ctr" rtl="0">
              <a:defRPr lang="en-US" sz="2500" b="1" i="0" u="none" strike="noStrike" kern="1200" baseline="0">
                <a:solidFill>
                  <a:srgbClr val="1F4E79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r>
              <a:rPr lang="en-US" sz="2500" b="1" i="0" u="none" strike="noStrike" kern="1200" baseline="0">
                <a:solidFill>
                  <a:srgbClr val="1F4E79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MEDIDO NO MÊS x ACUMULADO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DETALHAMENTO!$S$80</c:f>
              <c:strCache>
                <c:ptCount val="1"/>
                <c:pt idx="0">
                  <c:v>Medido no mês</c:v>
                </c:pt>
              </c:strCache>
            </c:strRef>
          </c:tx>
          <c:invertIfNegative val="0"/>
          <c:cat>
            <c:strRef>
              <c:f>DETALHAMENTO!$R$81:$R$92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DETALHAMENTO!$S$81:$S$92</c:f>
              <c:numCache>
                <c:formatCode>General</c:formatCode>
                <c:ptCount val="12"/>
                <c:pt idx="0">
                  <c:v>392381.67</c:v>
                </c:pt>
                <c:pt idx="1">
                  <c:v>1299128.3</c:v>
                </c:pt>
                <c:pt idx="2">
                  <c:v>178577.47</c:v>
                </c:pt>
                <c:pt idx="3">
                  <c:v>1343283.74</c:v>
                </c:pt>
                <c:pt idx="4">
                  <c:v>1563240.02</c:v>
                </c:pt>
                <c:pt idx="5">
                  <c:v>1283773.48</c:v>
                </c:pt>
                <c:pt idx="6">
                  <c:v>2159251.0999999996</c:v>
                </c:pt>
                <c:pt idx="7">
                  <c:v>573593.78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7-4B5B-96DC-8003F5BC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805924303"/>
        <c:axId val="509449967"/>
      </c:barChart>
      <c:lineChart>
        <c:grouping val="standard"/>
        <c:varyColors val="0"/>
        <c:ser>
          <c:idx val="1"/>
          <c:order val="1"/>
          <c:tx>
            <c:strRef>
              <c:f>DETALHAMENTO!$T$80</c:f>
              <c:strCache>
                <c:ptCount val="1"/>
                <c:pt idx="0">
                  <c:v>Acumulado</c:v>
                </c:pt>
              </c:strCache>
            </c:strRef>
          </c:tx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cat>
            <c:strRef>
              <c:f>DETALHAMENTO!$R$81:$R$92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DETALHAMENTO!$T$81:$T$92</c:f>
              <c:numCache>
                <c:formatCode>General</c:formatCode>
                <c:ptCount val="12"/>
                <c:pt idx="0">
                  <c:v>392381.67</c:v>
                </c:pt>
                <c:pt idx="1">
                  <c:v>1691509.97</c:v>
                </c:pt>
                <c:pt idx="2">
                  <c:v>1870087.44</c:v>
                </c:pt>
                <c:pt idx="3">
                  <c:v>3213371.1799999997</c:v>
                </c:pt>
                <c:pt idx="4">
                  <c:v>4776611.1999999993</c:v>
                </c:pt>
                <c:pt idx="5">
                  <c:v>6060384.6799999997</c:v>
                </c:pt>
                <c:pt idx="6">
                  <c:v>8219635.7799999993</c:v>
                </c:pt>
                <c:pt idx="7">
                  <c:v>8793229.5599999987</c:v>
                </c:pt>
                <c:pt idx="8">
                  <c:v>8793229.5599999987</c:v>
                </c:pt>
                <c:pt idx="9">
                  <c:v>8793229.5599999987</c:v>
                </c:pt>
                <c:pt idx="10">
                  <c:v>8793229.5599999987</c:v>
                </c:pt>
                <c:pt idx="11">
                  <c:v>8793229.5599999987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D7-4B5B-96DC-8003F5BC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006895"/>
        <c:axId val="509438927"/>
      </c:lineChart>
      <c:catAx>
        <c:axId val="80592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rgbClr val="40404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pt-BR"/>
          </a:p>
        </c:txPr>
        <c:crossAx val="509449967"/>
        <c:crosses val="autoZero"/>
        <c:auto val="1"/>
        <c:lblAlgn val="ctr"/>
        <c:lblOffset val="100"/>
        <c:noMultiLvlLbl val="0"/>
      </c:catAx>
      <c:valAx>
        <c:axId val="509449967"/>
        <c:scaling>
          <c:orientation val="minMax"/>
        </c:scaling>
        <c:delete val="0"/>
        <c:axPos val="l"/>
        <c:majorGridlines/>
        <c:numFmt formatCode="&quot;R$ &quot;#,##0.0,,&quot; M&quot;" sourceLinked="0"/>
        <c:majorTickMark val="none"/>
        <c:minorTickMark val="none"/>
        <c:tickLblPos val="nextTo"/>
        <c:txPr>
          <a:bodyPr/>
          <a:lstStyle/>
          <a:p>
            <a:pPr>
              <a:defRPr sz="1200">
                <a:solidFill>
                  <a:srgbClr val="595959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pt-BR"/>
          </a:p>
        </c:txPr>
        <c:crossAx val="805924303"/>
        <c:crosses val="autoZero"/>
        <c:crossBetween val="between"/>
      </c:valAx>
      <c:valAx>
        <c:axId val="509438927"/>
        <c:scaling>
          <c:orientation val="minMax"/>
        </c:scaling>
        <c:delete val="0"/>
        <c:axPos val="r"/>
        <c:numFmt formatCode="&quot;R$ &quot;#,##0.0,,&quot; M&quot;" sourceLinked="0"/>
        <c:majorTickMark val="out"/>
        <c:minorTickMark val="none"/>
        <c:tickLblPos val="nextTo"/>
        <c:txPr>
          <a:bodyPr/>
          <a:lstStyle/>
          <a:p>
            <a:pPr>
              <a:defRPr sz="1200">
                <a:solidFill>
                  <a:srgbClr val="595959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pt-BR"/>
          </a:p>
        </c:txPr>
        <c:crossAx val="806006895"/>
        <c:crosses val="max"/>
        <c:crossBetween val="between"/>
      </c:valAx>
      <c:catAx>
        <c:axId val="806006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9438927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</a:schemeClr>
        </a:solidFill>
      </c:spPr>
    </c:plotArea>
    <c:legend>
      <c:legendPos val="t"/>
      <c:overlay val="0"/>
      <c:txPr>
        <a:bodyPr/>
        <a:lstStyle/>
        <a:p>
          <a:pPr>
            <a:defRPr sz="1500">
              <a:solidFill>
                <a:srgbClr val="40404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en-US" sz="2500" b="1" i="0" u="none" strike="noStrike" kern="1200" baseline="0">
                <a:solidFill>
                  <a:srgbClr val="1F4E79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r>
              <a:rPr lang="en-US" sz="2500" b="1" i="0" u="none" strike="noStrike" kern="1200" baseline="0">
                <a:solidFill>
                  <a:srgbClr val="1F4E79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DISTRIBUIÇÃO DAS OSPs POR REGIÃO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680562344192404E-2"/>
          <c:y val="0.14975367943269391"/>
          <c:w val="0.49761979453117838"/>
          <c:h val="0.8367496345681138"/>
        </c:manualLayout>
      </c:layout>
      <c:doughnutChart>
        <c:varyColors val="1"/>
        <c:ser>
          <c:idx val="0"/>
          <c:order val="0"/>
          <c:tx>
            <c:strRef>
              <c:f>DETALHAMENTO!$W$71</c:f>
              <c:strCache>
                <c:ptCount val="1"/>
                <c:pt idx="0">
                  <c:v>N° OSPs</c:v>
                </c:pt>
              </c:strCache>
            </c:strRef>
          </c:tx>
          <c:dPt>
            <c:idx val="0"/>
            <c:bubble3D val="0"/>
            <c:spPr>
              <a:solidFill>
                <a:srgbClr val="1F4E79"/>
              </a:solidFill>
            </c:spPr>
            <c:extLst>
              <c:ext xmlns:c16="http://schemas.microsoft.com/office/drawing/2014/chart" uri="{C3380CC4-5D6E-409C-BE32-E72D297353CC}">
                <c16:uniqueId val="{00000001-1E65-48D1-BB09-F2296EF2C38A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</c:spPr>
            <c:extLst>
              <c:ext xmlns:c16="http://schemas.microsoft.com/office/drawing/2014/chart" uri="{C3380CC4-5D6E-409C-BE32-E72D297353CC}">
                <c16:uniqueId val="{00000002-1E65-48D1-BB09-F2296EF2C38A}"/>
              </c:ext>
            </c:extLst>
          </c:dPt>
          <c:dPt>
            <c:idx val="2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3-1E65-48D1-BB09-F2296EF2C38A}"/>
              </c:ext>
            </c:extLst>
          </c:dPt>
          <c:dPt>
            <c:idx val="3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4-1E65-48D1-BB09-F2296EF2C38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5-1E65-48D1-BB09-F2296EF2C38A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6-1E65-48D1-BB09-F2296EF2C3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lIns="38100" tIns="19050" rIns="38100" bIns="19050">
                <a:spAutoFit/>
              </a:bodyPr>
              <a:lstStyle/>
              <a:p>
                <a:pPr>
                  <a:defRPr sz="1200" b="1">
                    <a:solidFill>
                      <a:srgbClr val="FFFFFF"/>
                    </a:solidFill>
                    <a:latin typeface="Times New Roman" panose="02020603050405020304" pitchFamily="18" charset="0"/>
                    <a:ea typeface="Calibri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DETALHAMENTO!$V$72:$V$77</c:f>
              <c:strCache>
                <c:ptCount val="6"/>
                <c:pt idx="0">
                  <c:v>R11</c:v>
                </c:pt>
                <c:pt idx="1">
                  <c:v>R12</c:v>
                </c:pt>
                <c:pt idx="2">
                  <c:v>R13</c:v>
                </c:pt>
                <c:pt idx="3">
                  <c:v>R22</c:v>
                </c:pt>
                <c:pt idx="4">
                  <c:v>R23</c:v>
                </c:pt>
                <c:pt idx="5">
                  <c:v>R24</c:v>
                </c:pt>
              </c:strCache>
            </c:strRef>
          </c:cat>
          <c:val>
            <c:numRef>
              <c:f>DETALHAMENTO!$W$72:$W$77</c:f>
              <c:numCache>
                <c:formatCode>General</c:formatCode>
                <c:ptCount val="6"/>
                <c:pt idx="0">
                  <c:v>39</c:v>
                </c:pt>
                <c:pt idx="1">
                  <c:v>53</c:v>
                </c:pt>
                <c:pt idx="2">
                  <c:v>92</c:v>
                </c:pt>
                <c:pt idx="3">
                  <c:v>7</c:v>
                </c:pt>
                <c:pt idx="4">
                  <c:v>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5-48D1-BB09-F2296EF2C38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5972164555650048"/>
          <c:y val="0.30492781173331895"/>
          <c:w val="0.34188682455879998"/>
          <c:h val="0.51863475872891329"/>
        </c:manualLayout>
      </c:layout>
      <c:overlay val="0"/>
      <c:spPr>
        <a:solidFill>
          <a:srgbClr val="000000">
            <a:alpha val="0"/>
          </a:srgbClr>
        </a:solidFill>
      </c:spPr>
      <c:txPr>
        <a:bodyPr/>
        <a:lstStyle/>
        <a:p>
          <a:pPr>
            <a:defRPr sz="1500" b="0">
              <a:solidFill>
                <a:srgbClr val="40404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0" b="1">
                <a:solidFill>
                  <a:srgbClr val="1F4E79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r>
              <a:rPr lang="en-US" sz="2500">
                <a:latin typeface="Times New Roman" panose="02020603050405020304" pitchFamily="18" charset="0"/>
                <a:cs typeface="Times New Roman" panose="02020603050405020304" pitchFamily="18" charset="0"/>
              </a:rPr>
              <a:t>DISTRIBUIÇÃO DAS OSPs POR SITUAÇÃO</a:t>
            </a:r>
          </a:p>
        </c:rich>
      </c:tx>
      <c:layout>
        <c:manualLayout>
          <c:xMode val="edge"/>
          <c:yMode val="edge"/>
          <c:x val="0.10348889148175011"/>
          <c:y val="3.63482286087830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258725855704645E-2"/>
          <c:y val="0.17888041511515226"/>
          <c:w val="0.42997067785438464"/>
          <c:h val="0.7733744426600524"/>
        </c:manualLayout>
      </c:layout>
      <c:doughnutChart>
        <c:varyColors val="1"/>
        <c:ser>
          <c:idx val="0"/>
          <c:order val="0"/>
          <c:tx>
            <c:strRef>
              <c:f>DETALHAMENTO!$D$40</c:f>
              <c:strCache>
                <c:ptCount val="1"/>
                <c:pt idx="0">
                  <c:v>N° OSPs</c:v>
                </c:pt>
              </c:strCache>
            </c:strRef>
          </c:tx>
          <c:dPt>
            <c:idx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1-729D-4DBA-AC05-FD46E57E0B3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729D-4DBA-AC05-FD46E57E0B3A}"/>
              </c:ext>
            </c:extLst>
          </c:dPt>
          <c:dPt>
            <c:idx val="2"/>
            <c:bubble3D val="0"/>
            <c:spPr>
              <a:solidFill>
                <a:srgbClr val="2E9B57"/>
              </a:solidFill>
            </c:spPr>
            <c:extLst>
              <c:ext xmlns:c16="http://schemas.microsoft.com/office/drawing/2014/chart" uri="{C3380CC4-5D6E-409C-BE32-E72D297353CC}">
                <c16:uniqueId val="{00000005-729D-4DBA-AC05-FD46E57E0B3A}"/>
              </c:ext>
            </c:extLst>
          </c:dPt>
          <c:dPt>
            <c:idx val="3"/>
            <c:bubble3D val="0"/>
            <c:spPr>
              <a:solidFill>
                <a:srgbClr val="7F7F7F"/>
              </a:solidFill>
            </c:spPr>
            <c:extLst>
              <c:ext xmlns:c16="http://schemas.microsoft.com/office/drawing/2014/chart" uri="{C3380CC4-5D6E-409C-BE32-E72D297353CC}">
                <c16:uniqueId val="{00000007-729D-4DBA-AC05-FD46E57E0B3A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729D-4DBA-AC05-FD46E57E0B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lIns="38100" tIns="19050" rIns="38100" bIns="19050">
                <a:spAutoFit/>
              </a:bodyPr>
              <a:lstStyle/>
              <a:p>
                <a:pPr>
                  <a:defRPr sz="1200" b="1">
                    <a:solidFill>
                      <a:srgbClr val="FFFFFF"/>
                    </a:solidFill>
                    <a:latin typeface="Times New Roman" panose="02020603050405020304" pitchFamily="18" charset="0"/>
                    <a:ea typeface="Calibri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DETALHAMENTO!$C$41:$C$45</c:f>
              <c:strCache>
                <c:ptCount val="5"/>
                <c:pt idx="0">
                  <c:v>Em elaboração</c:v>
                </c:pt>
                <c:pt idx="1">
                  <c:v>Em andamento</c:v>
                </c:pt>
                <c:pt idx="2">
                  <c:v>Concluída</c:v>
                </c:pt>
                <c:pt idx="3">
                  <c:v>Justificada</c:v>
                </c:pt>
                <c:pt idx="4">
                  <c:v>Cancelada</c:v>
                </c:pt>
              </c:strCache>
            </c:strRef>
          </c:cat>
          <c:val>
            <c:numRef>
              <c:f>DETALHAMENTO!$D$41:$D$45</c:f>
              <c:numCache>
                <c:formatCode>#,##0;\(#,##0\);"-"</c:formatCode>
                <c:ptCount val="5"/>
                <c:pt idx="0">
                  <c:v>7</c:v>
                </c:pt>
                <c:pt idx="1">
                  <c:v>1</c:v>
                </c:pt>
                <c:pt idx="2">
                  <c:v>44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9D-4DBA-AC05-FD46E57E0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layout>
        <c:manualLayout>
          <c:xMode val="edge"/>
          <c:yMode val="edge"/>
          <c:x val="0.55802296764113302"/>
          <c:y val="0.24615794243426364"/>
          <c:w val="0.38108031248267188"/>
          <c:h val="0.64431947802772538"/>
        </c:manualLayout>
      </c:layout>
      <c:overlay val="0"/>
      <c:txPr>
        <a:bodyPr/>
        <a:lstStyle/>
        <a:p>
          <a:pPr>
            <a:defRPr sz="1500" b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>
      <a:solidFill>
        <a:srgbClr val="D9D9D9"/>
      </a:solidFill>
      <a:prstDash val="solid"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57152</xdr:colOff>
      <xdr:row>1</xdr:row>
      <xdr:rowOff>73243</xdr:rowOff>
    </xdr:from>
    <xdr:to>
      <xdr:col>2</xdr:col>
      <xdr:colOff>1430655</xdr:colOff>
      <xdr:row>1</xdr:row>
      <xdr:rowOff>1524186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4756C44E-13A6-40F3-9E9F-FBE143AEC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2" y="292318"/>
          <a:ext cx="1969768" cy="1450943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twoCellAnchor>
  <xdr:twoCellAnchor editAs="oneCell">
    <xdr:from>
      <xdr:col>1</xdr:col>
      <xdr:colOff>262178</xdr:colOff>
      <xdr:row>10</xdr:row>
      <xdr:rowOff>220981</xdr:rowOff>
    </xdr:from>
    <xdr:to>
      <xdr:col>2</xdr:col>
      <xdr:colOff>1923565</xdr:colOff>
      <xdr:row>23</xdr:row>
      <xdr:rowOff>171451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F23D677-68B0-6B1E-615D-2FD016800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447" b="96154" l="5808" r="89837">
                      <a14:foregroundMark x1="64610" y1="93870" x2="64610" y2="93870"/>
                      <a14:foregroundMark x1="61343" y1="94111" x2="61343" y2="94111"/>
                      <a14:foregroundMark x1="56806" y1="96154" x2="56806" y2="96154"/>
                      <a14:foregroundMark x1="7078" y1="82572" x2="7078" y2="82572"/>
                      <a14:foregroundMark x1="6534" y1="87019" x2="6534" y2="87019"/>
                      <a14:foregroundMark x1="5808" y1="73678" x2="5808" y2="73678"/>
                      <a14:foregroundMark x1="25045" y1="60216" x2="25045" y2="60216"/>
                      <a14:foregroundMark x1="13067" y1="58053" x2="13067" y2="58053"/>
                      <a14:foregroundMark x1="11978" y1="58774" x2="11978" y2="58774"/>
                      <a14:foregroundMark x1="11797" y1="60216" x2="11797" y2="60216"/>
                      <a14:foregroundMark x1="11071" y1="61779" x2="11071" y2="61779"/>
                      <a14:foregroundMark x1="9982" y1="63101" x2="9982" y2="63101"/>
                      <a14:foregroundMark x1="9256" y1="64183" x2="9256" y2="64183"/>
                      <a14:foregroundMark x1="75136" y1="71755" x2="75136" y2="71755"/>
                      <a14:foregroundMark x1="76044" y1="70673" x2="76044" y2="70673"/>
                      <a14:foregroundMark x1="77495" y1="69471" x2="77495" y2="69471"/>
                      <a14:foregroundMark x1="79310" y1="68149" x2="79310" y2="68149"/>
                      <a14:foregroundMark x1="80036" y1="67308" x2="80036" y2="67308"/>
                      <a14:foregroundMark x1="81125" y1="65986" x2="81125" y2="65986"/>
                      <a14:foregroundMark x1="81488" y1="64904" x2="81488" y2="64904"/>
                      <a14:foregroundMark x1="83848" y1="64423" x2="83848" y2="64423"/>
                      <a14:foregroundMark x1="86025" y1="63341" x2="86025" y2="63341"/>
                      <a14:foregroundMark x1="87296" y1="62500" x2="87296" y2="62500"/>
                      <a14:foregroundMark x1="88748" y1="60817" x2="88748" y2="60817"/>
                      <a14:foregroundMark x1="86388" y1="60577" x2="86388" y2="60577"/>
                      <a14:foregroundMark x1="85844" y1="61659" x2="85844" y2="61659"/>
                      <a14:foregroundMark x1="83666" y1="59856" x2="83666" y2="59856"/>
                      <a14:foregroundMark x1="84211" y1="61058" x2="84211" y2="61058"/>
                      <a14:foregroundMark x1="80399" y1="59856" x2="80399" y2="59856"/>
                      <a14:foregroundMark x1="66788" y1="35577" x2="66788" y2="35577"/>
                      <a14:foregroundMark x1="71869" y1="34976" x2="71869" y2="34976"/>
                      <a14:foregroundMark x1="73866" y1="34856" x2="73866" y2="34856"/>
                      <a14:foregroundMark x1="74047" y1="34495" x2="74047" y2="34495"/>
                      <a14:foregroundMark x1="75681" y1="35577" x2="75681" y2="35577"/>
                      <a14:foregroundMark x1="76225" y1="36418" x2="76225" y2="36418"/>
                      <a14:foregroundMark x1="76044" y1="37740" x2="76044" y2="37740"/>
                      <a14:foregroundMark x1="75681" y1="38822" x2="75681" y2="38822"/>
                      <a14:foregroundMark x1="73140" y1="39303" x2="73140" y2="39303"/>
                      <a14:foregroundMark x1="71325" y1="39784" x2="71325" y2="39784"/>
                      <a14:foregroundMark x1="42468" y1="37260" x2="55354" y2="52404"/>
                      <a14:foregroundMark x1="55354" y1="52404" x2="55172" y2="60817"/>
                      <a14:foregroundMark x1="55172" y1="60817" x2="42468" y2="43750"/>
                      <a14:foregroundMark x1="42468" y1="43750" x2="42287" y2="38822"/>
                      <a14:foregroundMark x1="58984" y1="67428" x2="44283" y2="63702"/>
                      <a14:foregroundMark x1="44283" y1="63702" x2="32668" y2="55048"/>
                      <a14:foregroundMark x1="32668" y1="55048" x2="36116" y2="42188"/>
                      <a14:foregroundMark x1="36116" y1="42188" x2="42468" y2="34255"/>
                      <a14:foregroundMark x1="42468" y1="34255" x2="54265" y2="37740"/>
                      <a14:foregroundMark x1="54265" y1="37740" x2="62069" y2="64543"/>
                      <a14:foregroundMark x1="62069" y1="64543" x2="57895" y2="67668"/>
                      <a14:foregroundMark x1="65880" y1="74399" x2="38838" y2="70192"/>
                      <a14:foregroundMark x1="38838" y1="70192" x2="29946" y2="65385"/>
                      <a14:foregroundMark x1="29946" y1="65385" x2="28131" y2="56010"/>
                      <a14:foregroundMark x1="28131" y1="56010" x2="38113" y2="48918"/>
                      <a14:foregroundMark x1="38113" y1="48918" x2="66062" y2="60096"/>
                      <a14:foregroundMark x1="66062" y1="60096" x2="71688" y2="70192"/>
                      <a14:foregroundMark x1="71688" y1="70192" x2="64973" y2="75000"/>
                      <a14:foregroundMark x1="44283" y1="38341" x2="37387" y2="30048"/>
                      <a14:foregroundMark x1="37387" y1="30048" x2="50454" y2="14423"/>
                      <a14:foregroundMark x1="50454" y1="14423" x2="52450" y2="25601"/>
                      <a14:foregroundMark x1="52450" y1="25601" x2="64973" y2="43269"/>
                      <a14:foregroundMark x1="64973" y1="43269" x2="63702" y2="51202"/>
                      <a14:foregroundMark x1="63702" y1="51202" x2="51543" y2="52163"/>
                      <a14:foregroundMark x1="13249" y1="57933" x2="13249" y2="57933"/>
                      <a14:foregroundMark x1="13067" y1="58173" x2="13067" y2="58173"/>
                      <a14:foregroundMark x1="14156" y1="56130" x2="14156" y2="56130"/>
                      <a14:foregroundMark x1="15064" y1="54688" x2="15064" y2="54688"/>
                      <a14:foregroundMark x1="15971" y1="53486" x2="15971" y2="53486"/>
                      <a14:foregroundMark x1="16334" y1="52284" x2="16334" y2="52284"/>
                      <a14:foregroundMark x1="16878" y1="50841" x2="16878" y2="50841"/>
                      <a14:foregroundMark x1="18149" y1="49639" x2="18149" y2="49639"/>
                      <a14:foregroundMark x1="19601" y1="48317" x2="19601" y2="48317"/>
                      <a14:foregroundMark x1="20508" y1="47236" x2="20508" y2="47236"/>
                      <a14:foregroundMark x1="27949" y1="41707" x2="27949" y2="41707"/>
                      <a14:foregroundMark x1="26679" y1="42909" x2="26679" y2="42909"/>
                      <a14:foregroundMark x1="25227" y1="44231" x2="25227" y2="44231"/>
                      <a14:foregroundMark x1="23593" y1="45072" x2="23593" y2="45072"/>
                      <a14:foregroundMark x1="21960" y1="46034" x2="21960" y2="46034"/>
                      <a14:foregroundMark x1="73866" y1="54928" x2="73866" y2="54928"/>
                      <a14:foregroundMark x1="74410" y1="53365" x2="74410" y2="53365"/>
                      <a14:foregroundMark x1="74955" y1="52404" x2="74955" y2="52404"/>
                      <a14:foregroundMark x1="73321" y1="51442" x2="73321" y2="51442"/>
                      <a14:foregroundMark x1="71869" y1="51322" x2="71869" y2="51322"/>
                      <a14:foregroundMark x1="70417" y1="49159" x2="70417" y2="49159"/>
                      <a14:foregroundMark x1="69328" y1="48438" x2="69328" y2="48438"/>
                      <a14:foregroundMark x1="68784" y1="47356" x2="68784" y2="47356"/>
                      <a14:foregroundMark x1="68421" y1="45553" x2="68421" y2="45553"/>
                      <a14:foregroundMark x1="69328" y1="44471" x2="69328" y2="44471"/>
                      <a14:foregroundMark x1="69328" y1="43149" x2="69328" y2="43149"/>
                      <a14:foregroundMark x1="70599" y1="40865" x2="70599" y2="40865"/>
                      <a14:foregroundMark x1="88748" y1="60216" x2="88748" y2="60216"/>
                      <a14:foregroundMark x1="88566" y1="61298" x2="88566" y2="61298"/>
                      <a14:foregroundMark x1="81670" y1="60216" x2="81670" y2="60216"/>
                      <a14:foregroundMark x1="74773" y1="55529" x2="74773" y2="55529"/>
                      <a14:foregroundMark x1="76225" y1="56611" x2="76225" y2="56611"/>
                      <a14:foregroundMark x1="76588" y1="58173" x2="76588" y2="58173"/>
                      <a14:foregroundMark x1="74955" y1="60457" x2="74955" y2="60457"/>
                      <a14:foregroundMark x1="77677" y1="59135" x2="77677" y2="59135"/>
                      <a14:foregroundMark x1="25771" y1="62740" x2="25771" y2="62740"/>
                      <a14:foregroundMark x1="16878" y1="50962" x2="16878" y2="50962"/>
                      <a14:foregroundMark x1="11434" y1="60697" x2="11434" y2="60697"/>
                      <a14:foregroundMark x1="41924" y1="18029" x2="41924" y2="18029"/>
                      <a14:foregroundMark x1="40472" y1="18990" x2="40472" y2="18990"/>
                      <a14:foregroundMark x1="42105" y1="18149" x2="42105" y2="18149"/>
                      <a14:foregroundMark x1="44102" y1="15505" x2="44102" y2="15505"/>
                      <a14:foregroundMark x1="45735" y1="15024" x2="45735" y2="15024"/>
                      <a14:foregroundMark x1="30127" y1="39663" x2="30127" y2="39663"/>
                      <a14:foregroundMark x1="28675" y1="40385" x2="28675" y2="40385"/>
                      <a14:foregroundMark x1="60617" y1="15024" x2="60617" y2="15024"/>
                      <a14:foregroundMark x1="59347" y1="10577" x2="59347" y2="10577"/>
                      <a14:foregroundMark x1="52813" y1="5649" x2="52813" y2="5649"/>
                      <a14:foregroundMark x1="50635" y1="5288" x2="50635" y2="5288"/>
                      <a14:foregroundMark x1="48457" y1="5649" x2="48457" y2="5649"/>
                      <a14:foregroundMark x1="47005" y1="5409" x2="47005" y2="5409"/>
                      <a14:foregroundMark x1="46461" y1="5168" x2="46461" y2="5168"/>
                      <a14:foregroundMark x1="44828" y1="4447" x2="44828" y2="4447"/>
                      <a14:foregroundMark x1="42468" y1="4688" x2="42468" y2="4688"/>
                      <a14:foregroundMark x1="41198" y1="6010" x2="41198" y2="6010"/>
                      <a14:foregroundMark x1="39564" y1="6370" x2="39564" y2="6611"/>
                      <a14:foregroundMark x1="42105" y1="7452" x2="42105" y2="7452"/>
                      <a14:foregroundMark x1="44646" y1="6971" x2="44646" y2="6971"/>
                      <a14:foregroundMark x1="45554" y1="7813" x2="45554" y2="7813"/>
                      <a14:foregroundMark x1="47731" y1="8774" x2="47731" y2="8774"/>
                      <a14:foregroundMark x1="48457" y1="9976" x2="48457" y2="9976"/>
                      <a14:foregroundMark x1="46642" y1="10577" x2="46642" y2="10577"/>
                      <a14:foregroundMark x1="49183" y1="9736" x2="49183" y2="9736"/>
                      <a14:foregroundMark x1="46461" y1="11418" x2="46461" y2="11418"/>
                      <a14:foregroundMark x1="47187" y1="12981" x2="47187" y2="12981"/>
                      <a14:foregroundMark x1="46098" y1="13942" x2="46098" y2="13942"/>
                      <a14:foregroundMark x1="60617" y1="13582" x2="60617" y2="13582"/>
                      <a14:foregroundMark x1="60617" y1="12260" x2="60617" y2="12260"/>
                      <a14:foregroundMark x1="59528" y1="9255" x2="59528" y2="9255"/>
                      <a14:foregroundMark x1="60254" y1="11659" x2="60254" y2="11659"/>
                      <a14:foregroundMark x1="58258" y1="7813" x2="58258" y2="7813"/>
                      <a14:foregroundMark x1="55717" y1="7091" x2="55717" y2="7091"/>
                      <a14:foregroundMark x1="54628" y1="6971" x2="54628" y2="6971"/>
                      <a14:foregroundMark x1="56624" y1="7692" x2="56624" y2="7692"/>
                      <a14:foregroundMark x1="59710" y1="8894" x2="59710" y2="8894"/>
                      <a14:foregroundMark x1="59710" y1="8654" x2="59710" y2="8654"/>
                      <a14:foregroundMark x1="61343" y1="16346" x2="61343" y2="16346"/>
                      <a14:foregroundMark x1="44646" y1="70313" x2="24138" y2="63101"/>
                      <a14:foregroundMark x1="24138" y1="63101" x2="25590" y2="53606"/>
                      <a14:foregroundMark x1="25590" y1="53606" x2="30490" y2="50000"/>
                      <a14:foregroundMark x1="17967" y1="70793" x2="26679" y2="48197"/>
                      <a14:foregroundMark x1="26679" y1="48197" x2="37205" y2="39543"/>
                      <a14:foregroundMark x1="37205" y1="39543" x2="37387" y2="38582"/>
                      <a14:foregroundMark x1="38838" y1="73798" x2="19782" y2="62861"/>
                      <a14:foregroundMark x1="19782" y1="62861" x2="39564" y2="67548"/>
                      <a14:foregroundMark x1="39564" y1="67548" x2="33031" y2="74519"/>
                      <a14:foregroundMark x1="33031" y1="74519" x2="33031" y2="74519"/>
                      <a14:foregroundMark x1="71143" y1="73798" x2="71143" y2="60817"/>
                      <a14:foregroundMark x1="71143" y1="60817" x2="57895" y2="48678"/>
                      <a14:foregroundMark x1="61162" y1="47115" x2="71688" y2="55889"/>
                      <a14:foregroundMark x1="71688" y1="55889" x2="76951" y2="65865"/>
                      <a14:foregroundMark x1="76951" y1="65865" x2="70599" y2="72716"/>
                      <a14:foregroundMark x1="63702" y1="50240" x2="66606" y2="41106"/>
                      <a14:foregroundMark x1="66606" y1="41106" x2="60254" y2="33774"/>
                      <a14:foregroundMark x1="60617" y1="40264" x2="71325" y2="36899"/>
                      <a14:foregroundMark x1="71325" y1="36899" x2="71325" y2="36899"/>
                      <a14:foregroundMark x1="44283" y1="42909" x2="36842" y2="33774"/>
                      <a14:foregroundMark x1="36842" y1="33774" x2="36479" y2="26082"/>
                      <a14:foregroundMark x1="36479" y1="26082" x2="37205" y2="25000"/>
                      <a14:foregroundMark x1="31760" y1="66226" x2="21234" y2="56731"/>
                      <a14:foregroundMark x1="21234" y1="56731" x2="21416" y2="51563"/>
                      <a14:foregroundMark x1="22505" y1="65865" x2="20145" y2="57091"/>
                      <a14:foregroundMark x1="20145" y1="57091" x2="20871" y2="56731"/>
                      <a14:foregroundMark x1="25771" y1="56130" x2="13249" y2="66106"/>
                      <a14:foregroundMark x1="13249" y1="66106" x2="14156" y2="67788"/>
                      <a14:foregroundMark x1="30672" y1="38221" x2="30672" y2="38221"/>
                      <a14:foregroundMark x1="31760" y1="36779" x2="31760" y2="36779"/>
                      <a14:foregroundMark x1="31760" y1="35096" x2="31760" y2="35096"/>
                      <a14:foregroundMark x1="31760" y1="33534" x2="31760" y2="33534"/>
                      <a14:foregroundMark x1="30309" y1="32813" x2="30309" y2="32813"/>
                      <a14:foregroundMark x1="28675" y1="31611" x2="28675" y2="31611"/>
                      <a14:foregroundMark x1="29038" y1="29808" x2="29038" y2="29808"/>
                      <a14:foregroundMark x1="30127" y1="28726" x2="30127" y2="28726"/>
                      <a14:foregroundMark x1="31397" y1="27885" x2="31397" y2="27885"/>
                      <a14:foregroundMark x1="31216" y1="25962" x2="31216" y2="25962"/>
                      <a14:foregroundMark x1="30853" y1="24399" x2="30853" y2="24399"/>
                      <a14:foregroundMark x1="32123" y1="23438" x2="32123" y2="23438"/>
                      <a14:foregroundMark x1="34301" y1="22356" x2="34301" y2="22356"/>
                      <a14:foregroundMark x1="36116" y1="22115" x2="36116" y2="22115"/>
                      <a14:foregroundMark x1="38475" y1="21514" x2="38475" y2="21514"/>
                      <a14:foregroundMark x1="40290" y1="20553" x2="40290" y2="20553"/>
                      <a14:foregroundMark x1="44465" y1="16827" x2="44465" y2="16827"/>
                      <a14:foregroundMark x1="43739" y1="17668" x2="43739" y2="17668"/>
                      <a14:foregroundMark x1="60617" y1="18029" x2="60617" y2="18029"/>
                      <a14:foregroundMark x1="60799" y1="17668" x2="60799" y2="17668"/>
                      <a14:foregroundMark x1="60254" y1="19471" x2="60254" y2="19471"/>
                      <a14:foregroundMark x1="59528" y1="20553" x2="59528" y2="20553"/>
                      <a14:foregroundMark x1="58802" y1="22115" x2="58802" y2="22115"/>
                      <a14:foregroundMark x1="59347" y1="23197" x2="59347" y2="23197"/>
                      <a14:foregroundMark x1="58076" y1="24880" x2="58076" y2="24880"/>
                      <a14:foregroundMark x1="56624" y1="26202" x2="56624" y2="26202"/>
                      <a14:foregroundMark x1="59347" y1="21875" x2="59347" y2="21875"/>
                      <a14:foregroundMark x1="58984" y1="23558" x2="58984" y2="23558"/>
                      <a14:foregroundMark x1="61343" y1="31490" x2="61343" y2="31490"/>
                      <a14:foregroundMark x1="60436" y1="30529" x2="60436" y2="30529"/>
                      <a14:foregroundMark x1="58258" y1="27404" x2="58258" y2="27404"/>
                      <a14:foregroundMark x1="64065" y1="33534" x2="64065" y2="33534"/>
                      <a14:foregroundMark x1="65699" y1="35096" x2="65699" y2="35096"/>
                      <a14:foregroundMark x1="69510" y1="35216" x2="69510" y2="35216"/>
                      <a14:foregroundMark x1="68240" y1="35938" x2="68240" y2="35938"/>
                      <a14:foregroundMark x1="75681" y1="35096" x2="75681" y2="35096"/>
                      <a14:foregroundMark x1="67151" y1="46635" x2="67151" y2="46635"/>
                      <a14:foregroundMark x1="70780" y1="50240" x2="70780" y2="50240"/>
                      <a14:foregroundMark x1="48820" y1="24760" x2="54628" y2="14063"/>
                      <a14:foregroundMark x1="54628" y1="14063" x2="53358" y2="11659"/>
                      <a14:foregroundMark x1="51180" y1="25240" x2="55535" y2="1730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778" y="5547361"/>
          <a:ext cx="2276702" cy="3482340"/>
        </a:xfrm>
        <a:prstGeom prst="rect">
          <a:avLst/>
        </a:prstGeom>
        <a:ln>
          <a:noFill/>
        </a:ln>
        <a:effectLst>
          <a:glow rad="63500">
            <a:schemeClr val="accent5">
              <a:satMod val="175000"/>
              <a:alpha val="40000"/>
            </a:schemeClr>
          </a:glow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57152</xdr:colOff>
      <xdr:row>1</xdr:row>
      <xdr:rowOff>73243</xdr:rowOff>
    </xdr:from>
    <xdr:ext cx="1972218" cy="1450943"/>
    <xdr:pic>
      <xdr:nvPicPr>
        <xdr:cNvPr id="2" name="Imagem 1">
          <a:extLst>
            <a:ext uri="{FF2B5EF4-FFF2-40B4-BE49-F238E27FC236}">
              <a16:creationId xmlns:a16="http://schemas.microsoft.com/office/drawing/2014/main" id="{6E21ABBD-19D8-4C1B-85A2-9BDFB7F7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6812" y="294223"/>
          <a:ext cx="1972218" cy="1450943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oneCellAnchor>
  <xdr:twoCellAnchor>
    <xdr:from>
      <xdr:col>2</xdr:col>
      <xdr:colOff>288290</xdr:colOff>
      <xdr:row>65</xdr:row>
      <xdr:rowOff>15240</xdr:rowOff>
    </xdr:from>
    <xdr:to>
      <xdr:col>7</xdr:col>
      <xdr:colOff>529590</xdr:colOff>
      <xdr:row>88</xdr:row>
      <xdr:rowOff>30480</xdr:rowOff>
    </xdr:to>
    <xdr:graphicFrame macro="">
      <xdr:nvGraphicFramePr>
        <xdr:cNvPr id="9" name="gPrevMedRegiao">
          <a:extLst>
            <a:ext uri="{FF2B5EF4-FFF2-40B4-BE49-F238E27FC236}">
              <a16:creationId xmlns:a16="http://schemas.microsoft.com/office/drawing/2014/main" id="{2B18E6C8-6F61-8648-B7BD-59594DE14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863600</xdr:colOff>
      <xdr:row>64</xdr:row>
      <xdr:rowOff>186690</xdr:rowOff>
    </xdr:from>
    <xdr:to>
      <xdr:col>15</xdr:col>
      <xdr:colOff>1104900</xdr:colOff>
      <xdr:row>88</xdr:row>
      <xdr:rowOff>11430</xdr:rowOff>
    </xdr:to>
    <xdr:graphicFrame macro="">
      <xdr:nvGraphicFramePr>
        <xdr:cNvPr id="10" name="gEvolucaoMensal">
          <a:extLst>
            <a:ext uri="{FF2B5EF4-FFF2-40B4-BE49-F238E27FC236}">
              <a16:creationId xmlns:a16="http://schemas.microsoft.com/office/drawing/2014/main" id="{03E684C8-E6A2-AC0D-C065-922312E02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844550</xdr:colOff>
      <xdr:row>89</xdr:row>
      <xdr:rowOff>162560</xdr:rowOff>
    </xdr:from>
    <xdr:to>
      <xdr:col>15</xdr:col>
      <xdr:colOff>1085850</xdr:colOff>
      <xdr:row>112</xdr:row>
      <xdr:rowOff>177800</xdr:rowOff>
    </xdr:to>
    <xdr:graphicFrame macro="">
      <xdr:nvGraphicFramePr>
        <xdr:cNvPr id="12" name="gOSPRegiao">
          <a:extLst>
            <a:ext uri="{FF2B5EF4-FFF2-40B4-BE49-F238E27FC236}">
              <a16:creationId xmlns:a16="http://schemas.microsoft.com/office/drawing/2014/main" id="{C4B0028C-EC82-29C1-D61D-FFD858E24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269240</xdr:colOff>
      <xdr:row>89</xdr:row>
      <xdr:rowOff>105410</xdr:rowOff>
    </xdr:from>
    <xdr:to>
      <xdr:col>7</xdr:col>
      <xdr:colOff>510540</xdr:colOff>
      <xdr:row>112</xdr:row>
      <xdr:rowOff>120650</xdr:rowOff>
    </xdr:to>
    <xdr:graphicFrame macro="">
      <xdr:nvGraphicFramePr>
        <xdr:cNvPr id="13" name="gSituacao">
          <a:extLst>
            <a:ext uri="{FF2B5EF4-FFF2-40B4-BE49-F238E27FC236}">
              <a16:creationId xmlns:a16="http://schemas.microsoft.com/office/drawing/2014/main" id="{09C23C8E-DEF4-4140-84E2-44FC0D1AE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58B1F7-28E1-4666-9105-6D7761522878}" name="tbResumoR11" displayName="tbResumoR11" comment="Tabela ''Cadastro de OSPs" ref="B3:M43" totalsRowShown="0" headerRowDxfId="205" dataDxfId="203" headerRowBorderDxfId="204" tableBorderDxfId="202">
  <autoFilter ref="B3:M43" xr:uid="{8A58B1F7-28E1-4666-9105-6D7761522878}"/>
  <tableColumns count="12">
    <tableColumn id="15" xr3:uid="{2F62DC7E-7CA1-448A-A219-F65BEDE84C91}" name="ID" dataDxfId="201">
      <calculatedColumnFormula>'REGIÃO 11 - HISTÓRICO'!B4</calculatedColumnFormula>
    </tableColumn>
    <tableColumn id="16" xr3:uid="{703D7D7F-ACCE-46F2-9F4F-3F3E1E00795A}" name="REGIÃO" dataDxfId="200"/>
    <tableColumn id="17" xr3:uid="{06FF994B-EC84-456A-BF65-A7007249773A}" name="CONTRATO" dataDxfId="199">
      <calculatedColumnFormula>_xlfn.XLOOKUP(tbResumoR11[[#This Row],[REGIÃO]],tbRegioes[Código Região],tbRegioes[Contrato],"")</calculatedColumnFormula>
    </tableColumn>
    <tableColumn id="1" xr3:uid="{78D97154-107B-48A5-B654-DEE00B48C717}" name="OSP" dataDxfId="198">
      <calculatedColumnFormula>'REGIÃO 11 - HISTÓRICO'!C4</calculatedColumnFormula>
    </tableColumn>
    <tableColumn id="2" xr3:uid="{0211E96E-BE2C-4337-97D8-99F0E93B55BB}" name="DATA EMISSÃO" dataDxfId="197"/>
    <tableColumn id="9" xr3:uid="{7D5CD9CA-9F8A-4EC3-B5C1-3DEFFC3E584C}" name="CRONOGRAMA" dataDxfId="196"/>
    <tableColumn id="3" xr3:uid="{CDB990BE-79D7-4FE7-8F95-A9F84C3B07C6}" name="N° TRECHO" dataDxfId="195"/>
    <tableColumn id="4" xr3:uid="{E1CB427E-7285-46AF-9E08-8B3F803030EB}" name="TRECHO" dataDxfId="194"/>
    <tableColumn id="5" xr3:uid="{621AAEBE-42BD-4F91-A837-094BD898B96A}" name="SERVIÇO" dataDxfId="193"/>
    <tableColumn id="6" xr3:uid="{6B2C97AC-2470-4B8A-99A1-B43111A850BC}" name="VALOR PREVISTO" dataDxfId="192" dataCellStyle="Moeda">
      <calculatedColumnFormula>'REGIÃO 11 - HISTÓRICO'!E4</calculatedColumnFormula>
    </tableColumn>
    <tableColumn id="14" xr3:uid="{8823984B-9965-41B8-AC3A-A7F45683BD77}" name="SITUAÇÃO" dataDxfId="191">
      <calculatedColumnFormula>'REGIÃO 11 - HISTÓRICO'!I4</calculatedColumnFormula>
    </tableColumn>
    <tableColumn id="8" xr3:uid="{157BA7B6-B966-4F1A-A253-6D665F4ED9C1}" name="OBSERVAÇÃO" dataDxfId="19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E92983-7A5F-46DA-9F87-27603176CF66}" name="tbResumoR12" displayName="tbResumoR12" comment="Tabela ''Cadastro de OSPs" ref="B3:M57" totalsRowShown="0" headerRowDxfId="189" dataDxfId="187" headerRowBorderDxfId="188" tableBorderDxfId="186">
  <autoFilter ref="B3:M57" xr:uid="{B9E92983-7A5F-46DA-9F87-27603176CF66}"/>
  <tableColumns count="12">
    <tableColumn id="15" xr3:uid="{B469ED80-822E-41D6-B2F8-7619DD309DAA}" name="ID" dataDxfId="185">
      <calculatedColumnFormula>'REGIÃO 12 - HISTÓRICO'!B4</calculatedColumnFormula>
    </tableColumn>
    <tableColumn id="16" xr3:uid="{84920B2E-DFEC-4B6A-8227-219960523354}" name="REGIÃO" dataDxfId="184"/>
    <tableColumn id="17" xr3:uid="{CD1D6F76-8435-4BBD-91F8-8E1B51C0B57B}" name="CONTRATO" dataDxfId="183">
      <calculatedColumnFormula>_xlfn.XLOOKUP(tbResumoR12[[#This Row],[REGIÃO]],tbRegioes[Código Região],tbRegioes[Contrato],"")</calculatedColumnFormula>
    </tableColumn>
    <tableColumn id="1" xr3:uid="{6F9C3382-87F8-431D-97E2-EE79C7AC5AA2}" name="OSP" dataDxfId="182">
      <calculatedColumnFormula>'REGIÃO 11 - HISTÓRICO'!C4</calculatedColumnFormula>
    </tableColumn>
    <tableColumn id="2" xr3:uid="{41CF5FE1-F5EC-4D4E-93C4-E698C4EF1F29}" name="DATA EMISSÃO" dataDxfId="181"/>
    <tableColumn id="7" xr3:uid="{FBE00352-2A87-454F-AB69-79D34266E6DD}" name="CRONOGRAMA" dataDxfId="180"/>
    <tableColumn id="3" xr3:uid="{CC7D8001-2F52-4C7D-ACF5-39C418C595FB}" name="N° TRECHO" dataDxfId="179"/>
    <tableColumn id="4" xr3:uid="{4D8A9FD2-83D6-4C7E-95AD-CE3335C23B6E}" name="TRECHO" dataDxfId="178"/>
    <tableColumn id="5" xr3:uid="{E5CB1646-13DA-4B96-9780-33D7AEE3DA40}" name="SERVIÇO" dataDxfId="177"/>
    <tableColumn id="6" xr3:uid="{EDCB8132-512D-467A-9325-78D7A0B56EAB}" name="VALOR PREVISTO" dataDxfId="176" dataCellStyle="Moeda">
      <calculatedColumnFormula>'REGIÃO 11 - HISTÓRICO'!E4</calculatedColumnFormula>
    </tableColumn>
    <tableColumn id="14" xr3:uid="{AAE313E9-060B-492C-BCDA-CCDA22F343FE}" name="SITUAÇÃO" dataDxfId="175">
      <calculatedColumnFormula>'REGIÃO 12 - HISTÓRICO'!I4</calculatedColumnFormula>
    </tableColumn>
    <tableColumn id="8" xr3:uid="{A38B1BC9-BA46-4D87-BB9B-3368506B87BB}" name="OBSERVAÇÃO" dataDxfId="1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37F6D1-C48E-4D0B-BD28-CF82B7343C3A}" name="tbResumoR13" displayName="tbResumoR13" comment="Tabela ''Cadastro de OSPs" ref="B3:M96" totalsRowShown="0" headerRowDxfId="173" dataDxfId="171" headerRowBorderDxfId="172" tableBorderDxfId="170">
  <autoFilter ref="B3:M96" xr:uid="{1F37F6D1-C48E-4D0B-BD28-CF82B7343C3A}"/>
  <tableColumns count="12">
    <tableColumn id="15" xr3:uid="{2027F5C8-E673-41FB-ABFF-937089E00BD7}" name="ID" dataDxfId="169">
      <calculatedColumnFormula>'REGIÃO 13 - HISTÓRICO'!B4</calculatedColumnFormula>
    </tableColumn>
    <tableColumn id="16" xr3:uid="{51A7F692-B6F8-469D-9665-F79D8A61E177}" name="REGIÃO" dataDxfId="168"/>
    <tableColumn id="17" xr3:uid="{A23B5921-1D4A-4C0E-8EA8-A39FC8980C49}" name="CONTRATO" dataDxfId="167">
      <calculatedColumnFormula>_xlfn.XLOOKUP(tbResumoR13[[#This Row],[REGIÃO]],tbRegioes[Código Região],tbRegioes[Contrato],"")</calculatedColumnFormula>
    </tableColumn>
    <tableColumn id="1" xr3:uid="{AF239441-E8D7-41F2-A371-0833FEE62050}" name="OSP" dataDxfId="166">
      <calculatedColumnFormula>'REGIÃO 13 - HISTÓRICO'!C4</calculatedColumnFormula>
    </tableColumn>
    <tableColumn id="2" xr3:uid="{9F46F67B-7F5B-4163-B7EA-C0210FF4E09F}" name="DATA EMISSÃO" dataDxfId="165"/>
    <tableColumn id="7" xr3:uid="{947CCFF4-37F1-4BE3-BAFC-CE4897A57EED}" name="CRONOGRAMA" dataDxfId="164">
      <calculatedColumnFormula>'REGIÃO 13 - HISTÓRICO'!D4</calculatedColumnFormula>
    </tableColumn>
    <tableColumn id="3" xr3:uid="{890ADC8A-0DCC-4F58-936F-28C67E4CB89E}" name="N° TRECHO" dataDxfId="163"/>
    <tableColumn id="4" xr3:uid="{1F2B0ED7-3D85-46B5-AD33-A72D2DB74CD6}" name="TRECHO" dataDxfId="162">
      <calculatedColumnFormula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calculatedColumnFormula>
    </tableColumn>
    <tableColumn id="5" xr3:uid="{73D84756-4F72-453C-87D1-FDE1E9808156}" name="SERVIÇO" dataDxfId="161"/>
    <tableColumn id="6" xr3:uid="{BDF8C0A0-45BE-43BD-BBCA-00F908384870}" name="VALOR PREVISTO" dataDxfId="160" dataCellStyle="Moeda">
      <calculatedColumnFormula>'REGIÃO 13 - HISTÓRICO'!E4</calculatedColumnFormula>
    </tableColumn>
    <tableColumn id="14" xr3:uid="{CA61D797-0D5B-4BE7-B0A1-503E3C1674C7}" name="SITUAÇÃO" dataDxfId="159">
      <calculatedColumnFormula>'REGIÃO 13 - HISTÓRICO'!I4</calculatedColumnFormula>
    </tableColumn>
    <tableColumn id="8" xr3:uid="{2DFEE4D2-EE63-436A-882A-4C9952A3F87A}" name="OBSERVAÇÃO" dataDxfId="1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92DD6F-3DDB-435F-BFED-6C814E938E87}" name="tbResumoR22" displayName="tbResumoR22" comment="Tabela ''Cadastro de OSPs" ref="B3:M12" totalsRowShown="0" headerRowDxfId="157" dataDxfId="155" headerRowBorderDxfId="156" tableBorderDxfId="154">
  <autoFilter ref="B3:M12" xr:uid="{1F37F6D1-C48E-4D0B-BD28-CF82B7343C3A}"/>
  <tableColumns count="12">
    <tableColumn id="15" xr3:uid="{77451C30-7E51-4364-9609-FBCB152FF3B2}" name="ID" dataDxfId="153">
      <calculatedColumnFormula>'REGIÃO 22 - HISTÓRICO'!B4</calculatedColumnFormula>
    </tableColumn>
    <tableColumn id="16" xr3:uid="{DBC76E06-B8A4-4D73-BF9C-82FA066FD17E}" name="REGIÃO" dataDxfId="152"/>
    <tableColumn id="17" xr3:uid="{99072041-E149-4E9E-8F26-57BCD0FA4075}" name="CONTRATO" dataDxfId="151">
      <calculatedColumnFormula>_xlfn.XLOOKUP(tbResumoR22[[#This Row],[REGIÃO]],tbRegioes[Código Região],tbRegioes[Contrato],"")</calculatedColumnFormula>
    </tableColumn>
    <tableColumn id="1" xr3:uid="{6FD7E7F0-C4C8-4CA2-AF61-29E83D91B5FC}" name="OSP" dataDxfId="150">
      <calculatedColumnFormula>'REGIÃO 22 - HISTÓRICO'!C4</calculatedColumnFormula>
    </tableColumn>
    <tableColumn id="2" xr3:uid="{725261B7-FECB-43CB-83CC-CDE59669D55C}" name="DATA EMISSÃO" dataDxfId="149"/>
    <tableColumn id="7" xr3:uid="{89C7EBAC-2E7F-4879-B246-2B9AC4A9E893}" name="CRONOGRAMA" dataDxfId="148">
      <calculatedColumnFormula>'REGIÃO 22 - HISTÓRICO'!D4</calculatedColumnFormula>
    </tableColumn>
    <tableColumn id="3" xr3:uid="{F9BFDB4D-152E-4293-A28F-59F1288CD4C2}" name="N° TRECHO" dataDxfId="147"/>
    <tableColumn id="4" xr3:uid="{1253A852-FA7E-49C8-AB5A-72EB5F17F3AF}" name="TRECHO" dataDxfId="146">
      <calculatedColumnFormula>IF(tbResumoR22[[#This Row],[N° TRECHO]]="","",IFERROR(INDEX('REGIÃO 11 - TRECHOS'!$F$4:$F$119,MATCH(tbResumoR22[[#This Row],[N° TRECHO]],'REGIÃO 11 - TRECHOS'!$E$4:$E$119,0)),IFERROR(INDEX('REGIÃO 12 - TRECHOS'!$F$4:$F$76,MATCH(tbResumoR22[[#This Row],[N° TRECHO]],'REGIÃO 12 - TRECHOS'!$E$4:$E$76,0)),IFERROR(INDEX('REGIÃO 13 - TRECHOS'!$F$4:$F$53,MATCH(tbResumoR22[[#This Row],[N° TRECHO]],'REGIÃO 13 - TRECHOS'!$E$4:$E$53,0)),"Trecho não cadastrado"))))</calculatedColumnFormula>
    </tableColumn>
    <tableColumn id="5" xr3:uid="{8A3AD843-6D02-4C40-82EF-96154C7E5046}" name="SERVIÇO" dataDxfId="145"/>
    <tableColumn id="6" xr3:uid="{C922713D-A9DC-413A-8CE9-7107A397B291}" name="VALOR PREVISTO" dataDxfId="144" dataCellStyle="Moeda">
      <calculatedColumnFormula>'REGIÃO 22 - HISTÓRICO'!E4</calculatedColumnFormula>
    </tableColumn>
    <tableColumn id="14" xr3:uid="{DD53FA5E-BD80-403D-AFD9-58610E1DA616}" name="SITUAÇÃO" dataDxfId="143">
      <calculatedColumnFormula>'REGIÃO 22 - HISTÓRICO'!I4</calculatedColumnFormula>
    </tableColumn>
    <tableColumn id="8" xr3:uid="{5B82334F-0161-49E5-949C-056DD87B0A18}" name="OBSERVAÇÃO" dataDxfId="14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A9025F-967A-4C9D-8389-DEC06447D13F}" name="tbResumoR23" displayName="tbResumoR23" comment="Tabela ''Cadastro de OSPs" ref="B3:M12" totalsRowShown="0" headerRowDxfId="141" dataDxfId="139" headerRowBorderDxfId="140" tableBorderDxfId="138">
  <autoFilter ref="B3:M12" xr:uid="{1F37F6D1-C48E-4D0B-BD28-CF82B7343C3A}"/>
  <tableColumns count="12">
    <tableColumn id="15" xr3:uid="{E41163A8-CC8F-4BF2-BCE5-92124BA5C0B4}" name="ID" dataDxfId="137">
      <calculatedColumnFormula>'REGIÃO 23 - HISTÓRICO'!B4</calculatedColumnFormula>
    </tableColumn>
    <tableColumn id="16" xr3:uid="{5CCB72A0-95E2-42C1-8D90-96EC068B298A}" name="REGIÃO" dataDxfId="136"/>
    <tableColumn id="17" xr3:uid="{ADC1F0C1-2244-4535-99D4-484EEADB3165}" name="CONTRATO" dataDxfId="135">
      <calculatedColumnFormula>_xlfn.XLOOKUP(tbResumoR23[[#This Row],[REGIÃO]],tbRegioes[Código Região],tbRegioes[Contrato],"")</calculatedColumnFormula>
    </tableColumn>
    <tableColumn id="1" xr3:uid="{166AC95E-514F-4010-9BDC-F935A938187A}" name="OSP" dataDxfId="134">
      <calculatedColumnFormula>'REGIÃO 23 - HISTÓRICO'!C4</calculatedColumnFormula>
    </tableColumn>
    <tableColumn id="2" xr3:uid="{0D41B3FF-668D-47A4-856B-39538A62C1AA}" name="DATA EMISSÃO" dataDxfId="133"/>
    <tableColumn id="7" xr3:uid="{5CC97BCB-E6C9-4EAE-90D5-5D81BC5531ED}" name="CRONOGRAMA" dataDxfId="132">
      <calculatedColumnFormula>'REGIÃO 23 - HISTÓRICO'!D4</calculatedColumnFormula>
    </tableColumn>
    <tableColumn id="3" xr3:uid="{41FAACC9-E666-4A18-BF29-1B95B1955EF6}" name="N° TRECHO" dataDxfId="131"/>
    <tableColumn id="4" xr3:uid="{2EB93E9F-88A7-4774-A432-264C9755D91C}" name="TRECHO" dataDxfId="130">
      <calculatedColumnFormula>IF(tbResumoR23[[#This Row],[N° TRECHO]]="","",IFERROR(INDEX('REGIÃO 11 - TRECHOS'!$F$4:$F$119,MATCH(tbResumoR23[[#This Row],[N° TRECHO]],'REGIÃO 11 - TRECHOS'!$E$4:$E$119,0)),IFERROR(INDEX('REGIÃO 12 - TRECHOS'!$F$4:$F$76,MATCH(tbResumoR23[[#This Row],[N° TRECHO]],'REGIÃO 12 - TRECHOS'!$E$4:$E$76,0)),IFERROR(INDEX('REGIÃO 13 - TRECHOS'!$F$4:$F$53,MATCH(tbResumoR23[[#This Row],[N° TRECHO]],'REGIÃO 13 - TRECHOS'!$E$4:$E$53,0)),"Trecho não cadastrado"))))</calculatedColumnFormula>
    </tableColumn>
    <tableColumn id="5" xr3:uid="{2DB588F3-347D-4AE5-B835-B40A9D8EDE86}" name="SERVIÇO" dataDxfId="129"/>
    <tableColumn id="6" xr3:uid="{A22C4532-5E1C-4EC7-B9DE-6099BA29406D}" name="VALOR PREVISTO" dataDxfId="128" dataCellStyle="Moeda">
      <calculatedColumnFormula>'REGIÃO 23 - HISTÓRICO'!E4</calculatedColumnFormula>
    </tableColumn>
    <tableColumn id="14" xr3:uid="{CC1E5FF6-D5D2-4C31-85CD-7AB1EDC05D00}" name="SITUAÇÃO" dataDxfId="127">
      <calculatedColumnFormula>'REGIÃO 23 - HISTÓRICO'!I4</calculatedColumnFormula>
    </tableColumn>
    <tableColumn id="8" xr3:uid="{FFC31020-158F-4BC4-893E-BEE34D6CE309}" name="OBSERVAÇÃO" dataDxfId="1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3319C8-3CE0-4B8C-BABF-944EA681D187}" name="tbResumoR24" displayName="tbResumoR24" comment="Tabela ''Cadastro de OSPs" ref="B3:M12" totalsRowShown="0" headerRowDxfId="125" dataDxfId="123" headerRowBorderDxfId="124" tableBorderDxfId="122">
  <autoFilter ref="B3:M12" xr:uid="{1F37F6D1-C48E-4D0B-BD28-CF82B7343C3A}"/>
  <tableColumns count="12">
    <tableColumn id="15" xr3:uid="{5E55FB30-6636-43AC-8978-7A0B89507BEC}" name="ID" dataDxfId="121">
      <calculatedColumnFormula>'REGIÃO 24 - HISTÓRICO'!B4</calculatedColumnFormula>
    </tableColumn>
    <tableColumn id="16" xr3:uid="{A90528D3-307B-4165-9EF7-FF8A37E6948E}" name="REGIÃO" dataDxfId="120"/>
    <tableColumn id="17" xr3:uid="{AB39558C-C7FE-464A-8034-E65BDD0BD124}" name="CONTRATO" dataDxfId="119">
      <calculatedColumnFormula>_xlfn.XLOOKUP(tbResumoR24[[#This Row],[REGIÃO]],tbRegioes[Código Região],tbRegioes[Contrato],"")</calculatedColumnFormula>
    </tableColumn>
    <tableColumn id="1" xr3:uid="{E0039517-7C59-43FF-A17F-769D007D6E8B}" name="OSP" dataDxfId="118">
      <calculatedColumnFormula>'REGIÃO 24 - HISTÓRICO'!C4</calculatedColumnFormula>
    </tableColumn>
    <tableColumn id="2" xr3:uid="{54BE83E9-F991-4240-B7E8-2FA6E7AD21C1}" name="DATA EMISSÃO" dataDxfId="117"/>
    <tableColumn id="7" xr3:uid="{B7C8496C-499A-4D2A-97EC-6CEAC1F18D0E}" name="CRONOGRAMA" dataDxfId="116">
      <calculatedColumnFormula>'REGIÃO 24 - HISTÓRICO'!D4</calculatedColumnFormula>
    </tableColumn>
    <tableColumn id="3" xr3:uid="{69C724B0-BBB4-4984-885B-B17AF6F9D25B}" name="N° TRECHO" dataDxfId="115"/>
    <tableColumn id="4" xr3:uid="{0B028AC3-04C6-402A-9C84-9DC64ED47300}" name="TRECHO" dataDxfId="114">
      <calculatedColumnFormula>IF(tbResumoR24[[#This Row],[N° TRECHO]]="","",IFERROR(INDEX('REGIÃO 11 - TRECHOS'!$F$4:$F$119,MATCH(tbResumoR24[[#This Row],[N° TRECHO]],'REGIÃO 11 - TRECHOS'!$E$4:$E$119,0)),IFERROR(INDEX('REGIÃO 12 - TRECHOS'!$F$4:$F$76,MATCH(tbResumoR24[[#This Row],[N° TRECHO]],'REGIÃO 12 - TRECHOS'!$E$4:$E$76,0)),IFERROR(INDEX('REGIÃO 13 - TRECHOS'!$F$4:$F$53,MATCH(tbResumoR24[[#This Row],[N° TRECHO]],'REGIÃO 13 - TRECHOS'!$E$4:$E$53,0)),"Trecho não cadastrado"))))</calculatedColumnFormula>
    </tableColumn>
    <tableColumn id="5" xr3:uid="{5DE6DB10-F730-4DAC-A5E2-8540868D3958}" name="SERVIÇO" dataDxfId="113"/>
    <tableColumn id="6" xr3:uid="{0417AB5A-93B0-48C8-8882-941ACDA5C6C2}" name="VALOR PREVISTO" dataDxfId="112" dataCellStyle="Moeda">
      <calculatedColumnFormula>'REGIÃO 24 - HISTÓRICO'!E4</calculatedColumnFormula>
    </tableColumn>
    <tableColumn id="14" xr3:uid="{F8B3A108-ADBC-4DE8-B118-2680618AC25B}" name="SITUAÇÃO" dataDxfId="111">
      <calculatedColumnFormula>'REGIÃO 24 - HISTÓRICO'!I4</calculatedColumnFormula>
    </tableColumn>
    <tableColumn id="8" xr3:uid="{2F67642E-6711-44D4-8814-2FF39EA35E19}" name="OBSERVAÇÃO" dataDxfId="1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A8997F-8801-4100-91F1-5E76EE9BC2A7}" name="Tabela6" displayName="Tabela6" ref="B3:K41" totalsRowShown="0" headerRowDxfId="109" headerRowBorderDxfId="108" headerRowCellStyle="Normal 9">
  <autoFilter ref="B3:K41" xr:uid="{77A8997F-8801-4100-91F1-5E76EE9BC2A7}"/>
  <tableColumns count="10">
    <tableColumn id="1" xr3:uid="{3279BA92-1935-4F2E-993B-CA39474E6C51}" name="LOTE" dataDxfId="107" dataCellStyle="Normal 9"/>
    <tableColumn id="2" xr3:uid="{06AC2251-2253-459F-BFF9-5DB226EF6CF1}" name="REGIÃO DE CONSERVAÇÃO" dataDxfId="106" dataCellStyle="Normal 9"/>
    <tableColumn id="3" xr3:uid="{7682246F-97D0-40BC-8F48-849F43709E4A}" name="CIDADE SEDE" dataDxfId="105" dataCellStyle="Normal 9"/>
    <tableColumn id="4" xr3:uid="{F654168A-1DA7-4E62-8DE0-08987F59A6DE}" name="NÚMERO TRECHO" dataDxfId="104" dataCellStyle="Normal 9"/>
    <tableColumn id="5" xr3:uid="{73062CAD-D5E0-4DEF-9836-B5D1ED1B3429}" name="TRECHO" dataDxfId="103" dataCellStyle="Normal 9"/>
    <tableColumn id="6" xr3:uid="{B1E1CCF4-E017-445E-AA29-001BC20F0D3C}" name="S.R.E" dataDxfId="102" dataCellStyle="Normal 9"/>
    <tableColumn id="7" xr3:uid="{E02DBE9F-FC63-493D-81EC-46C29D84415C}" name="SEGMENTOS" dataDxfId="101" dataCellStyle="Normal 9"/>
    <tableColumn id="8" xr3:uid="{B678DADD-0B31-4A90-BACD-7D4B240D9363}" name="EXTENSÃO_x000a_(KM)" dataDxfId="100" dataCellStyle="Normal 9"/>
    <tableColumn id="9" xr3:uid="{23852167-CA58-47D6-B0B6-C6EE8096E3D9}" name="TIPO" dataDxfId="99" dataCellStyle="Normal 9"/>
    <tableColumn id="10" xr3:uid="{2A6526AD-14DA-4587-B93A-F00AD64E8A1B}" name="JURISDIÇÃO" dataDxfId="98" dataCellStyle="Normal 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6969679-BE2D-43B9-9392-8D7EC4A9A6A6}" name="Tabela7" displayName="Tabela7" ref="B3:K60" totalsRowShown="0" headerRowDxfId="97" headerRowBorderDxfId="96" headerRowCellStyle="Normal 9">
  <autoFilter ref="B3:K60" xr:uid="{06969679-BE2D-43B9-9392-8D7EC4A9A6A6}"/>
  <tableColumns count="10">
    <tableColumn id="1" xr3:uid="{995EE637-8FF0-420C-9575-E102679C96AA}" name="LOTE" dataDxfId="95" dataCellStyle="Normal 9"/>
    <tableColumn id="2" xr3:uid="{26288098-D077-4C82-8138-4931AA08DBE7}" name="REGIÃO DE CONSERVAÇÃO" dataDxfId="94" dataCellStyle="Normal 9"/>
    <tableColumn id="3" xr3:uid="{33E128F7-DF30-47D4-9345-F9EF4677324A}" name="CIDADE SEDE" dataDxfId="93" dataCellStyle="Normal 9"/>
    <tableColumn id="4" xr3:uid="{86CD6C62-9FBE-418A-AAE2-10E0F075B43B}" name="NÚMERO TRECHO" dataDxfId="92" dataCellStyle="Normal 9"/>
    <tableColumn id="5" xr3:uid="{D18B9C64-8252-4612-9812-EC4F71C7D4EE}" name="TRECHO" dataDxfId="91" dataCellStyle="Normal 9"/>
    <tableColumn id="6" xr3:uid="{28C60A10-8BDD-43B6-B4B3-092CF8BAAC7E}" name="S.R.E" dataDxfId="90" dataCellStyle="Normal 9"/>
    <tableColumn id="7" xr3:uid="{5BEF0D22-4983-4430-8FCF-5AE7B27A82F2}" name="SEGMENTOS" dataDxfId="89" dataCellStyle="Normal 9"/>
    <tableColumn id="8" xr3:uid="{1E4F2F22-A467-4DA9-9888-043103525942}" name="EXTENSÃO_x000a_(KM)" dataDxfId="88" dataCellStyle="Normal 9"/>
    <tableColumn id="9" xr3:uid="{05BCD31D-51C5-4850-8E6D-1C15F8B42654}" name="TIPO" dataDxfId="87" dataCellStyle="Normal 9"/>
    <tableColumn id="10" xr3:uid="{3FE8C3DB-15B2-4133-95F7-C02AE193BF0B}" name="JURISDIÇÃO" dataDxfId="86" dataCellStyle="Normal 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19D790E-56D9-4BB7-A647-5D421D71454F}" name="Tabela8" displayName="Tabela8" ref="B3:K68" totalsRowShown="0" headerRowDxfId="85" headerRowBorderDxfId="84" headerRowCellStyle="Normal 9">
  <autoFilter ref="B3:K68" xr:uid="{F19D790E-56D9-4BB7-A647-5D421D71454F}"/>
  <tableColumns count="10">
    <tableColumn id="1" xr3:uid="{2244CC03-492D-4BF9-9B81-8D1C94EC7187}" name="LOTE" dataDxfId="83" dataCellStyle="Normal 9"/>
    <tableColumn id="2" xr3:uid="{A808B886-93DB-453B-979E-72062C7D9D1B}" name="REGIÃO DE CONSERVAÇÃO" dataDxfId="82" dataCellStyle="Normal 9"/>
    <tableColumn id="3" xr3:uid="{71563146-A16C-46DF-B7F8-1AD92DAF81B3}" name="CIDADE SEDE" dataDxfId="81" dataCellStyle="Normal 9"/>
    <tableColumn id="4" xr3:uid="{7ABCE7AA-8BD2-4928-BE02-8E82E30AC868}" name="NÚMERO TRECHO" dataDxfId="80" dataCellStyle="Normal 9"/>
    <tableColumn id="5" xr3:uid="{AECD5947-997D-478D-86F3-0D2BA3D31DF4}" name="TRECHO" dataDxfId="79" dataCellStyle="Normal 9"/>
    <tableColumn id="6" xr3:uid="{07A84A00-323D-4523-9130-C86E2FC503DF}" name="S.R.E" dataDxfId="78" dataCellStyle="Normal 9"/>
    <tableColumn id="7" xr3:uid="{8702C91B-BEB5-4CB4-8462-2A13FA410903}" name="SEGMENTOS" dataDxfId="77" dataCellStyle="Normal 9"/>
    <tableColumn id="8" xr3:uid="{E5063604-5EA0-43AA-9B8A-360135525DFC}" name="EXTENSÃO_x000a_(KM)" dataDxfId="76" dataCellStyle="Normal 9"/>
    <tableColumn id="9" xr3:uid="{7AE4C974-FF4D-4D68-A4AF-B15879BE6837}" name="TIPO" dataDxfId="75" dataCellStyle="Normal 9"/>
    <tableColumn id="10" xr3:uid="{9536BFC7-C82F-46E1-8FDB-C06277C2FB14}" name="JURISDIÇÃO" dataDxfId="74" dataCellStyle="Normal 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4C89D3-06C2-4BA5-9BEE-AB2F069F78A1}" name="tbRegioes" displayName="tbRegioes" ref="B3:E9" totalsRowShown="0" headerRowDxfId="73" dataDxfId="72" tableBorderDxfId="71">
  <autoFilter ref="B3:E9" xr:uid="{254C89D3-06C2-4BA5-9BEE-AB2F069F78A1}"/>
  <tableColumns count="4">
    <tableColumn id="1" xr3:uid="{A473ED48-5A14-4CFC-8D18-3519C7DA3806}" name="Código Região" dataDxfId="70"/>
    <tableColumn id="2" xr3:uid="{0CB0B5E0-BEAB-496D-907D-4106A3299203}" name="Região" dataDxfId="69"/>
    <tableColumn id="3" xr3:uid="{CC4E30BB-307A-4B73-8261-5F957EBE9FC2}" name="Código Contrato" dataDxfId="68"/>
    <tableColumn id="4" xr3:uid="{CD88B1D6-311E-42A8-BCCD-D323AFA269B7}" name="Contrato" dataDxfId="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4D0525-5F87-4566-B054-8E915DB94D4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9b0317b-eab1-433c-8221-c74f1d8ad07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8089-EEB0-4067-90A3-87697C5B4AD0}">
  <sheetPr codeName="DASHBOARD"/>
  <dimension ref="A1:T232"/>
  <sheetViews>
    <sheetView showGridLines="0" zoomScale="85" zoomScaleNormal="85" workbookViewId="0">
      <selection activeCell="J5" sqref="J5:K5"/>
    </sheetView>
  </sheetViews>
  <sheetFormatPr defaultRowHeight="15.6" x14ac:dyDescent="0.3"/>
  <cols>
    <col min="1" max="1" width="3" customWidth="1"/>
    <col min="2" max="2" width="7.8984375" customWidth="1"/>
    <col min="3" max="3" width="27" customWidth="1"/>
    <col min="4" max="4" width="8.69921875" customWidth="1"/>
    <col min="5" max="5" width="16.296875" customWidth="1"/>
    <col min="6" max="6" width="8.69921875" customWidth="1"/>
    <col min="7" max="8" width="16.296875" customWidth="1"/>
    <col min="9" max="9" width="8.69921875" customWidth="1"/>
    <col min="10" max="10" width="16.296875" customWidth="1"/>
    <col min="11" max="12" width="8.69921875" customWidth="1"/>
    <col min="13" max="14" width="16.296875" customWidth="1"/>
    <col min="15" max="15" width="8.69921875" customWidth="1"/>
    <col min="16" max="16" width="3" customWidth="1"/>
    <col min="17" max="17" width="11.3984375" customWidth="1"/>
    <col min="18" max="18" width="12" customWidth="1"/>
  </cols>
  <sheetData>
    <row r="1" spans="1:20" ht="17.399999999999999" customHeight="1" thickBot="1" x14ac:dyDescent="0.35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20" ht="126" customHeight="1" thickBot="1" x14ac:dyDescent="0.35">
      <c r="A2" s="83"/>
      <c r="B2" s="225" t="s">
        <v>162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7"/>
      <c r="P2" s="83"/>
      <c r="Q2" s="83"/>
      <c r="R2" s="83"/>
    </row>
    <row r="3" spans="1:20" ht="36" customHeight="1" thickBot="1" x14ac:dyDescent="0.35">
      <c r="A3" s="83"/>
      <c r="B3" s="228" t="str">
        <f ca="1">"Regiões 11, 12, 13, 22, 23 e 24   |   "&amp;COUNTIF('BASE DASHBOARD'!$B$4:$B$217,"?*")&amp;" OSPs cadastradas   |   Atualizado em "&amp;TEXT(TODAY(),"dd/mm/aaaa")</f>
        <v>Regiões 11, 12, 13, 22, 23 e 24   |   199 OSPs cadastradas   |   Atualizado em 30/09/2026</v>
      </c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30"/>
      <c r="P3" s="83"/>
      <c r="Q3" s="83"/>
      <c r="R3" s="83"/>
    </row>
    <row r="4" spans="1:20" ht="26.4" customHeight="1" x14ac:dyDescent="0.3">
      <c r="A4" s="83"/>
      <c r="B4" s="231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3"/>
      <c r="P4" s="83"/>
      <c r="Q4" s="83"/>
      <c r="R4" s="83"/>
    </row>
    <row r="5" spans="1:20" ht="48" customHeight="1" x14ac:dyDescent="0.3">
      <c r="A5" s="83"/>
      <c r="B5" s="264" t="s">
        <v>144</v>
      </c>
      <c r="C5" s="265"/>
      <c r="D5" s="234" t="s">
        <v>187</v>
      </c>
      <c r="E5" s="238"/>
      <c r="F5" s="234" t="s">
        <v>188</v>
      </c>
      <c r="G5" s="238"/>
      <c r="H5" s="234" t="s">
        <v>189</v>
      </c>
      <c r="I5" s="238"/>
      <c r="J5" s="240" t="s">
        <v>190</v>
      </c>
      <c r="K5" s="241"/>
      <c r="L5" s="234" t="s">
        <v>191</v>
      </c>
      <c r="M5" s="238"/>
      <c r="N5" s="234" t="s">
        <v>192</v>
      </c>
      <c r="O5" s="235"/>
      <c r="P5" s="83"/>
      <c r="Q5" s="83"/>
      <c r="R5" s="83"/>
      <c r="T5" s="165"/>
    </row>
    <row r="6" spans="1:20" ht="48" customHeight="1" x14ac:dyDescent="0.3">
      <c r="A6" s="83"/>
      <c r="B6" s="264" t="s">
        <v>145</v>
      </c>
      <c r="C6" s="265"/>
      <c r="D6" s="236" t="s">
        <v>187</v>
      </c>
      <c r="E6" s="239"/>
      <c r="F6" s="236" t="s">
        <v>188</v>
      </c>
      <c r="G6" s="239"/>
      <c r="H6" s="236" t="s">
        <v>189</v>
      </c>
      <c r="I6" s="239"/>
      <c r="J6" s="242" t="s">
        <v>190</v>
      </c>
      <c r="K6" s="243"/>
      <c r="L6" s="236" t="s">
        <v>191</v>
      </c>
      <c r="M6" s="239"/>
      <c r="N6" s="236" t="s">
        <v>192</v>
      </c>
      <c r="O6" s="237"/>
      <c r="P6" s="83"/>
      <c r="Q6" s="83"/>
      <c r="R6" s="83"/>
    </row>
    <row r="7" spans="1:20" ht="24" customHeight="1" x14ac:dyDescent="0.3">
      <c r="A7" s="83"/>
      <c r="B7" s="266" t="s">
        <v>146</v>
      </c>
      <c r="C7" s="267"/>
      <c r="D7" s="268" t="str">
        <f>"linha "&amp;(4+COUNTA('REGIÃO 11 - HISTÓRICO'!$C$4:$C$506))</f>
        <v>linha 43</v>
      </c>
      <c r="E7" s="268"/>
      <c r="F7" s="268" t="str">
        <f>"linha "&amp;(4+COUNTA('REGIÃO 12 - HISTÓRICO'!$C$4:$C$497))</f>
        <v>linha 57</v>
      </c>
      <c r="G7" s="268"/>
      <c r="H7" s="268" t="str">
        <f>"linha "&amp;(4+COUNTA('REGIÃO 13 - HISTÓRICO'!$C$4:$C$571))</f>
        <v>linha 96</v>
      </c>
      <c r="I7" s="268"/>
      <c r="J7" s="268" t="str">
        <f>"linha "&amp;(4+COUNTA('REGIÃO 22 - HISTÓRICO'!$C$4:$C$507))</f>
        <v>linha 12</v>
      </c>
      <c r="K7" s="268"/>
      <c r="L7" s="268" t="str">
        <f>"linha "&amp;(4+COUNTA('REGIÃO 23 - HISTÓRICO'!$C$4:$C$506))</f>
        <v>linha 12</v>
      </c>
      <c r="M7" s="268"/>
      <c r="N7" s="268" t="str">
        <f>"linha "&amp;(4+COUNTA('REGIÃO 24 - HISTÓRICO'!$C$4:$C$509))</f>
        <v>linha 10</v>
      </c>
      <c r="O7" s="269"/>
      <c r="P7" s="83"/>
      <c r="Q7" s="83"/>
      <c r="R7" s="83"/>
    </row>
    <row r="8" spans="1:20" ht="24" customHeight="1" x14ac:dyDescent="0.3">
      <c r="A8" s="83"/>
      <c r="B8" s="231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3"/>
      <c r="P8" s="83"/>
      <c r="Q8" s="83"/>
      <c r="R8" s="83"/>
    </row>
    <row r="9" spans="1:20" ht="24" customHeight="1" thickBot="1" x14ac:dyDescent="0.35">
      <c r="A9" s="83"/>
      <c r="B9" s="231"/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3"/>
      <c r="P9" s="83"/>
      <c r="Q9" s="83"/>
      <c r="R9" s="83"/>
    </row>
    <row r="10" spans="1:20" ht="45.6" customHeight="1" thickBot="1" x14ac:dyDescent="0.35">
      <c r="A10" s="83"/>
      <c r="B10" s="94"/>
      <c r="C10" s="107" t="s">
        <v>115</v>
      </c>
      <c r="D10" s="262" t="s">
        <v>182</v>
      </c>
      <c r="E10" s="262"/>
      <c r="F10" s="262"/>
      <c r="G10" s="262"/>
      <c r="H10" s="262"/>
      <c r="I10" s="262"/>
      <c r="J10" s="262"/>
      <c r="K10" s="262"/>
      <c r="L10" s="262"/>
      <c r="M10" s="262"/>
      <c r="N10" s="263"/>
      <c r="O10" s="95"/>
      <c r="P10" s="83"/>
      <c r="Q10" s="91"/>
      <c r="R10" s="87"/>
    </row>
    <row r="11" spans="1:20" ht="24" customHeight="1" thickBot="1" x14ac:dyDescent="0.35">
      <c r="A11" s="83"/>
      <c r="B11" s="231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3"/>
      <c r="P11" s="83"/>
      <c r="Q11" s="83"/>
      <c r="R11" s="83"/>
    </row>
    <row r="12" spans="1:20" ht="24" customHeight="1" x14ac:dyDescent="0.3">
      <c r="A12" s="83"/>
      <c r="B12" s="231"/>
      <c r="C12" s="92"/>
      <c r="D12" s="254" t="s">
        <v>117</v>
      </c>
      <c r="E12" s="255"/>
      <c r="F12" s="96"/>
      <c r="G12" s="256" t="s">
        <v>118</v>
      </c>
      <c r="H12" s="257"/>
      <c r="I12" s="96"/>
      <c r="J12" s="256" t="s">
        <v>119</v>
      </c>
      <c r="K12" s="257"/>
      <c r="L12" s="96"/>
      <c r="M12" s="256" t="s">
        <v>120</v>
      </c>
      <c r="N12" s="257"/>
      <c r="O12" s="97"/>
      <c r="P12" s="83"/>
      <c r="Q12" s="83"/>
      <c r="R12" s="83"/>
    </row>
    <row r="13" spans="1:20" ht="36" customHeight="1" thickBot="1" x14ac:dyDescent="0.35">
      <c r="A13" s="83"/>
      <c r="B13" s="231"/>
      <c r="C13" s="92"/>
      <c r="D13" s="244">
        <f>COUNTIFS('BASE DASHBOARD'!$B$4:$B$217,'BASE DASHBOARD'!$Z$1)</f>
        <v>53</v>
      </c>
      <c r="E13" s="245"/>
      <c r="F13" s="98"/>
      <c r="G13" s="246">
        <f>SUMIFS('BASE DASHBOARD'!$I$4:$I$217,'BASE DASHBOARD'!$B$4:$B$217,'BASE DASHBOARD'!$Z$1)</f>
        <v>9892927.004999999</v>
      </c>
      <c r="H13" s="247"/>
      <c r="I13" s="98"/>
      <c r="J13" s="246">
        <f>SUMIFS('BASE DASHBOARD'!$J$4:$J$217,'BASE DASHBOARD'!$B$4:$B$217,'BASE DASHBOARD'!$Z$1)</f>
        <v>8793229.5600000005</v>
      </c>
      <c r="K13" s="247"/>
      <c r="L13" s="98"/>
      <c r="M13" s="246">
        <f>$G$13-$J$13</f>
        <v>1099697.4449999984</v>
      </c>
      <c r="N13" s="247"/>
      <c r="O13" s="99"/>
      <c r="P13" s="83"/>
      <c r="Q13" s="83"/>
      <c r="R13" s="83"/>
    </row>
    <row r="14" spans="1:20" ht="24" customHeight="1" thickTop="1" thickBot="1" x14ac:dyDescent="0.35">
      <c r="A14" s="83"/>
      <c r="B14" s="231"/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3"/>
      <c r="P14" s="83"/>
      <c r="Q14" s="83"/>
      <c r="R14" s="83"/>
    </row>
    <row r="15" spans="1:20" ht="24" customHeight="1" x14ac:dyDescent="0.3">
      <c r="A15" s="83"/>
      <c r="B15" s="231"/>
      <c r="C15" s="92"/>
      <c r="D15" s="256" t="s">
        <v>121</v>
      </c>
      <c r="E15" s="257"/>
      <c r="F15" s="96"/>
      <c r="G15" s="256" t="s">
        <v>122</v>
      </c>
      <c r="H15" s="257"/>
      <c r="I15" s="96"/>
      <c r="J15" s="256" t="s">
        <v>123</v>
      </c>
      <c r="K15" s="257"/>
      <c r="L15" s="96"/>
      <c r="M15" s="256" t="s">
        <v>124</v>
      </c>
      <c r="N15" s="257"/>
      <c r="O15" s="97"/>
      <c r="P15" s="83"/>
      <c r="Q15" s="83"/>
      <c r="R15" s="83"/>
    </row>
    <row r="16" spans="1:20" ht="36" customHeight="1" thickBot="1" x14ac:dyDescent="0.35">
      <c r="A16" s="83"/>
      <c r="B16" s="231"/>
      <c r="C16" s="92"/>
      <c r="D16" s="258">
        <f>IFERROR($J$13/$G$13,0)</f>
        <v>0.88884003243486998</v>
      </c>
      <c r="E16" s="259"/>
      <c r="F16" s="98"/>
      <c r="G16" s="260">
        <f>COUNTIFS('BASE DASHBOARD'!$B$4:$B$217,'BASE DASHBOARD'!$Z$1,'BASE DASHBOARD'!$L$4:$L$217,"Concluída")</f>
        <v>44</v>
      </c>
      <c r="H16" s="261"/>
      <c r="I16" s="98"/>
      <c r="J16" s="260">
        <f>COUNTIFS('BASE DASHBOARD'!$B$4:$B$217,'BASE DASHBOARD'!$Z$1,'BASE DASHBOARD'!$L$4:$L$217,"Cancelada")</f>
        <v>0</v>
      </c>
      <c r="K16" s="261"/>
      <c r="L16" s="98"/>
      <c r="M16" s="246">
        <f>IFERROR($G$13/$D$13,0)</f>
        <v>186659.0000943396</v>
      </c>
      <c r="N16" s="247"/>
      <c r="O16" s="99"/>
      <c r="P16" s="83"/>
      <c r="Q16" s="83"/>
      <c r="R16" s="83"/>
    </row>
    <row r="17" spans="1:18" x14ac:dyDescent="0.3">
      <c r="A17" s="83"/>
      <c r="B17" s="231"/>
      <c r="C17" s="232"/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233"/>
      <c r="P17" s="83"/>
      <c r="Q17" s="83"/>
      <c r="R17" s="83"/>
    </row>
    <row r="18" spans="1:18" x14ac:dyDescent="0.3">
      <c r="A18" s="83"/>
      <c r="B18" s="231"/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3"/>
      <c r="P18" s="83"/>
      <c r="Q18" s="83"/>
      <c r="R18" s="83"/>
    </row>
    <row r="19" spans="1:18" ht="16.2" thickBot="1" x14ac:dyDescent="0.35">
      <c r="A19" s="83"/>
      <c r="B19" s="103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5"/>
      <c r="P19" s="83"/>
      <c r="Q19" s="83"/>
      <c r="R19" s="83"/>
    </row>
    <row r="20" spans="1:18" x14ac:dyDescent="0.3">
      <c r="A20" s="83"/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248" t="s">
        <v>147</v>
      </c>
      <c r="N20" s="249"/>
      <c r="O20" s="105"/>
      <c r="P20" s="83"/>
      <c r="Q20" s="83"/>
      <c r="R20" s="83"/>
    </row>
    <row r="21" spans="1:18" x14ac:dyDescent="0.3">
      <c r="A21" s="83"/>
      <c r="B21" s="103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250"/>
      <c r="N21" s="251"/>
      <c r="O21" s="105"/>
      <c r="P21" s="83"/>
      <c r="Q21" s="83"/>
      <c r="R21" s="83"/>
    </row>
    <row r="22" spans="1:18" ht="16.2" thickBot="1" x14ac:dyDescent="0.35">
      <c r="A22" s="83"/>
      <c r="B22" s="103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252"/>
      <c r="N22" s="253"/>
      <c r="O22" s="105"/>
      <c r="P22" s="83"/>
      <c r="Q22" s="83"/>
      <c r="R22" s="83"/>
    </row>
    <row r="23" spans="1:18" x14ac:dyDescent="0.3">
      <c r="A23" s="83"/>
      <c r="B23" s="231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3"/>
      <c r="P23" s="83"/>
      <c r="Q23" s="83"/>
      <c r="R23" s="83"/>
    </row>
    <row r="24" spans="1:18" x14ac:dyDescent="0.3">
      <c r="A24" s="83"/>
      <c r="B24" s="231"/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3"/>
      <c r="P24" s="83"/>
      <c r="Q24" s="83"/>
      <c r="R24" s="83"/>
    </row>
    <row r="25" spans="1:18" x14ac:dyDescent="0.3">
      <c r="A25" s="83"/>
      <c r="B25" s="103"/>
      <c r="C25" s="92"/>
      <c r="D25" s="106" t="s">
        <v>148</v>
      </c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3"/>
      <c r="P25" s="83"/>
      <c r="Q25" s="83"/>
      <c r="R25" s="83"/>
    </row>
    <row r="26" spans="1:18" ht="16.2" thickBot="1" x14ac:dyDescent="0.35">
      <c r="A26" s="83"/>
      <c r="B26" s="100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2"/>
      <c r="P26" s="83"/>
      <c r="Q26" s="83"/>
      <c r="R26" s="83"/>
    </row>
    <row r="27" spans="1:18" x14ac:dyDescent="0.3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</row>
    <row r="28" spans="1:18" x14ac:dyDescent="0.3">
      <c r="A28" s="83"/>
    </row>
    <row r="29" spans="1:18" x14ac:dyDescent="0.3">
      <c r="A29" s="83"/>
    </row>
    <row r="30" spans="1:18" x14ac:dyDescent="0.3">
      <c r="A30" s="83"/>
    </row>
    <row r="31" spans="1:18" x14ac:dyDescent="0.3">
      <c r="A31" s="83"/>
    </row>
    <row r="32" spans="1:18" x14ac:dyDescent="0.3">
      <c r="A32" s="83"/>
    </row>
    <row r="33" spans="1:1" x14ac:dyDescent="0.3">
      <c r="A33" s="83"/>
    </row>
    <row r="34" spans="1:1" x14ac:dyDescent="0.3">
      <c r="A34" s="83"/>
    </row>
    <row r="35" spans="1:1" x14ac:dyDescent="0.3">
      <c r="A35" s="83"/>
    </row>
    <row r="36" spans="1:1" x14ac:dyDescent="0.3">
      <c r="A36" s="83"/>
    </row>
    <row r="37" spans="1:1" x14ac:dyDescent="0.3">
      <c r="A37" s="83"/>
    </row>
    <row r="38" spans="1:1" x14ac:dyDescent="0.3">
      <c r="A38" s="83"/>
    </row>
    <row r="39" spans="1:1" x14ac:dyDescent="0.3">
      <c r="A39" s="83"/>
    </row>
    <row r="40" spans="1:1" x14ac:dyDescent="0.3">
      <c r="A40" s="83"/>
    </row>
    <row r="41" spans="1:1" x14ac:dyDescent="0.3">
      <c r="A41" s="83"/>
    </row>
    <row r="42" spans="1:1" x14ac:dyDescent="0.3">
      <c r="A42" s="83"/>
    </row>
    <row r="43" spans="1:1" x14ac:dyDescent="0.3">
      <c r="A43" s="83"/>
    </row>
    <row r="44" spans="1:1" x14ac:dyDescent="0.3">
      <c r="A44" s="83"/>
    </row>
    <row r="45" spans="1:1" ht="25.95" customHeight="1" x14ac:dyDescent="0.3">
      <c r="A45" s="83"/>
    </row>
    <row r="46" spans="1:1" ht="30" customHeight="1" x14ac:dyDescent="0.3">
      <c r="A46" s="83"/>
    </row>
    <row r="47" spans="1:1" ht="19.95" customHeight="1" x14ac:dyDescent="0.3">
      <c r="A47" s="83"/>
    </row>
    <row r="48" spans="1:1" ht="19.95" customHeight="1" x14ac:dyDescent="0.3">
      <c r="A48" s="83"/>
    </row>
    <row r="49" spans="1:1" ht="19.95" customHeight="1" x14ac:dyDescent="0.3">
      <c r="A49" s="83"/>
    </row>
    <row r="50" spans="1:1" ht="19.95" customHeight="1" x14ac:dyDescent="0.3">
      <c r="A50" s="83"/>
    </row>
    <row r="51" spans="1:1" ht="19.95" customHeight="1" x14ac:dyDescent="0.3">
      <c r="A51" s="83"/>
    </row>
    <row r="52" spans="1:1" ht="19.95" customHeight="1" x14ac:dyDescent="0.3">
      <c r="A52" s="83"/>
    </row>
    <row r="53" spans="1:1" ht="19.95" customHeight="1" x14ac:dyDescent="0.3">
      <c r="A53" s="83"/>
    </row>
    <row r="54" spans="1:1" x14ac:dyDescent="0.3">
      <c r="A54" s="83"/>
    </row>
    <row r="55" spans="1:1" ht="25.95" customHeight="1" x14ac:dyDescent="0.3">
      <c r="A55" s="83"/>
    </row>
    <row r="56" spans="1:1" ht="30" customHeight="1" x14ac:dyDescent="0.3">
      <c r="A56" s="83"/>
    </row>
    <row r="57" spans="1:1" ht="19.95" customHeight="1" x14ac:dyDescent="0.3">
      <c r="A57" s="83"/>
    </row>
    <row r="58" spans="1:1" ht="19.95" customHeight="1" x14ac:dyDescent="0.3">
      <c r="A58" s="83"/>
    </row>
    <row r="59" spans="1:1" ht="19.95" customHeight="1" x14ac:dyDescent="0.3">
      <c r="A59" s="83"/>
    </row>
    <row r="60" spans="1:1" ht="19.95" customHeight="1" x14ac:dyDescent="0.3">
      <c r="A60" s="83"/>
    </row>
    <row r="61" spans="1:1" ht="19.95" customHeight="1" x14ac:dyDescent="0.3">
      <c r="A61" s="83"/>
    </row>
    <row r="62" spans="1:1" ht="19.95" customHeight="1" x14ac:dyDescent="0.3">
      <c r="A62" s="83"/>
    </row>
    <row r="63" spans="1:1" ht="19.95" customHeight="1" x14ac:dyDescent="0.3">
      <c r="A63" s="83"/>
    </row>
    <row r="64" spans="1:1" ht="19.95" customHeight="1" x14ac:dyDescent="0.3">
      <c r="A64" s="83"/>
    </row>
    <row r="65" spans="1:1" x14ac:dyDescent="0.3">
      <c r="A65" s="83"/>
    </row>
    <row r="66" spans="1:1" ht="25.95" customHeight="1" x14ac:dyDescent="0.3">
      <c r="A66" s="83"/>
    </row>
    <row r="67" spans="1:1" ht="30" customHeight="1" x14ac:dyDescent="0.3">
      <c r="A67" s="83"/>
    </row>
    <row r="68" spans="1:1" ht="19.95" customHeight="1" x14ac:dyDescent="0.3">
      <c r="A68" s="83"/>
    </row>
    <row r="69" spans="1:1" x14ac:dyDescent="0.3">
      <c r="A69" s="83"/>
    </row>
    <row r="70" spans="1:1" x14ac:dyDescent="0.3">
      <c r="A70" s="83"/>
    </row>
    <row r="71" spans="1:1" x14ac:dyDescent="0.3">
      <c r="A71" s="83"/>
    </row>
    <row r="72" spans="1:1" x14ac:dyDescent="0.3">
      <c r="A72" s="83"/>
    </row>
    <row r="73" spans="1:1" x14ac:dyDescent="0.3">
      <c r="A73" s="83"/>
    </row>
    <row r="74" spans="1:1" x14ac:dyDescent="0.3">
      <c r="A74" s="83"/>
    </row>
    <row r="75" spans="1:1" x14ac:dyDescent="0.3">
      <c r="A75" s="83"/>
    </row>
    <row r="76" spans="1:1" x14ac:dyDescent="0.3">
      <c r="A76" s="83"/>
    </row>
    <row r="77" spans="1:1" x14ac:dyDescent="0.3">
      <c r="A77" s="83"/>
    </row>
    <row r="78" spans="1:1" x14ac:dyDescent="0.3">
      <c r="A78" s="83"/>
    </row>
    <row r="79" spans="1:1" x14ac:dyDescent="0.3">
      <c r="A79" s="83"/>
    </row>
    <row r="80" spans="1:1" x14ac:dyDescent="0.3">
      <c r="A80" s="83"/>
    </row>
    <row r="81" spans="1:1" x14ac:dyDescent="0.3">
      <c r="A81" s="83"/>
    </row>
    <row r="82" spans="1:1" x14ac:dyDescent="0.3">
      <c r="A82" s="83"/>
    </row>
    <row r="83" spans="1:1" x14ac:dyDescent="0.3">
      <c r="A83" s="83"/>
    </row>
    <row r="84" spans="1:1" x14ac:dyDescent="0.3">
      <c r="A84" s="83"/>
    </row>
    <row r="85" spans="1:1" x14ac:dyDescent="0.3">
      <c r="A85" s="83"/>
    </row>
    <row r="86" spans="1:1" x14ac:dyDescent="0.3">
      <c r="A86" s="83"/>
    </row>
    <row r="87" spans="1:1" x14ac:dyDescent="0.3">
      <c r="A87" s="83"/>
    </row>
    <row r="88" spans="1:1" x14ac:dyDescent="0.3">
      <c r="A88" s="83"/>
    </row>
    <row r="89" spans="1:1" x14ac:dyDescent="0.3">
      <c r="A89" s="83"/>
    </row>
    <row r="90" spans="1:1" x14ac:dyDescent="0.3">
      <c r="A90" s="83"/>
    </row>
    <row r="91" spans="1:1" x14ac:dyDescent="0.3">
      <c r="A91" s="83"/>
    </row>
    <row r="92" spans="1:1" ht="19.95" customHeight="1" x14ac:dyDescent="0.3">
      <c r="A92" s="83"/>
    </row>
    <row r="93" spans="1:1" ht="19.95" customHeight="1" x14ac:dyDescent="0.3">
      <c r="A93" s="83"/>
    </row>
    <row r="94" spans="1:1" ht="19.95" customHeight="1" x14ac:dyDescent="0.3">
      <c r="A94" s="83"/>
    </row>
    <row r="95" spans="1:1" ht="19.95" customHeight="1" x14ac:dyDescent="0.3">
      <c r="A95" s="83"/>
    </row>
    <row r="96" spans="1:1" ht="19.95" customHeight="1" x14ac:dyDescent="0.3">
      <c r="A96" s="83"/>
    </row>
    <row r="97" spans="1:18" ht="19.95" customHeight="1" x14ac:dyDescent="0.3">
      <c r="A97" s="83"/>
    </row>
    <row r="98" spans="1:18" x14ac:dyDescent="0.3">
      <c r="A98" s="83"/>
    </row>
    <row r="99" spans="1:18" x14ac:dyDescent="0.3">
      <c r="A99" s="83"/>
    </row>
    <row r="100" spans="1:18" x14ac:dyDescent="0.3">
      <c r="A100" s="83"/>
    </row>
    <row r="101" spans="1:18" x14ac:dyDescent="0.3">
      <c r="A101" s="83"/>
    </row>
    <row r="102" spans="1:18" x14ac:dyDescent="0.3">
      <c r="A102" s="83"/>
    </row>
    <row r="103" spans="1:18" x14ac:dyDescent="0.3">
      <c r="A103" s="83"/>
    </row>
    <row r="104" spans="1:18" x14ac:dyDescent="0.3">
      <c r="A104" s="83"/>
    </row>
    <row r="105" spans="1:18" x14ac:dyDescent="0.3">
      <c r="A105" s="83"/>
    </row>
    <row r="106" spans="1:18" x14ac:dyDescent="0.3">
      <c r="A106" s="83"/>
    </row>
    <row r="107" spans="1:18" x14ac:dyDescent="0.3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</row>
    <row r="108" spans="1:18" x14ac:dyDescent="0.3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</row>
    <row r="109" spans="1:18" x14ac:dyDescent="0.3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</row>
    <row r="110" spans="1:18" x14ac:dyDescent="0.3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</row>
    <row r="111" spans="1:18" x14ac:dyDescent="0.3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</row>
    <row r="112" spans="1:18" x14ac:dyDescent="0.3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</row>
    <row r="113" spans="1:18" x14ac:dyDescent="0.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</row>
    <row r="114" spans="1:18" x14ac:dyDescent="0.3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</row>
    <row r="115" spans="1:18" x14ac:dyDescent="0.3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</row>
    <row r="116" spans="1:18" x14ac:dyDescent="0.3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</row>
    <row r="117" spans="1:18" x14ac:dyDescent="0.3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</row>
    <row r="118" spans="1:18" x14ac:dyDescent="0.3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</row>
    <row r="119" spans="1:18" x14ac:dyDescent="0.3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</row>
    <row r="120" spans="1:18" x14ac:dyDescent="0.3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</row>
    <row r="121" spans="1:18" x14ac:dyDescent="0.3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</row>
    <row r="122" spans="1:18" x14ac:dyDescent="0.3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</row>
    <row r="123" spans="1:18" x14ac:dyDescent="0.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</row>
    <row r="124" spans="1:18" x14ac:dyDescent="0.3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</row>
    <row r="125" spans="1:18" x14ac:dyDescent="0.3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</row>
    <row r="126" spans="1:18" x14ac:dyDescent="0.3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</row>
    <row r="127" spans="1:18" x14ac:dyDescent="0.3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</row>
    <row r="128" spans="1:18" x14ac:dyDescent="0.3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</row>
    <row r="129" spans="1:18" x14ac:dyDescent="0.3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</row>
    <row r="130" spans="1:18" x14ac:dyDescent="0.3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</row>
    <row r="131" spans="1:18" x14ac:dyDescent="0.3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</row>
    <row r="132" spans="1:18" x14ac:dyDescent="0.3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</row>
    <row r="133" spans="1:18" x14ac:dyDescent="0.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</row>
    <row r="134" spans="1:18" x14ac:dyDescent="0.3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</row>
    <row r="135" spans="1:18" x14ac:dyDescent="0.3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</row>
    <row r="136" spans="1:18" x14ac:dyDescent="0.3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</row>
    <row r="137" spans="1:18" x14ac:dyDescent="0.3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</row>
    <row r="138" spans="1:18" x14ac:dyDescent="0.3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</row>
    <row r="139" spans="1:18" x14ac:dyDescent="0.3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</row>
    <row r="140" spans="1:18" x14ac:dyDescent="0.3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</row>
    <row r="141" spans="1:18" x14ac:dyDescent="0.3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</row>
    <row r="142" spans="1:18" x14ac:dyDescent="0.3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</row>
    <row r="143" spans="1:18" x14ac:dyDescent="0.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</row>
    <row r="144" spans="1:18" x14ac:dyDescent="0.3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</row>
    <row r="145" spans="1:18" x14ac:dyDescent="0.3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</row>
    <row r="146" spans="1:18" x14ac:dyDescent="0.3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</row>
    <row r="147" spans="1:18" x14ac:dyDescent="0.3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</row>
    <row r="148" spans="1:18" x14ac:dyDescent="0.3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</row>
    <row r="149" spans="1:18" x14ac:dyDescent="0.3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</row>
    <row r="150" spans="1:18" x14ac:dyDescent="0.3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</row>
    <row r="151" spans="1:18" x14ac:dyDescent="0.3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</row>
    <row r="152" spans="1:18" x14ac:dyDescent="0.3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</row>
    <row r="153" spans="1:18" x14ac:dyDescent="0.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</row>
    <row r="154" spans="1:18" x14ac:dyDescent="0.3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</row>
    <row r="155" spans="1:18" x14ac:dyDescent="0.3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</row>
    <row r="156" spans="1:18" x14ac:dyDescent="0.3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</row>
    <row r="157" spans="1:18" x14ac:dyDescent="0.3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</row>
    <row r="158" spans="1:18" x14ac:dyDescent="0.3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</row>
    <row r="159" spans="1:18" x14ac:dyDescent="0.3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</row>
    <row r="160" spans="1:18" x14ac:dyDescent="0.3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</row>
    <row r="161" spans="1:18" x14ac:dyDescent="0.3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</row>
    <row r="162" spans="1:18" x14ac:dyDescent="0.3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</row>
    <row r="163" spans="1:18" x14ac:dyDescent="0.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</row>
    <row r="164" spans="1:18" x14ac:dyDescent="0.3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</row>
    <row r="165" spans="1:18" x14ac:dyDescent="0.3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</row>
    <row r="166" spans="1:18" x14ac:dyDescent="0.3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</row>
    <row r="167" spans="1:18" x14ac:dyDescent="0.3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</row>
    <row r="168" spans="1:18" x14ac:dyDescent="0.3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</row>
    <row r="169" spans="1:18" x14ac:dyDescent="0.3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</row>
    <row r="170" spans="1:18" x14ac:dyDescent="0.3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</row>
    <row r="171" spans="1:18" x14ac:dyDescent="0.3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</row>
    <row r="172" spans="1:18" x14ac:dyDescent="0.3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</row>
    <row r="173" spans="1:18" x14ac:dyDescent="0.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</row>
    <row r="174" spans="1:18" x14ac:dyDescent="0.3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</row>
    <row r="175" spans="1:18" x14ac:dyDescent="0.3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</row>
    <row r="176" spans="1:18" x14ac:dyDescent="0.3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</row>
    <row r="177" spans="1:18" x14ac:dyDescent="0.3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</row>
    <row r="178" spans="1:18" x14ac:dyDescent="0.3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</row>
    <row r="179" spans="1:18" x14ac:dyDescent="0.3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</row>
    <row r="180" spans="1:18" x14ac:dyDescent="0.3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</row>
    <row r="181" spans="1:18" x14ac:dyDescent="0.3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</row>
    <row r="182" spans="1:18" x14ac:dyDescent="0.3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</row>
    <row r="183" spans="1:18" x14ac:dyDescent="0.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</row>
    <row r="184" spans="1:18" x14ac:dyDescent="0.3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</row>
    <row r="185" spans="1:18" x14ac:dyDescent="0.3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</row>
    <row r="186" spans="1:18" x14ac:dyDescent="0.3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</row>
    <row r="187" spans="1:18" x14ac:dyDescent="0.3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</row>
    <row r="188" spans="1:18" x14ac:dyDescent="0.3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</row>
    <row r="189" spans="1:18" x14ac:dyDescent="0.3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</row>
    <row r="190" spans="1:18" x14ac:dyDescent="0.3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</row>
    <row r="191" spans="1:18" x14ac:dyDescent="0.3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</row>
    <row r="192" spans="1:18" x14ac:dyDescent="0.3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</row>
    <row r="193" spans="1:18" x14ac:dyDescent="0.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</row>
    <row r="194" spans="1:18" x14ac:dyDescent="0.3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</row>
    <row r="195" spans="1:18" x14ac:dyDescent="0.3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</row>
    <row r="196" spans="1:18" x14ac:dyDescent="0.3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</row>
    <row r="197" spans="1:18" x14ac:dyDescent="0.3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</row>
    <row r="198" spans="1:18" x14ac:dyDescent="0.3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</row>
    <row r="199" spans="1:18" x14ac:dyDescent="0.3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</row>
    <row r="200" spans="1:18" x14ac:dyDescent="0.3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</row>
    <row r="201" spans="1:18" x14ac:dyDescent="0.3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</row>
    <row r="202" spans="1:18" x14ac:dyDescent="0.3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</row>
    <row r="203" spans="1:18" x14ac:dyDescent="0.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</row>
    <row r="204" spans="1:18" x14ac:dyDescent="0.3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</row>
    <row r="205" spans="1:18" x14ac:dyDescent="0.3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</row>
    <row r="206" spans="1:18" x14ac:dyDescent="0.3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</row>
    <row r="207" spans="1:18" x14ac:dyDescent="0.3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</row>
    <row r="208" spans="1:18" x14ac:dyDescent="0.3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</row>
    <row r="209" spans="1:18" x14ac:dyDescent="0.3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</row>
    <row r="210" spans="1:18" x14ac:dyDescent="0.3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</row>
    <row r="211" spans="1:18" x14ac:dyDescent="0.3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</row>
    <row r="212" spans="1:18" x14ac:dyDescent="0.3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</row>
    <row r="213" spans="1:18" x14ac:dyDescent="0.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</row>
    <row r="214" spans="1:18" x14ac:dyDescent="0.3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</row>
    <row r="215" spans="1:18" x14ac:dyDescent="0.3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</row>
    <row r="216" spans="1:18" x14ac:dyDescent="0.3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</row>
    <row r="217" spans="1:18" x14ac:dyDescent="0.3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</row>
    <row r="218" spans="1:18" x14ac:dyDescent="0.3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</row>
    <row r="219" spans="1:18" x14ac:dyDescent="0.3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</row>
    <row r="220" spans="1:18" x14ac:dyDescent="0.3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</row>
    <row r="221" spans="1:18" x14ac:dyDescent="0.3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</row>
    <row r="222" spans="1:18" x14ac:dyDescent="0.3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</row>
    <row r="223" spans="1:18" x14ac:dyDescent="0.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</row>
    <row r="224" spans="1:18" x14ac:dyDescent="0.3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</row>
    <row r="225" spans="1:18" x14ac:dyDescent="0.3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</row>
    <row r="226" spans="1:18" x14ac:dyDescent="0.3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</row>
    <row r="227" spans="1:18" x14ac:dyDescent="0.3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</row>
    <row r="228" spans="1:18" x14ac:dyDescent="0.3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</row>
    <row r="229" spans="1:18" x14ac:dyDescent="0.3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</row>
    <row r="230" spans="1:18" x14ac:dyDescent="0.3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</row>
    <row r="231" spans="1:18" x14ac:dyDescent="0.3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</row>
    <row r="232" spans="1:18" x14ac:dyDescent="0.3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</row>
  </sheetData>
  <mergeCells count="49">
    <mergeCell ref="D10:N10"/>
    <mergeCell ref="B15:B16"/>
    <mergeCell ref="B11:O11"/>
    <mergeCell ref="M15:N15"/>
    <mergeCell ref="B5:C5"/>
    <mergeCell ref="B6:C6"/>
    <mergeCell ref="B7:C7"/>
    <mergeCell ref="D6:E6"/>
    <mergeCell ref="D7:E7"/>
    <mergeCell ref="B8:O9"/>
    <mergeCell ref="J7:K7"/>
    <mergeCell ref="L7:M7"/>
    <mergeCell ref="N7:O7"/>
    <mergeCell ref="H7:I7"/>
    <mergeCell ref="F7:G7"/>
    <mergeCell ref="B14:O14"/>
    <mergeCell ref="G16:H16"/>
    <mergeCell ref="J15:K15"/>
    <mergeCell ref="J16:K16"/>
    <mergeCell ref="M16:N16"/>
    <mergeCell ref="D15:E15"/>
    <mergeCell ref="D13:E13"/>
    <mergeCell ref="D5:E5"/>
    <mergeCell ref="M13:N13"/>
    <mergeCell ref="B23:O24"/>
    <mergeCell ref="M20:N22"/>
    <mergeCell ref="B12:B13"/>
    <mergeCell ref="F6:G6"/>
    <mergeCell ref="B17:O18"/>
    <mergeCell ref="D12:E12"/>
    <mergeCell ref="G13:H13"/>
    <mergeCell ref="G12:H12"/>
    <mergeCell ref="J12:K12"/>
    <mergeCell ref="J13:K13"/>
    <mergeCell ref="M12:N12"/>
    <mergeCell ref="D16:E16"/>
    <mergeCell ref="G15:H15"/>
    <mergeCell ref="B2:O2"/>
    <mergeCell ref="B3:O3"/>
    <mergeCell ref="B4:O4"/>
    <mergeCell ref="N5:O5"/>
    <mergeCell ref="N6:O6"/>
    <mergeCell ref="L5:M5"/>
    <mergeCell ref="L6:M6"/>
    <mergeCell ref="J5:K5"/>
    <mergeCell ref="J6:K6"/>
    <mergeCell ref="H5:I5"/>
    <mergeCell ref="H6:I6"/>
    <mergeCell ref="F5:G5"/>
  </mergeCells>
  <hyperlinks>
    <hyperlink ref="D5" location="'REGIÃO 11 - HISTÓRICO'!C4" tooltip="Ir para REGIÃO 11 - HISTÓRICO" display="Região 11" xr:uid="{331C935E-F4EB-4952-98A3-6FAE61C84391}"/>
    <hyperlink ref="D6" location="'REGIÃO 11 - RESUMO'!B3" tooltip="Ir para REGIÃO 11 - RESUMO" display="Região 11" xr:uid="{8B9A73E1-6860-4146-B331-C7B66FA426E9}"/>
    <hyperlink ref="F5" location="'REGIÃO 12 - HISTÓRICO'!C4" tooltip="Ir para REGIÃO 12 - HISTÓRICO" display="Região 12" xr:uid="{6F8D65AB-7FFB-4D4B-81C1-EDCE5C5A0B4A}"/>
    <hyperlink ref="F6" location="'REGIÃO 12 - RESUMO'!B3" tooltip="Ir para REGIÃO 12 - RESUMO" display="Região 12" xr:uid="{B8CF7171-137E-4707-B4B7-CBB7929BA399}"/>
    <hyperlink ref="H5" location="'REGIÃO 13 - HISTÓRICO'!C4" tooltip="Ir para REGIÃO 13 - HISTÓRICO" display="Região 13" xr:uid="{B8EB0E39-A883-441F-8632-59B7E8EE3F6D}"/>
    <hyperlink ref="H6" location="'REGIÃO 13 - RESUMO'!B3" tooltip="Ir para REGIÃO 13 - RESUMO" display="Região 13" xr:uid="{FCC3CA0D-7103-40EE-9680-C0A7E0F393C7}"/>
    <hyperlink ref="J5" location="'REGIÃO 22 - HISTÓRICO'!C4" tooltip="Ir para REGIÃO 22 - HISTÓRICO" display="Região 22" xr:uid="{35F8A25D-11DE-4200-A3B2-B40594EC338E}"/>
    <hyperlink ref="J6" location="'REGIÃO 22 - RESUMO'!B3" tooltip="Ir para REGIÃO 22 - RESUMO" display="Região 22" xr:uid="{1099F41A-42B4-4BBA-BAAA-E7A1E4259EFC}"/>
    <hyperlink ref="L5" location="'REGIÃO 23 - HISTÓRICO'!C4" tooltip="Ir para REGIÃO 23 - HISTÓRICO" display="Região 23" xr:uid="{7732B116-4E4D-4819-9045-F4836768B743}"/>
    <hyperlink ref="L6" location="'REGIÃO 23 - RESUMO'!B3" tooltip="Ir para REGIÃO 23 - RESUMO" display="Região 23" xr:uid="{42CCD0D4-4AA1-4192-919A-BA443EC3D7EF}"/>
    <hyperlink ref="N5" location="'REGIÃO 24 - HISTÓRICO'!C4" tooltip="Ir para REGIÃO 24 - HISTÓRICO" display="Região 24" xr:uid="{7869C7A7-D6E3-4B00-AED7-306A26592250}"/>
    <hyperlink ref="N6" location="'REGIÃO 24 - RESUMO'!B3" tooltip="Ir para REGIÃO 24 - RESUMO" display="Região 24" xr:uid="{74AEF38D-D2D2-4C30-8493-58884EF7B935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Filtro de Região" error="Escolha uma opção da lista." xr:uid="{4ECABC70-0186-4763-A365-CD3707B46BD8}">
          <x14:formula1>
            <xm:f>'Tabelas Auxiliares'!$O$4:$O$10</xm:f>
          </x14:formula1>
          <xm:sqref>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8349-E26E-463D-8E85-708AF7C683E2}">
  <sheetPr codeName="Planilha1"/>
  <dimension ref="B1:W228"/>
  <sheetViews>
    <sheetView tabSelected="1" topLeftCell="A31" zoomScale="55" zoomScaleNormal="55" workbookViewId="0">
      <selection activeCell="I6" sqref="I6"/>
    </sheetView>
  </sheetViews>
  <sheetFormatPr defaultRowHeight="15.6" outlineLevelCol="1" x14ac:dyDescent="0.3"/>
  <cols>
    <col min="2" max="2" width="8.69921875" customWidth="1"/>
    <col min="3" max="16" width="20.69921875" customWidth="1"/>
    <col min="17" max="17" width="8.69921875" customWidth="1"/>
    <col min="18" max="23" width="8.796875" customWidth="1" outlineLevel="1"/>
    <col min="26" max="26" width="13.09765625" customWidth="1"/>
  </cols>
  <sheetData>
    <row r="1" spans="2:17" ht="16.2" thickBot="1" x14ac:dyDescent="0.35"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2:17" ht="126.6" customHeight="1" thickBot="1" x14ac:dyDescent="0.35">
      <c r="B2" s="225" t="s">
        <v>193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7"/>
    </row>
    <row r="3" spans="2:17" ht="36" customHeight="1" thickBot="1" x14ac:dyDescent="0.35">
      <c r="B3" s="279" t="str">
        <f ca="1">"Regiões 11, 12, 13, 22, 23 e 24   |   "&amp;COUNTIF('BASE DASHBOARD'!$B$4:$B$217,"?*")&amp;" OSPs cadastradas   |   Atualizado em "&amp;TEXT(TODAY(),"dd/mm/aaaa")</f>
        <v>Regiões 11, 12, 13, 22, 23 e 24   |   199 OSPs cadastradas   |   Atualizado em 30/09/2026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1"/>
    </row>
    <row r="4" spans="2:17" ht="29.4" customHeight="1" x14ac:dyDescent="0.3">
      <c r="B4" s="291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3"/>
    </row>
    <row r="5" spans="2:17" ht="29.4" customHeight="1" thickBot="1" x14ac:dyDescent="0.35">
      <c r="B5" s="231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3"/>
    </row>
    <row r="6" spans="2:17" ht="60" customHeight="1" thickBot="1" x14ac:dyDescent="0.35">
      <c r="B6" s="103"/>
      <c r="C6" s="294" t="s">
        <v>151</v>
      </c>
      <c r="D6" s="295"/>
      <c r="E6" s="295"/>
      <c r="F6" s="295"/>
      <c r="G6" s="296"/>
      <c r="H6" s="104"/>
      <c r="I6" s="104"/>
      <c r="J6" s="282" t="s">
        <v>150</v>
      </c>
      <c r="K6" s="283"/>
      <c r="L6" s="283"/>
      <c r="M6" s="283"/>
      <c r="N6" s="283"/>
      <c r="O6" s="283"/>
      <c r="P6" s="284"/>
      <c r="Q6" s="105"/>
    </row>
    <row r="7" spans="2:17" ht="42" customHeight="1" x14ac:dyDescent="0.3">
      <c r="B7" s="103"/>
      <c r="C7" s="112" t="s">
        <v>6</v>
      </c>
      <c r="D7" s="132" t="s">
        <v>136</v>
      </c>
      <c r="E7" s="132" t="s">
        <v>4</v>
      </c>
      <c r="F7" s="132" t="s">
        <v>1</v>
      </c>
      <c r="G7" s="133" t="s">
        <v>137</v>
      </c>
      <c r="H7" s="104"/>
      <c r="I7" s="104"/>
      <c r="J7" s="285" t="s">
        <v>9</v>
      </c>
      <c r="K7" s="286"/>
      <c r="L7" s="287"/>
      <c r="M7" s="132" t="s">
        <v>136</v>
      </c>
      <c r="N7" s="132" t="s">
        <v>112</v>
      </c>
      <c r="O7" s="132" t="s">
        <v>1</v>
      </c>
      <c r="P7" s="133" t="s">
        <v>137</v>
      </c>
      <c r="Q7" s="105"/>
    </row>
    <row r="8" spans="2:17" ht="24" customHeight="1" x14ac:dyDescent="0.3">
      <c r="B8" s="103"/>
      <c r="C8" s="123" t="str">
        <f>IFERROR(INDEX('BASE DASHBOARD'!$AG$4:$AG$217,MATCH($D8,'BASE DASHBOARD'!$AJ$4:$AJ$217,0)),"")</f>
        <v>009.2025.0102</v>
      </c>
      <c r="D8" s="115">
        <f t="shared" ref="D8:D17" si="0">ROW()-7</f>
        <v>1</v>
      </c>
      <c r="E8" s="116" t="str">
        <f>IF($C8="","",IFERROR(INDEX('BASE DASHBOARD'!$AF$4:$AF$217,MATCH($D8,'BASE DASHBOARD'!$AJ$4:$AJ$217,0)),""))</f>
        <v>R12</v>
      </c>
      <c r="F8" s="125">
        <f>IF($C8="","",IFERROR(INDEX('BASE DASHBOARD'!$AH$4:$AH$217,MATCH($D8,'BASE DASHBOARD'!$AJ$4:$AJ$217,0)),0))</f>
        <v>1847366.52</v>
      </c>
      <c r="G8" s="117">
        <f>IF($C8="","",IFERROR($F8/DASHBOARD!$G$13,0))</f>
        <v>0.18673609125654317</v>
      </c>
      <c r="H8" s="104"/>
      <c r="I8" s="104"/>
      <c r="J8" s="288" t="str">
        <f>IFERROR(INDEX('BASE DASHBOARD'!$Z$4:$Z$217,MATCH($M8,'BASE DASHBOARD'!$AD$4:$AD$217,0)),"")</f>
        <v>Terraplenagem / Reconformação da plataforma / Recomposição do revestimento primário</v>
      </c>
      <c r="K8" s="289"/>
      <c r="L8" s="290"/>
      <c r="M8" s="115">
        <f t="shared" ref="M8:M17" si="1">ROW()-7</f>
        <v>1</v>
      </c>
      <c r="N8" s="115">
        <f>IF($J8="","",IFERROR(INDEX('BASE DASHBOARD'!$AA$4:$AA$217,MATCH($M8,'BASE DASHBOARD'!$AD$4:$AD$217,0)),0))</f>
        <v>11</v>
      </c>
      <c r="O8" s="125">
        <f>IF($J8="","",IFERROR(INDEX('BASE DASHBOARD'!$AB$4:$AB$217,MATCH($M8,'BASE DASHBOARD'!$AD$4:$AD$217,0)),0))</f>
        <v>6332107.4800000004</v>
      </c>
      <c r="P8" s="117">
        <f>IF($J8="","",IFERROR($O8/DASHBOARD!$G$13,0))</f>
        <v>0.64006410608303088</v>
      </c>
      <c r="Q8" s="105"/>
    </row>
    <row r="9" spans="2:17" ht="24" customHeight="1" x14ac:dyDescent="0.3">
      <c r="B9" s="103"/>
      <c r="C9" s="127" t="str">
        <f>IFERROR(INDEX('BASE DASHBOARD'!$AG$4:$AG$217,MATCH($D9,'BASE DASHBOARD'!$AJ$4:$AJ$217,0)),"")</f>
        <v>009.2025.0085</v>
      </c>
      <c r="D9" s="128">
        <f t="shared" si="0"/>
        <v>2</v>
      </c>
      <c r="E9" s="129" t="str">
        <f>IF($C9="","",IFERROR(INDEX('BASE DASHBOARD'!$AF$4:$AF$217,MATCH($D9,'BASE DASHBOARD'!$AJ$4:$AJ$217,0)),""))</f>
        <v>R12</v>
      </c>
      <c r="F9" s="130">
        <f>IF($C9="","",IFERROR(INDEX('BASE DASHBOARD'!$AH$4:$AH$217,MATCH($D9,'BASE DASHBOARD'!$AJ$4:$AJ$217,0)),0))</f>
        <v>1159513.57</v>
      </c>
      <c r="G9" s="131">
        <f>IF($C9="","",IFERROR($F9/DASHBOARD!$G$13,0))</f>
        <v>0.11720632017338939</v>
      </c>
      <c r="H9" s="104"/>
      <c r="I9" s="104"/>
      <c r="J9" s="273" t="str">
        <f>IFERROR(INDEX('BASE DASHBOARD'!$Z$4:$Z$217,MATCH($M9,'BASE DASHBOARD'!$AD$4:$AD$217,0)),"")</f>
        <v>Roçada / Tapa-Buraco PMF / Remendo profundo</v>
      </c>
      <c r="K9" s="274"/>
      <c r="L9" s="275"/>
      <c r="M9" s="128">
        <f t="shared" si="1"/>
        <v>2</v>
      </c>
      <c r="N9" s="128">
        <f>IF($J9="","",IFERROR(INDEX('BASE DASHBOARD'!$AA$4:$AA$217,MATCH($M9,'BASE DASHBOARD'!$AD$4:$AD$217,0)),0))</f>
        <v>3</v>
      </c>
      <c r="O9" s="130">
        <f>IF($J9="","",IFERROR(INDEX('BASE DASHBOARD'!$AB$4:$AB$217,MATCH($M9,'BASE DASHBOARD'!$AD$4:$AD$217,0)),0))</f>
        <v>590002.77</v>
      </c>
      <c r="P9" s="131">
        <f>IF($J9="","",IFERROR($O9/DASHBOARD!$G$13,0))</f>
        <v>5.9638848007450763E-2</v>
      </c>
      <c r="Q9" s="105"/>
    </row>
    <row r="10" spans="2:17" ht="24" customHeight="1" x14ac:dyDescent="0.3">
      <c r="B10" s="103"/>
      <c r="C10" s="124" t="str">
        <f>IFERROR(INDEX('BASE DASHBOARD'!$AG$4:$AG$217,MATCH($D10,'BASE DASHBOARD'!$AJ$4:$AJ$217,0)),"")</f>
        <v>009.2025.0097</v>
      </c>
      <c r="D10" s="118">
        <f t="shared" si="0"/>
        <v>3</v>
      </c>
      <c r="E10" s="119" t="str">
        <f>IF($C10="","",IFERROR(INDEX('BASE DASHBOARD'!$AF$4:$AF$217,MATCH($D10,'BASE DASHBOARD'!$AJ$4:$AJ$217,0)),""))</f>
        <v>R12</v>
      </c>
      <c r="F10" s="126">
        <f>IF($C10="","",IFERROR(INDEX('BASE DASHBOARD'!$AH$4:$AH$217,MATCH($D10,'BASE DASHBOARD'!$AJ$4:$AJ$217,0)),0))</f>
        <v>674926.63</v>
      </c>
      <c r="G10" s="122">
        <f>IF($C10="","",IFERROR($F10/DASHBOARD!$G$13,0))</f>
        <v>6.822314868581203E-2</v>
      </c>
      <c r="H10" s="104"/>
      <c r="I10" s="104"/>
      <c r="J10" s="270" t="str">
        <f>IFERROR(INDEX('BASE DASHBOARD'!$Z$4:$Z$217,MATCH($M10,'BASE DASHBOARD'!$AD$4:$AD$217,0)),"")</f>
        <v>Reconformação da plataforma</v>
      </c>
      <c r="K10" s="271"/>
      <c r="L10" s="272"/>
      <c r="M10" s="118">
        <f t="shared" si="1"/>
        <v>3</v>
      </c>
      <c r="N10" s="118">
        <f>IF($J10="","",IFERROR(INDEX('BASE DASHBOARD'!$AA$4:$AA$217,MATCH($M10,'BASE DASHBOARD'!$AD$4:$AD$217,0)),0))</f>
        <v>8</v>
      </c>
      <c r="O10" s="126">
        <f>IF($J10="","",IFERROR(INDEX('BASE DASHBOARD'!$AB$4:$AB$217,MATCH($M10,'BASE DASHBOARD'!$AD$4:$AD$217,0)),0))</f>
        <v>496783.32000000007</v>
      </c>
      <c r="P10" s="121">
        <f>IF($J10="","",IFERROR($O10/DASHBOARD!$G$13,0))</f>
        <v>5.0216009857236392E-2</v>
      </c>
      <c r="Q10" s="95"/>
    </row>
    <row r="11" spans="2:17" ht="24" customHeight="1" x14ac:dyDescent="0.3">
      <c r="B11" s="103"/>
      <c r="C11" s="127" t="str">
        <f>IFERROR(INDEX('BASE DASHBOARD'!$AG$4:$AG$217,MATCH($D11,'BASE DASHBOARD'!$AJ$4:$AJ$217,0)),"")</f>
        <v>009.2025.0084</v>
      </c>
      <c r="D11" s="128">
        <f t="shared" si="0"/>
        <v>4</v>
      </c>
      <c r="E11" s="129" t="str">
        <f>IF($C11="","",IFERROR(INDEX('BASE DASHBOARD'!$AF$4:$AF$217,MATCH($D11,'BASE DASHBOARD'!$AJ$4:$AJ$217,0)),""))</f>
        <v>R12</v>
      </c>
      <c r="F11" s="130">
        <f>IF($C11="","",IFERROR(INDEX('BASE DASHBOARD'!$AH$4:$AH$217,MATCH($D11,'BASE DASHBOARD'!$AJ$4:$AJ$217,0)),0))</f>
        <v>664951.82999999996</v>
      </c>
      <c r="G11" s="131">
        <f>IF($C11="","",IFERROR($F11/DASHBOARD!$G$13,0))</f>
        <v>6.7214872773641784E-2</v>
      </c>
      <c r="H11" s="104"/>
      <c r="I11" s="104"/>
      <c r="J11" s="273" t="str">
        <f>IFERROR(INDEX('BASE DASHBOARD'!$Z$4:$Z$217,MATCH($M11,'BASE DASHBOARD'!$AD$4:$AD$217,0)),"")</f>
        <v>Tapa-Buraco PMF</v>
      </c>
      <c r="K11" s="274"/>
      <c r="L11" s="275"/>
      <c r="M11" s="128">
        <f t="shared" si="1"/>
        <v>4</v>
      </c>
      <c r="N11" s="128">
        <f>IF($J11="","",IFERROR(INDEX('BASE DASHBOARD'!$AA$4:$AA$217,MATCH($M11,'BASE DASHBOARD'!$AD$4:$AD$217,0)),0))</f>
        <v>4</v>
      </c>
      <c r="O11" s="130">
        <f>IF($J11="","",IFERROR(INDEX('BASE DASHBOARD'!$AB$4:$AB$217,MATCH($M11,'BASE DASHBOARD'!$AD$4:$AD$217,0)),0))</f>
        <v>460405.57499999995</v>
      </c>
      <c r="P11" s="131">
        <f>IF($J11="","",IFERROR($O11/DASHBOARD!$G$13,0))</f>
        <v>4.6538863045012431E-2</v>
      </c>
      <c r="Q11" s="105"/>
    </row>
    <row r="12" spans="2:17" ht="24" customHeight="1" x14ac:dyDescent="0.3">
      <c r="B12" s="103"/>
      <c r="C12" s="124" t="str">
        <f>IFERROR(INDEX('BASE DASHBOARD'!$AG$4:$AG$217,MATCH($D12,'BASE DASHBOARD'!$AJ$4:$AJ$217,0)),"")</f>
        <v>009.2025.0076</v>
      </c>
      <c r="D12" s="118">
        <f t="shared" si="0"/>
        <v>5</v>
      </c>
      <c r="E12" s="119" t="str">
        <f>IF($C12="","",IFERROR(INDEX('BASE DASHBOARD'!$AF$4:$AF$217,MATCH($D12,'BASE DASHBOARD'!$AJ$4:$AJ$217,0)),""))</f>
        <v>R12</v>
      </c>
      <c r="F12" s="126">
        <f>IF($C12="","",IFERROR(INDEX('BASE DASHBOARD'!$AH$4:$AH$217,MATCH($D12,'BASE DASHBOARD'!$AJ$4:$AJ$217,0)),0))</f>
        <v>615457.46</v>
      </c>
      <c r="G12" s="121">
        <f>IF($C12="","",IFERROR($F12/DASHBOARD!$G$13,0))</f>
        <v>6.2211867093423481E-2</v>
      </c>
      <c r="H12" s="104"/>
      <c r="I12" s="104"/>
      <c r="J12" s="270" t="str">
        <f>IFERROR(INDEX('BASE DASHBOARD'!$Z$4:$Z$217,MATCH($M12,'BASE DASHBOARD'!$AD$4:$AD$217,0)),"")</f>
        <v>Reconformação da plataforma / Recomposição do revestimento primário</v>
      </c>
      <c r="K12" s="271"/>
      <c r="L12" s="272"/>
      <c r="M12" s="118">
        <f t="shared" si="1"/>
        <v>5</v>
      </c>
      <c r="N12" s="118">
        <f>IF($J12="","",IFERROR(INDEX('BASE DASHBOARD'!$AA$4:$AA$217,MATCH($M12,'BASE DASHBOARD'!$AD$4:$AD$217,0)),0))</f>
        <v>1</v>
      </c>
      <c r="O12" s="126">
        <f>IF($J12="","",IFERROR(INDEX('BASE DASHBOARD'!$AB$4:$AB$217,MATCH($M12,'BASE DASHBOARD'!$AD$4:$AD$217,0)),0))</f>
        <v>364826.92</v>
      </c>
      <c r="P12" s="121">
        <f>IF($J12="","",IFERROR($O12/DASHBOARD!$G$13,0))</f>
        <v>3.687755098320368E-2</v>
      </c>
      <c r="Q12" s="97"/>
    </row>
    <row r="13" spans="2:17" ht="24" customHeight="1" x14ac:dyDescent="0.3">
      <c r="B13" s="103"/>
      <c r="C13" s="127" t="str">
        <f>IFERROR(INDEX('BASE DASHBOARD'!$AG$4:$AG$217,MATCH($D13,'BASE DASHBOARD'!$AJ$4:$AJ$217,0)),"")</f>
        <v>009.2025.0083</v>
      </c>
      <c r="D13" s="128">
        <f t="shared" si="0"/>
        <v>6</v>
      </c>
      <c r="E13" s="129" t="str">
        <f>IF($C13="","",IFERROR(INDEX('BASE DASHBOARD'!$AF$4:$AF$217,MATCH($D13,'BASE DASHBOARD'!$AJ$4:$AJ$217,0)),""))</f>
        <v>R12</v>
      </c>
      <c r="F13" s="130">
        <f>IF($C13="","",IFERROR(INDEX('BASE DASHBOARD'!$AH$4:$AH$217,MATCH($D13,'BASE DASHBOARD'!$AJ$4:$AJ$217,0)),0))</f>
        <v>461352.19</v>
      </c>
      <c r="G13" s="131">
        <f>IF($C13="","",IFERROR($F13/DASHBOARD!$G$13,0))</f>
        <v>4.6634549084090815E-2</v>
      </c>
      <c r="H13" s="104"/>
      <c r="I13" s="104"/>
      <c r="J13" s="273" t="str">
        <f>IFERROR(INDEX('BASE DASHBOARD'!$Z$4:$Z$217,MATCH($M13,'BASE DASHBOARD'!$AD$4:$AD$217,0)),"")</f>
        <v>Tapa-Buraco CAE</v>
      </c>
      <c r="K13" s="274"/>
      <c r="L13" s="275"/>
      <c r="M13" s="128">
        <f t="shared" si="1"/>
        <v>6</v>
      </c>
      <c r="N13" s="128">
        <f>IF($J13="","",IFERROR(INDEX('BASE DASHBOARD'!$AA$4:$AA$217,MATCH($M13,'BASE DASHBOARD'!$AD$4:$AD$217,0)),0))</f>
        <v>3</v>
      </c>
      <c r="O13" s="130">
        <f>IF($J13="","",IFERROR(INDEX('BASE DASHBOARD'!$AB$4:$AB$217,MATCH($M13,'BASE DASHBOARD'!$AD$4:$AD$217,0)),0))</f>
        <v>343391.27</v>
      </c>
      <c r="P13" s="131">
        <f>IF($J13="","",IFERROR($O13/DASHBOARD!$G$13,0))</f>
        <v>3.4710785779218441E-2</v>
      </c>
      <c r="Q13" s="99"/>
    </row>
    <row r="14" spans="2:17" ht="24" customHeight="1" x14ac:dyDescent="0.3">
      <c r="B14" s="103"/>
      <c r="C14" s="124" t="str">
        <f>IFERROR(INDEX('BASE DASHBOARD'!$AG$4:$AG$217,MATCH($D14,'BASE DASHBOARD'!$AJ$4:$AJ$217,0)),"")</f>
        <v>009.2025.0086</v>
      </c>
      <c r="D14" s="118">
        <f t="shared" si="0"/>
        <v>7</v>
      </c>
      <c r="E14" s="119" t="str">
        <f>IF($C14="","",IFERROR(INDEX('BASE DASHBOARD'!$AF$4:$AF$217,MATCH($D14,'BASE DASHBOARD'!$AJ$4:$AJ$217,0)),""))</f>
        <v>R12</v>
      </c>
      <c r="F14" s="126">
        <f>IF($C14="","",IFERROR(INDEX('BASE DASHBOARD'!$AH$4:$AH$217,MATCH($D14,'BASE DASHBOARD'!$AJ$4:$AJ$217,0)),0))</f>
        <v>435739.41</v>
      </c>
      <c r="G14" s="121">
        <f>IF($C14="","",IFERROR($F14/DASHBOARD!$G$13,0))</f>
        <v>4.4045549894361123E-2</v>
      </c>
      <c r="H14" s="104"/>
      <c r="I14" s="104"/>
      <c r="J14" s="270" t="str">
        <f>IFERROR(INDEX('BASE DASHBOARD'!$Z$4:$Z$217,MATCH($M14,'BASE DASHBOARD'!$AD$4:$AD$217,0)),"")</f>
        <v>Tapa-Buraco CAE / Remendo Profundo</v>
      </c>
      <c r="K14" s="271"/>
      <c r="L14" s="272"/>
      <c r="M14" s="118">
        <f t="shared" si="1"/>
        <v>7</v>
      </c>
      <c r="N14" s="118">
        <f>IF($J14="","",IFERROR(INDEX('BASE DASHBOARD'!$AA$4:$AA$217,MATCH($M14,'BASE DASHBOARD'!$AD$4:$AD$217,0)),0))</f>
        <v>2</v>
      </c>
      <c r="O14" s="126">
        <f>IF($J14="","",IFERROR(INDEX('BASE DASHBOARD'!$AB$4:$AB$217,MATCH($M14,'BASE DASHBOARD'!$AD$4:$AD$217,0)),0))</f>
        <v>322053.46000000002</v>
      </c>
      <c r="P14" s="121">
        <f>IF($J14="","",IFERROR($O14/DASHBOARD!$G$13,0))</f>
        <v>3.2553910469290889E-2</v>
      </c>
      <c r="Q14" s="105"/>
    </row>
    <row r="15" spans="2:17" ht="24" customHeight="1" x14ac:dyDescent="0.3">
      <c r="B15" s="103"/>
      <c r="C15" s="127" t="str">
        <f>IFERROR(INDEX('BASE DASHBOARD'!$AG$4:$AG$217,MATCH($D15,'BASE DASHBOARD'!$AJ$4:$AJ$217,0)),"")</f>
        <v>009.2025.0068</v>
      </c>
      <c r="D15" s="128">
        <f t="shared" si="0"/>
        <v>8</v>
      </c>
      <c r="E15" s="129" t="str">
        <f>IF($C15="","",IFERROR(INDEX('BASE DASHBOARD'!$AF$4:$AF$217,MATCH($D15,'BASE DASHBOARD'!$AJ$4:$AJ$217,0)),""))</f>
        <v>R12</v>
      </c>
      <c r="F15" s="130">
        <f>IF($C15="","",IFERROR(INDEX('BASE DASHBOARD'!$AH$4:$AH$217,MATCH($D15,'BASE DASHBOARD'!$AJ$4:$AJ$217,0)),0))</f>
        <v>364826.92</v>
      </c>
      <c r="G15" s="131">
        <f>IF($C15="","",IFERROR($F15/DASHBOARD!$G$13,0))</f>
        <v>3.687755098320368E-2</v>
      </c>
      <c r="H15" s="104"/>
      <c r="I15" s="104"/>
      <c r="J15" s="273" t="str">
        <f>IFERROR(INDEX('BASE DASHBOARD'!$Z$4:$Z$217,MATCH($M15,'BASE DASHBOARD'!$AD$4:$AD$217,0)),"")</f>
        <v>Roçada / Tapa-Buraco CAE / Remendo Profundo</v>
      </c>
      <c r="K15" s="274"/>
      <c r="L15" s="275"/>
      <c r="M15" s="128">
        <f t="shared" si="1"/>
        <v>8</v>
      </c>
      <c r="N15" s="128">
        <f>IF($J15="","",IFERROR(INDEX('BASE DASHBOARD'!$AA$4:$AA$217,MATCH($M15,'BASE DASHBOARD'!$AD$4:$AD$217,0)),0))</f>
        <v>3</v>
      </c>
      <c r="O15" s="130">
        <f>IF($J15="","",IFERROR(INDEX('BASE DASHBOARD'!$AB$4:$AB$217,MATCH($M15,'BASE DASHBOARD'!$AD$4:$AD$217,0)),0))</f>
        <v>315965.76</v>
      </c>
      <c r="P15" s="131">
        <f>IF($J15="","",IFERROR($O15/DASHBOARD!$G$13,0))</f>
        <v>3.1938551637984113E-2</v>
      </c>
      <c r="Q15" s="97"/>
    </row>
    <row r="16" spans="2:17" ht="24" customHeight="1" x14ac:dyDescent="0.3">
      <c r="B16" s="103"/>
      <c r="C16" s="124" t="str">
        <f>IFERROR(INDEX('BASE DASHBOARD'!$AG$4:$AG$217,MATCH($D16,'BASE DASHBOARD'!$AJ$4:$AJ$217,0)),"")</f>
        <v>009.2025.0075</v>
      </c>
      <c r="D16" s="118">
        <f t="shared" si="0"/>
        <v>9</v>
      </c>
      <c r="E16" s="119" t="str">
        <f>IF($C16="","",IFERROR(INDEX('BASE DASHBOARD'!$AF$4:$AF$217,MATCH($D16,'BASE DASHBOARD'!$AJ$4:$AJ$217,0)),""))</f>
        <v>R12</v>
      </c>
      <c r="F16" s="126">
        <f>IF($C16="","",IFERROR(INDEX('BASE DASHBOARD'!$AH$4:$AH$217,MATCH($D16,'BASE DASHBOARD'!$AJ$4:$AJ$217,0)),0))</f>
        <v>295343.5</v>
      </c>
      <c r="G16" s="121">
        <f>IF($C16="","",IFERROR($F16/DASHBOARD!$G$13,0))</f>
        <v>2.9854005781173761E-2</v>
      </c>
      <c r="H16" s="104"/>
      <c r="I16" s="104"/>
      <c r="J16" s="270" t="str">
        <f>IFERROR(INDEX('BASE DASHBOARD'!$Z$4:$Z$217,MATCH($M16,'BASE DASHBOARD'!$AD$4:$AD$217,0)),"")</f>
        <v>Roçada</v>
      </c>
      <c r="K16" s="271"/>
      <c r="L16" s="272"/>
      <c r="M16" s="118">
        <f t="shared" si="1"/>
        <v>9</v>
      </c>
      <c r="N16" s="118">
        <f>IF($J16="","",IFERROR(INDEX('BASE DASHBOARD'!$AA$4:$AA$217,MATCH($M16,'BASE DASHBOARD'!$AD$4:$AD$217,0)),0))</f>
        <v>11</v>
      </c>
      <c r="O16" s="126">
        <f>IF($J16="","",IFERROR(INDEX('BASE DASHBOARD'!$AB$4:$AB$217,MATCH($M16,'BASE DASHBOARD'!$AD$4:$AD$217,0)),0))</f>
        <v>208416.53000000003</v>
      </c>
      <c r="P16" s="121">
        <f>IF($J16="","",IFERROR($O16/DASHBOARD!$G$13,0))</f>
        <v>2.1067226099481369E-2</v>
      </c>
      <c r="Q16" s="99"/>
    </row>
    <row r="17" spans="2:17" ht="24" customHeight="1" thickBot="1" x14ac:dyDescent="0.35">
      <c r="B17" s="103"/>
      <c r="C17" s="134" t="str">
        <f>IFERROR(INDEX('BASE DASHBOARD'!$AG$4:$AG$217,MATCH($D17,'BASE DASHBOARD'!$AJ$4:$AJ$217,0)),"")</f>
        <v>009.2025.0081</v>
      </c>
      <c r="D17" s="135">
        <f t="shared" si="0"/>
        <v>10</v>
      </c>
      <c r="E17" s="136" t="str">
        <f>IF($C17="","",IFERROR(INDEX('BASE DASHBOARD'!$AF$4:$AF$217,MATCH($D17,'BASE DASHBOARD'!$AJ$4:$AJ$217,0)),""))</f>
        <v>R12</v>
      </c>
      <c r="F17" s="137">
        <f>IF($C17="","",IFERROR(INDEX('BASE DASHBOARD'!$AH$4:$AH$217,MATCH($D17,'BASE DASHBOARD'!$AJ$4:$AJ$217,0)),0))</f>
        <v>284302.32</v>
      </c>
      <c r="G17" s="138">
        <f>IF($C17="","",IFERROR($F17/DASHBOARD!$G$13,0))</f>
        <v>2.8737937706030819E-2</v>
      </c>
      <c r="H17" s="104"/>
      <c r="I17" s="104"/>
      <c r="J17" s="276" t="str">
        <f>IFERROR(INDEX('BASE DASHBOARD'!$Z$4:$Z$217,MATCH($M17,'BASE DASHBOARD'!$AD$4:$AD$217,0)),"")</f>
        <v xml:space="preserve"> Roçada / Caiação de EDS e pontes</v>
      </c>
      <c r="K17" s="277"/>
      <c r="L17" s="278"/>
      <c r="M17" s="135">
        <f t="shared" si="1"/>
        <v>10</v>
      </c>
      <c r="N17" s="135">
        <f>IF($J17="","",IFERROR(INDEX('BASE DASHBOARD'!$AA$4:$AA$217,MATCH($M17,'BASE DASHBOARD'!$AD$4:$AD$217,0)),0))</f>
        <v>4</v>
      </c>
      <c r="O17" s="137">
        <f>IF($J17="","",IFERROR(INDEX('BASE DASHBOARD'!$AB$4:$AB$217,MATCH($M17,'BASE DASHBOARD'!$AD$4:$AD$217,0)),0))</f>
        <v>208338.05</v>
      </c>
      <c r="P17" s="138">
        <f>IF($J17="","",IFERROR($O17/DASHBOARD!$G$13,0))</f>
        <v>2.1059293159112924E-2</v>
      </c>
      <c r="Q17" s="105"/>
    </row>
    <row r="18" spans="2:17" x14ac:dyDescent="0.3">
      <c r="B18" s="231"/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3"/>
    </row>
    <row r="19" spans="2:17" x14ac:dyDescent="0.3">
      <c r="B19" s="231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3"/>
    </row>
    <row r="20" spans="2:17" x14ac:dyDescent="0.3">
      <c r="B20" s="231"/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3"/>
    </row>
    <row r="21" spans="2:17" x14ac:dyDescent="0.3">
      <c r="B21" s="231"/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3"/>
    </row>
    <row r="22" spans="2:17" x14ac:dyDescent="0.3">
      <c r="B22" s="231"/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3"/>
    </row>
    <row r="23" spans="2:17" ht="16.2" thickBot="1" x14ac:dyDescent="0.35">
      <c r="B23" s="231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3"/>
    </row>
    <row r="24" spans="2:17" ht="60" customHeight="1" thickBot="1" x14ac:dyDescent="0.35">
      <c r="B24" s="103"/>
      <c r="C24" s="282" t="s">
        <v>149</v>
      </c>
      <c r="D24" s="283"/>
      <c r="E24" s="283"/>
      <c r="F24" s="283"/>
      <c r="G24" s="283"/>
      <c r="H24" s="283"/>
      <c r="I24" s="283"/>
      <c r="J24" s="283"/>
      <c r="K24" s="284"/>
      <c r="L24" s="104"/>
      <c r="M24" s="104"/>
      <c r="N24" s="104"/>
      <c r="O24" s="104"/>
      <c r="P24" s="104"/>
      <c r="Q24" s="105"/>
    </row>
    <row r="25" spans="2:17" ht="42" customHeight="1" x14ac:dyDescent="0.3">
      <c r="B25" s="103"/>
      <c r="C25" s="112" t="s">
        <v>4</v>
      </c>
      <c r="D25" s="132" t="s">
        <v>5</v>
      </c>
      <c r="E25" s="132" t="s">
        <v>112</v>
      </c>
      <c r="F25" s="132" t="s">
        <v>126</v>
      </c>
      <c r="G25" s="132" t="s">
        <v>127</v>
      </c>
      <c r="H25" s="132" t="s">
        <v>1</v>
      </c>
      <c r="I25" s="132" t="s">
        <v>25</v>
      </c>
      <c r="J25" s="132" t="s">
        <v>26</v>
      </c>
      <c r="K25" s="133" t="s">
        <v>125</v>
      </c>
      <c r="L25" s="104"/>
      <c r="M25" s="104"/>
      <c r="N25" s="104"/>
      <c r="O25" s="104"/>
      <c r="P25" s="104"/>
      <c r="Q25" s="105"/>
    </row>
    <row r="26" spans="2:17" ht="24" customHeight="1" x14ac:dyDescent="0.3">
      <c r="B26" s="103"/>
      <c r="C26" s="124" t="str">
        <f>'Tabelas Auxiliares'!B4</f>
        <v>R11</v>
      </c>
      <c r="D26" s="156" t="str">
        <f>'Tabelas Auxiliares'!E4</f>
        <v>049.2024</v>
      </c>
      <c r="E26" s="118">
        <f>COUNTIFS('BASE DASHBOARD'!$B$4:$B$217,$C26)</f>
        <v>39</v>
      </c>
      <c r="F26" s="118">
        <f>COUNTIFS('BASE DASHBOARD'!$B$4:$B$217,$C26,'BASE DASHBOARD'!$L$4:$L$217,"Concluída")</f>
        <v>23</v>
      </c>
      <c r="G26" s="118">
        <f>COUNTIFS('BASE DASHBOARD'!$B$4:$B$217,$C26,'BASE DASHBOARD'!$L$4:$L$217,"Cancelada")</f>
        <v>4</v>
      </c>
      <c r="H26" s="120">
        <f>SUMIFS('BASE DASHBOARD'!$I$4:$I$217,'BASE DASHBOARD'!$B$4:$B$217,$C26)</f>
        <v>4157179.6500000004</v>
      </c>
      <c r="I26" s="120">
        <f>SUMIFS('BASE DASHBOARD'!$J$4:$J$217,'BASE DASHBOARD'!$B$4:$B$217,$C26)</f>
        <v>2632614.4180000001</v>
      </c>
      <c r="J26" s="120">
        <f t="shared" ref="J26:J31" si="2">H26-I26</f>
        <v>1524565.2320000003</v>
      </c>
      <c r="K26" s="121">
        <f t="shared" ref="K26:K32" si="3">IFERROR(I26/H26,0)</f>
        <v>0.63326934115055622</v>
      </c>
      <c r="L26" s="104"/>
      <c r="M26" s="104"/>
      <c r="N26" s="104"/>
      <c r="O26" s="104"/>
      <c r="P26" s="104"/>
      <c r="Q26" s="105"/>
    </row>
    <row r="27" spans="2:17" ht="24" customHeight="1" x14ac:dyDescent="0.3">
      <c r="B27" s="103"/>
      <c r="C27" s="127" t="str">
        <f>'Tabelas Auxiliares'!B5</f>
        <v>R12</v>
      </c>
      <c r="D27" s="157" t="str">
        <f>'Tabelas Auxiliares'!E5</f>
        <v>009.2025</v>
      </c>
      <c r="E27" s="128">
        <f>COUNTIFS('BASE DASHBOARD'!$B$4:$B$217,$C27)</f>
        <v>53</v>
      </c>
      <c r="F27" s="128">
        <f>COUNTIFS('BASE DASHBOARD'!$B$4:$B$217,$C27,'BASE DASHBOARD'!$L$4:$L$217,"Concluída")</f>
        <v>44</v>
      </c>
      <c r="G27" s="128">
        <f>COUNTIFS('BASE DASHBOARD'!$B$4:$B$217,$C27,'BASE DASHBOARD'!$L$4:$L$217,"Cancelada")</f>
        <v>0</v>
      </c>
      <c r="H27" s="148">
        <f>SUMIFS('BASE DASHBOARD'!$I$4:$I$217,'BASE DASHBOARD'!$B$4:$B$217,$C27)</f>
        <v>9892927.004999999</v>
      </c>
      <c r="I27" s="148">
        <f>SUMIFS('BASE DASHBOARD'!$J$4:$J$217,'BASE DASHBOARD'!$B$4:$B$217,$C27)</f>
        <v>8793229.5600000005</v>
      </c>
      <c r="J27" s="148">
        <f t="shared" si="2"/>
        <v>1099697.4449999984</v>
      </c>
      <c r="K27" s="131">
        <f t="shared" si="3"/>
        <v>0.88884003243486998</v>
      </c>
      <c r="L27" s="104"/>
      <c r="M27" s="104"/>
      <c r="N27" s="104"/>
      <c r="O27" s="104"/>
      <c r="P27" s="104"/>
      <c r="Q27" s="105"/>
    </row>
    <row r="28" spans="2:17" ht="24" customHeight="1" x14ac:dyDescent="0.3">
      <c r="B28" s="103"/>
      <c r="C28" s="124" t="str">
        <f>'Tabelas Auxiliares'!B6</f>
        <v>R13</v>
      </c>
      <c r="D28" s="156" t="str">
        <f>'Tabelas Auxiliares'!E6</f>
        <v>051.2024</v>
      </c>
      <c r="E28" s="118">
        <f>COUNTIFS('BASE DASHBOARD'!$B$4:$B$217,$C28)</f>
        <v>92</v>
      </c>
      <c r="F28" s="118">
        <f>COUNTIFS('BASE DASHBOARD'!$B$4:$B$217,$C28,'BASE DASHBOARD'!$L$4:$L$217,"Concluída")</f>
        <v>64</v>
      </c>
      <c r="G28" s="118">
        <f>COUNTIFS('BASE DASHBOARD'!$B$4:$B$217,$C28,'BASE DASHBOARD'!$L$4:$L$217,"Cancelada")</f>
        <v>0</v>
      </c>
      <c r="H28" s="120">
        <f>SUMIFS('BASE DASHBOARD'!$I$4:$I$217,'BASE DASHBOARD'!$B$4:$B$217,$C28)</f>
        <v>16489090.886000006</v>
      </c>
      <c r="I28" s="120">
        <f>SUMIFS('BASE DASHBOARD'!$J$4:$J$217,'BASE DASHBOARD'!$B$4:$B$217,$C28)</f>
        <v>13456411.499999994</v>
      </c>
      <c r="J28" s="120">
        <f t="shared" si="2"/>
        <v>3032679.3860000111</v>
      </c>
      <c r="K28" s="121">
        <f t="shared" si="3"/>
        <v>0.81607964884377615</v>
      </c>
      <c r="L28" s="104"/>
      <c r="M28" s="104"/>
      <c r="N28" s="104"/>
      <c r="O28" s="104"/>
      <c r="P28" s="104"/>
      <c r="Q28" s="105"/>
    </row>
    <row r="29" spans="2:17" ht="24" customHeight="1" x14ac:dyDescent="0.3">
      <c r="B29" s="103"/>
      <c r="C29" s="127" t="str">
        <f>'Tabelas Auxiliares'!B7</f>
        <v>R22</v>
      </c>
      <c r="D29" s="157" t="str">
        <f>'Tabelas Auxiliares'!E7</f>
        <v>042.2025</v>
      </c>
      <c r="E29" s="128">
        <f>COUNTIFS('BASE DASHBOARD'!$B$4:$B$217,$C29)</f>
        <v>7</v>
      </c>
      <c r="F29" s="128">
        <f>COUNTIFS('BASE DASHBOARD'!$B$4:$B$217,$C29,'BASE DASHBOARD'!$L$4:$L$217,"Concluída")</f>
        <v>2</v>
      </c>
      <c r="G29" s="128">
        <f>COUNTIFS('BASE DASHBOARD'!$B$4:$B$217,$C29,'BASE DASHBOARD'!$L$4:$L$217,"Cancelada")</f>
        <v>0</v>
      </c>
      <c r="H29" s="148">
        <f>SUMIFS('BASE DASHBOARD'!$I$4:$I$217,'BASE DASHBOARD'!$B$4:$B$217,$C29)</f>
        <v>39969135.950000003</v>
      </c>
      <c r="I29" s="148">
        <f>SUMIFS('BASE DASHBOARD'!$J$4:$J$217,'BASE DASHBOARD'!$B$4:$B$217,$C29)</f>
        <v>17891793.329999998</v>
      </c>
      <c r="J29" s="148">
        <f t="shared" si="2"/>
        <v>22077342.620000005</v>
      </c>
      <c r="K29" s="131">
        <f t="shared" si="3"/>
        <v>0.44764023301334332</v>
      </c>
      <c r="L29" s="104"/>
      <c r="M29" s="104"/>
      <c r="N29" s="104"/>
      <c r="O29" s="104"/>
      <c r="P29" s="104"/>
      <c r="Q29" s="105"/>
    </row>
    <row r="30" spans="2:17" ht="24" customHeight="1" x14ac:dyDescent="0.3">
      <c r="B30" s="103"/>
      <c r="C30" s="124" t="str">
        <f>'Tabelas Auxiliares'!B8</f>
        <v>R23</v>
      </c>
      <c r="D30" s="156" t="str">
        <f>'Tabelas Auxiliares'!E8</f>
        <v>043.2025</v>
      </c>
      <c r="E30" s="118">
        <f>COUNTIFS('BASE DASHBOARD'!$B$4:$B$217,$C30)</f>
        <v>2</v>
      </c>
      <c r="F30" s="118">
        <f>COUNTIFS('BASE DASHBOARD'!$B$4:$B$217,$C30,'BASE DASHBOARD'!$L$4:$L$217,"Concluída")</f>
        <v>0</v>
      </c>
      <c r="G30" s="118">
        <f>COUNTIFS('BASE DASHBOARD'!$B$4:$B$217,$C30,'BASE DASHBOARD'!$L$4:$L$217,"Cancelada")</f>
        <v>0</v>
      </c>
      <c r="H30" s="120">
        <f>SUMIFS('BASE DASHBOARD'!$I$4:$I$217,'BASE DASHBOARD'!$B$4:$B$217,$C30)</f>
        <v>0</v>
      </c>
      <c r="I30" s="120">
        <f>SUMIFS('BASE DASHBOARD'!$J$4:$J$217,'BASE DASHBOARD'!$B$4:$B$217,$C30)</f>
        <v>0</v>
      </c>
      <c r="J30" s="120">
        <f t="shared" si="2"/>
        <v>0</v>
      </c>
      <c r="K30" s="121">
        <f t="shared" si="3"/>
        <v>0</v>
      </c>
      <c r="L30" s="104"/>
      <c r="M30" s="104"/>
      <c r="N30" s="104"/>
      <c r="O30" s="104"/>
      <c r="P30" s="104"/>
      <c r="Q30" s="105"/>
    </row>
    <row r="31" spans="2:17" ht="24" customHeight="1" x14ac:dyDescent="0.3">
      <c r="B31" s="103"/>
      <c r="C31" s="158" t="str">
        <f>'Tabelas Auxiliares'!B9</f>
        <v>R24</v>
      </c>
      <c r="D31" s="159" t="str">
        <f>'Tabelas Auxiliares'!E9</f>
        <v>041.2025</v>
      </c>
      <c r="E31" s="160">
        <f>COUNTIFS('BASE DASHBOARD'!$B$4:$B$217,$C31)</f>
        <v>6</v>
      </c>
      <c r="F31" s="160">
        <f>COUNTIFS('BASE DASHBOARD'!$B$4:$B$217,$C31,'BASE DASHBOARD'!$L$4:$L$217,"Concluída")</f>
        <v>4</v>
      </c>
      <c r="G31" s="160">
        <f>COUNTIFS('BASE DASHBOARD'!$B$4:$B$217,$C31,'BASE DASHBOARD'!$L$4:$L$217,"Cancelada")</f>
        <v>0</v>
      </c>
      <c r="H31" s="161">
        <f>SUMIFS('BASE DASHBOARD'!$I$4:$I$217,'BASE DASHBOARD'!$B$4:$B$217,$C31)</f>
        <v>15211656.09</v>
      </c>
      <c r="I31" s="161">
        <f>SUMIFS('BASE DASHBOARD'!$J$4:$J$217,'BASE DASHBOARD'!$B$4:$B$217,$C31)</f>
        <v>12628849.740000002</v>
      </c>
      <c r="J31" s="161">
        <f t="shared" si="2"/>
        <v>2582806.3499999978</v>
      </c>
      <c r="K31" s="162">
        <f t="shared" si="3"/>
        <v>0.83020873370270909</v>
      </c>
      <c r="L31" s="104"/>
      <c r="M31" s="104"/>
      <c r="N31" s="104"/>
      <c r="O31" s="104"/>
      <c r="P31" s="104"/>
      <c r="Q31" s="105"/>
    </row>
    <row r="32" spans="2:17" ht="24" customHeight="1" thickBot="1" x14ac:dyDescent="0.35">
      <c r="B32" s="103"/>
      <c r="C32" s="297" t="s">
        <v>194</v>
      </c>
      <c r="D32" s="298"/>
      <c r="E32" s="153">
        <f t="shared" ref="E32:J32" si="4">SUM(E26:E31)</f>
        <v>199</v>
      </c>
      <c r="F32" s="153">
        <f t="shared" si="4"/>
        <v>137</v>
      </c>
      <c r="G32" s="153">
        <f t="shared" si="4"/>
        <v>4</v>
      </c>
      <c r="H32" s="154">
        <f t="shared" si="4"/>
        <v>85719989.581000015</v>
      </c>
      <c r="I32" s="154">
        <f t="shared" si="4"/>
        <v>55402898.547999993</v>
      </c>
      <c r="J32" s="154">
        <f t="shared" si="4"/>
        <v>30317091.033000011</v>
      </c>
      <c r="K32" s="155">
        <f t="shared" si="3"/>
        <v>0.64632414001459637</v>
      </c>
      <c r="L32" s="104"/>
      <c r="M32" s="104"/>
      <c r="N32" s="104"/>
      <c r="O32" s="104"/>
      <c r="P32" s="104"/>
      <c r="Q32" s="105"/>
    </row>
    <row r="33" spans="2:17" x14ac:dyDescent="0.3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3"/>
    </row>
    <row r="34" spans="2:17" x14ac:dyDescent="0.3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33"/>
    </row>
    <row r="35" spans="2:17" x14ac:dyDescent="0.3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3"/>
    </row>
    <row r="36" spans="2:17" x14ac:dyDescent="0.3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3"/>
    </row>
    <row r="37" spans="2:17" x14ac:dyDescent="0.3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3"/>
    </row>
    <row r="38" spans="2:17" ht="16.2" thickBo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3"/>
    </row>
    <row r="39" spans="2:17" ht="60" customHeight="1" thickBot="1" x14ac:dyDescent="0.35">
      <c r="B39" s="103"/>
      <c r="C39" s="282" t="s">
        <v>152</v>
      </c>
      <c r="D39" s="283"/>
      <c r="E39" s="283"/>
      <c r="F39" s="283"/>
      <c r="G39" s="283"/>
      <c r="H39" s="284"/>
      <c r="I39" s="104"/>
      <c r="J39" s="104"/>
      <c r="K39" s="104"/>
      <c r="L39" s="104"/>
      <c r="M39" s="104"/>
      <c r="N39" s="104"/>
      <c r="O39" s="104"/>
      <c r="P39" s="104"/>
      <c r="Q39" s="105"/>
    </row>
    <row r="40" spans="2:17" ht="42" customHeight="1" x14ac:dyDescent="0.3">
      <c r="B40" s="103"/>
      <c r="C40" s="112" t="s">
        <v>10</v>
      </c>
      <c r="D40" s="132" t="s">
        <v>112</v>
      </c>
      <c r="E40" s="132" t="s">
        <v>128</v>
      </c>
      <c r="F40" s="132" t="s">
        <v>1</v>
      </c>
      <c r="G40" s="132" t="s">
        <v>25</v>
      </c>
      <c r="H40" s="133" t="s">
        <v>129</v>
      </c>
      <c r="I40" s="104"/>
      <c r="J40" s="104"/>
      <c r="K40" s="104"/>
      <c r="L40" s="104"/>
      <c r="M40" s="104"/>
      <c r="N40" s="104"/>
      <c r="O40" s="104"/>
      <c r="P40" s="104"/>
      <c r="Q40" s="105"/>
    </row>
    <row r="41" spans="2:17" ht="24" customHeight="1" x14ac:dyDescent="0.3">
      <c r="B41" s="103"/>
      <c r="C41" s="140" t="str">
        <f>'Tabelas Auxiliares'!M4</f>
        <v>Em elaboração</v>
      </c>
      <c r="D41" s="118">
        <f>COUNTIFS('BASE DASHBOARD'!$L$4:$L$217,$C41,'BASE DASHBOARD'!$B$4:$B$217,'BASE DASHBOARD'!$Z$1)</f>
        <v>7</v>
      </c>
      <c r="E41" s="139">
        <f>IFERROR(D41/$D$46,0)</f>
        <v>0.13461538461538461</v>
      </c>
      <c r="F41" s="120">
        <f>SUMIFS('BASE DASHBOARD'!$I$4:$I$217,'BASE DASHBOARD'!$L$4:$L$217,$C41,'BASE DASHBOARD'!$B$4:$B$217,'BASE DASHBOARD'!$Z$1)</f>
        <v>372403.12</v>
      </c>
      <c r="G41" s="120">
        <f>SUMIFS('BASE DASHBOARD'!$J$4:$J$217,'BASE DASHBOARD'!$L$4:$L$217,$C41,'BASE DASHBOARD'!$B$4:$B$217,'BASE DASHBOARD'!$Z$1)</f>
        <v>0</v>
      </c>
      <c r="H41" s="121">
        <f>IFERROR(F41/$F$46,0)</f>
        <v>3.7643370845835931E-2</v>
      </c>
      <c r="I41" s="104"/>
      <c r="J41" s="104"/>
      <c r="K41" s="104"/>
      <c r="L41" s="104"/>
      <c r="M41" s="104"/>
      <c r="N41" s="104"/>
      <c r="O41" s="104"/>
      <c r="P41" s="104"/>
      <c r="Q41" s="105"/>
    </row>
    <row r="42" spans="2:17" ht="24" customHeight="1" x14ac:dyDescent="0.3">
      <c r="B42" s="103"/>
      <c r="C42" s="146" t="str">
        <f>'Tabelas Auxiliares'!M5</f>
        <v>Em andamento</v>
      </c>
      <c r="D42" s="128">
        <f>COUNTIFS('BASE DASHBOARD'!$L$4:$L$217,$C42,'BASE DASHBOARD'!$B$4:$B$217,'BASE DASHBOARD'!$Z$1)</f>
        <v>1</v>
      </c>
      <c r="E42" s="147">
        <f>IFERROR(D42/$D$46,0)</f>
        <v>1.9230769230769232E-2</v>
      </c>
      <c r="F42" s="148">
        <f>SUMIFS('BASE DASHBOARD'!$I$4:$I$217,'BASE DASHBOARD'!$L$4:$L$217,$C42,'BASE DASHBOARD'!$B$4:$B$217,'BASE DASHBOARD'!$Z$1)</f>
        <v>69999.89</v>
      </c>
      <c r="G42" s="148">
        <f>SUMIFS('BASE DASHBOARD'!$J$4:$J$217,'BASE DASHBOARD'!$L$4:$L$217,$C42,'BASE DASHBOARD'!$B$4:$B$217,'BASE DASHBOARD'!$Z$1)</f>
        <v>68354.64</v>
      </c>
      <c r="H42" s="131">
        <f>IFERROR(F42/$F$46,0)</f>
        <v>7.0757511871482768E-3</v>
      </c>
      <c r="I42" s="104"/>
      <c r="J42" s="104"/>
      <c r="K42" s="104"/>
      <c r="L42" s="104"/>
      <c r="M42" s="104"/>
      <c r="N42" s="104"/>
      <c r="O42" s="104"/>
      <c r="P42" s="104"/>
      <c r="Q42" s="105"/>
    </row>
    <row r="43" spans="2:17" ht="24" customHeight="1" x14ac:dyDescent="0.3">
      <c r="B43" s="103"/>
      <c r="C43" s="140" t="str">
        <f>'Tabelas Auxiliares'!M6</f>
        <v>Concluída</v>
      </c>
      <c r="D43" s="118">
        <f>COUNTIFS('BASE DASHBOARD'!$L$4:$L$217,$C43,'BASE DASHBOARD'!$B$4:$B$217,'BASE DASHBOARD'!$Z$1)</f>
        <v>44</v>
      </c>
      <c r="E43" s="139">
        <f>IFERROR(D43/$D$46,0)</f>
        <v>0.84615384615384615</v>
      </c>
      <c r="F43" s="120">
        <f>SUMIFS('BASE DASHBOARD'!$I$4:$I$217,'BASE DASHBOARD'!$L$4:$L$217,$C43,'BASE DASHBOARD'!$B$4:$B$217,'BASE DASHBOARD'!$Z$1)</f>
        <v>9450523.995000001</v>
      </c>
      <c r="G43" s="120">
        <f>SUMIFS('BASE DASHBOARD'!$J$4:$J$217,'BASE DASHBOARD'!$L$4:$L$217,$C43,'BASE DASHBOARD'!$B$4:$B$217,'BASE DASHBOARD'!$Z$1)</f>
        <v>8724874.9199999999</v>
      </c>
      <c r="H43" s="121">
        <f>IFERROR(F43/$F$46,0)</f>
        <v>0.95528087796701577</v>
      </c>
      <c r="I43" s="104"/>
      <c r="J43" s="104"/>
      <c r="K43" s="104"/>
      <c r="L43" s="104"/>
      <c r="M43" s="104"/>
      <c r="N43" s="104"/>
      <c r="O43" s="104"/>
      <c r="P43" s="104"/>
      <c r="Q43" s="105"/>
    </row>
    <row r="44" spans="2:17" ht="24" customHeight="1" x14ac:dyDescent="0.3">
      <c r="B44" s="103"/>
      <c r="C44" s="146" t="str">
        <f>'Tabelas Auxiliares'!M7</f>
        <v>Justificada</v>
      </c>
      <c r="D44" s="128">
        <f>COUNTIFS('BASE DASHBOARD'!$L$4:$L$217,$C44,'BASE DASHBOARD'!$B$4:$B$217,'BASE DASHBOARD'!$Z$1)</f>
        <v>0</v>
      </c>
      <c r="E44" s="147">
        <f>IFERROR(D44/$D$46,0)</f>
        <v>0</v>
      </c>
      <c r="F44" s="148">
        <f>SUMIFS('BASE DASHBOARD'!$I$4:$I$217,'BASE DASHBOARD'!$L$4:$L$217,$C44,'BASE DASHBOARD'!$B$4:$B$217,'BASE DASHBOARD'!$Z$1)</f>
        <v>0</v>
      </c>
      <c r="G44" s="148">
        <f>SUMIFS('BASE DASHBOARD'!$J$4:$J$217,'BASE DASHBOARD'!$L$4:$L$217,$C44,'BASE DASHBOARD'!$B$4:$B$217,'BASE DASHBOARD'!$Z$1)</f>
        <v>0</v>
      </c>
      <c r="H44" s="131">
        <f>IFERROR(F44/$F$46,0)</f>
        <v>0</v>
      </c>
      <c r="I44" s="104"/>
      <c r="J44" s="104"/>
      <c r="K44" s="104"/>
      <c r="L44" s="104"/>
      <c r="M44" s="104"/>
      <c r="N44" s="104"/>
      <c r="O44" s="104"/>
      <c r="P44" s="104"/>
      <c r="Q44" s="105"/>
    </row>
    <row r="45" spans="2:17" ht="24" customHeight="1" x14ac:dyDescent="0.3">
      <c r="B45" s="103"/>
      <c r="C45" s="140" t="str">
        <f>'Tabelas Auxiliares'!M8</f>
        <v>Cancelada</v>
      </c>
      <c r="D45" s="118">
        <f>COUNTIFS('BASE DASHBOARD'!$L$4:$L$217,$C45,'BASE DASHBOARD'!$B$4:$B$217,'BASE DASHBOARD'!$Z$1)</f>
        <v>0</v>
      </c>
      <c r="E45" s="139">
        <f>IFERROR(D45/$D$46,0)</f>
        <v>0</v>
      </c>
      <c r="F45" s="120">
        <f>SUMIFS('BASE DASHBOARD'!$I$4:$I$217,'BASE DASHBOARD'!$L$4:$L$217,$C45,'BASE DASHBOARD'!$B$4:$B$217,'BASE DASHBOARD'!$Z$1)</f>
        <v>0</v>
      </c>
      <c r="G45" s="120">
        <f>SUMIFS('BASE DASHBOARD'!$J$4:$J$217,'BASE DASHBOARD'!$L$4:$L$217,$C45,'BASE DASHBOARD'!$B$4:$B$217,'BASE DASHBOARD'!$Z$1)</f>
        <v>0</v>
      </c>
      <c r="H45" s="121">
        <f>IFERROR(F45/$F$46,0)</f>
        <v>0</v>
      </c>
      <c r="I45" s="104"/>
      <c r="J45" s="104"/>
      <c r="K45" s="104"/>
      <c r="L45" s="104"/>
      <c r="M45" s="104"/>
      <c r="N45" s="104"/>
      <c r="O45" s="104"/>
      <c r="P45" s="104"/>
      <c r="Q45" s="105"/>
    </row>
    <row r="46" spans="2:17" ht="24" customHeight="1" thickBot="1" x14ac:dyDescent="0.35">
      <c r="B46" s="103"/>
      <c r="C46" s="152" t="s">
        <v>130</v>
      </c>
      <c r="D46" s="153">
        <f>SUM(D41:D45)</f>
        <v>52</v>
      </c>
      <c r="E46" s="163">
        <f>SUM(E41:E45)</f>
        <v>1</v>
      </c>
      <c r="F46" s="154">
        <f>SUM(F41:F45)</f>
        <v>9892927.0050000008</v>
      </c>
      <c r="G46" s="154">
        <f>SUM(G41:G45)</f>
        <v>8793229.5600000005</v>
      </c>
      <c r="H46" s="155">
        <f>SUM(H41:H45)</f>
        <v>1</v>
      </c>
      <c r="I46" s="104"/>
      <c r="J46" s="104"/>
      <c r="K46" s="104"/>
      <c r="L46" s="104"/>
      <c r="M46" s="104"/>
      <c r="N46" s="104"/>
      <c r="O46" s="104"/>
      <c r="P46" s="104"/>
      <c r="Q46" s="105"/>
    </row>
    <row r="47" spans="2:17" x14ac:dyDescent="0.3">
      <c r="B47" s="231"/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3"/>
    </row>
    <row r="48" spans="2:17" x14ac:dyDescent="0.3">
      <c r="B48" s="231"/>
      <c r="C48" s="232"/>
      <c r="D48" s="232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3"/>
    </row>
    <row r="49" spans="2:17" x14ac:dyDescent="0.3">
      <c r="B49" s="231"/>
      <c r="C49" s="232"/>
      <c r="D49" s="232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3"/>
    </row>
    <row r="50" spans="2:17" x14ac:dyDescent="0.3">
      <c r="B50" s="231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3"/>
    </row>
    <row r="51" spans="2:17" x14ac:dyDescent="0.3">
      <c r="B51" s="231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3"/>
    </row>
    <row r="52" spans="2:17" ht="16.2" thickBot="1" x14ac:dyDescent="0.35">
      <c r="B52" s="231"/>
      <c r="C52" s="232"/>
      <c r="D52" s="232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3"/>
    </row>
    <row r="53" spans="2:17" ht="60" customHeight="1" thickBot="1" x14ac:dyDescent="0.35">
      <c r="B53" s="103"/>
      <c r="C53" s="282" t="s">
        <v>153</v>
      </c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4"/>
      <c r="P53" s="104"/>
      <c r="Q53" s="105"/>
    </row>
    <row r="54" spans="2:17" ht="42" customHeight="1" x14ac:dyDescent="0.3">
      <c r="B54" s="103"/>
      <c r="C54" s="112" t="s">
        <v>131</v>
      </c>
      <c r="D54" s="113">
        <f>'BASE DASHBOARD'!M$3</f>
        <v>46023</v>
      </c>
      <c r="E54" s="113">
        <f>'BASE DASHBOARD'!N$3</f>
        <v>46054</v>
      </c>
      <c r="F54" s="113">
        <f>'BASE DASHBOARD'!O$3</f>
        <v>46082</v>
      </c>
      <c r="G54" s="113">
        <f>'BASE DASHBOARD'!P$3</f>
        <v>46113</v>
      </c>
      <c r="H54" s="113">
        <f>'BASE DASHBOARD'!Q$3</f>
        <v>46143</v>
      </c>
      <c r="I54" s="113">
        <f>'BASE DASHBOARD'!R$3</f>
        <v>46174</v>
      </c>
      <c r="J54" s="113">
        <f>'BASE DASHBOARD'!S$3</f>
        <v>46204</v>
      </c>
      <c r="K54" s="113">
        <f>'BASE DASHBOARD'!T$3</f>
        <v>46235</v>
      </c>
      <c r="L54" s="113">
        <f>'BASE DASHBOARD'!U$3</f>
        <v>46266</v>
      </c>
      <c r="M54" s="113">
        <f>'BASE DASHBOARD'!V$3</f>
        <v>46296</v>
      </c>
      <c r="N54" s="113">
        <f>'BASE DASHBOARD'!W$3</f>
        <v>46327</v>
      </c>
      <c r="O54" s="114">
        <f>'BASE DASHBOARD'!X$3</f>
        <v>46357</v>
      </c>
      <c r="P54" s="104"/>
      <c r="Q54" s="105"/>
    </row>
    <row r="55" spans="2:17" ht="24" customHeight="1" x14ac:dyDescent="0.3">
      <c r="B55" s="103"/>
      <c r="C55" s="141" t="s">
        <v>132</v>
      </c>
      <c r="D55" s="108">
        <f>SUMIFS('BASE DASHBOARD'!M$4:M$217,'BASE DASHBOARD'!$B$4:$B$217,'BASE DASHBOARD'!$Z$1)</f>
        <v>392381.67</v>
      </c>
      <c r="E55" s="108">
        <f>SUMIFS('BASE DASHBOARD'!N$4:N$217,'BASE DASHBOARD'!$B$4:$B$217,'BASE DASHBOARD'!$Z$1)</f>
        <v>1299128.3</v>
      </c>
      <c r="F55" s="108">
        <f>SUMIFS('BASE DASHBOARD'!O$4:O$217,'BASE DASHBOARD'!$B$4:$B$217,'BASE DASHBOARD'!$Z$1)</f>
        <v>178577.47</v>
      </c>
      <c r="G55" s="108">
        <f>SUMIFS('BASE DASHBOARD'!P$4:P$217,'BASE DASHBOARD'!$B$4:$B$217,'BASE DASHBOARD'!$Z$1)</f>
        <v>1343283.74</v>
      </c>
      <c r="H55" s="108">
        <f>SUMIFS('BASE DASHBOARD'!Q$4:Q$217,'BASE DASHBOARD'!$B$4:$B$217,'BASE DASHBOARD'!$Z$1)</f>
        <v>1563240.02</v>
      </c>
      <c r="I55" s="108">
        <f>SUMIFS('BASE DASHBOARD'!R$4:R$217,'BASE DASHBOARD'!$B$4:$B$217,'BASE DASHBOARD'!$Z$1)</f>
        <v>1283773.48</v>
      </c>
      <c r="J55" s="108">
        <f>SUMIFS('BASE DASHBOARD'!S$4:S$217,'BASE DASHBOARD'!$B$4:$B$217,'BASE DASHBOARD'!$Z$1)</f>
        <v>2159251.0999999996</v>
      </c>
      <c r="K55" s="108">
        <f>SUMIFS('BASE DASHBOARD'!T$4:T$217,'BASE DASHBOARD'!$B$4:$B$217,'BASE DASHBOARD'!$Z$1)</f>
        <v>573593.78</v>
      </c>
      <c r="L55" s="108">
        <f>SUMIFS('BASE DASHBOARD'!U$4:U$217,'BASE DASHBOARD'!$B$4:$B$217,'BASE DASHBOARD'!$Z$1)</f>
        <v>0</v>
      </c>
      <c r="M55" s="108">
        <f>SUMIFS('BASE DASHBOARD'!V$4:V$217,'BASE DASHBOARD'!$B$4:$B$217,'BASE DASHBOARD'!$Z$1)</f>
        <v>0</v>
      </c>
      <c r="N55" s="108">
        <f>SUMIFS('BASE DASHBOARD'!W$4:W$217,'BASE DASHBOARD'!$B$4:$B$217,'BASE DASHBOARD'!$Z$1)</f>
        <v>0</v>
      </c>
      <c r="O55" s="109">
        <f>SUMIFS('BASE DASHBOARD'!X$4:X$217,'BASE DASHBOARD'!$B$4:$B$217,'BASE DASHBOARD'!$Z$1)</f>
        <v>0</v>
      </c>
      <c r="P55" s="104"/>
      <c r="Q55" s="105"/>
    </row>
    <row r="56" spans="2:17" ht="24" customHeight="1" x14ac:dyDescent="0.3">
      <c r="B56" s="103"/>
      <c r="C56" s="143" t="s">
        <v>133</v>
      </c>
      <c r="D56" s="144">
        <f>D55</f>
        <v>392381.67</v>
      </c>
      <c r="E56" s="144">
        <f>D56+E55</f>
        <v>1691509.97</v>
      </c>
      <c r="F56" s="144">
        <f>E56+F55</f>
        <v>1870087.44</v>
      </c>
      <c r="G56" s="144">
        <f>F56+G55</f>
        <v>3213371.1799999997</v>
      </c>
      <c r="H56" s="144">
        <f>G56+H55</f>
        <v>4776611.1999999993</v>
      </c>
      <c r="I56" s="144">
        <f>H56+I55</f>
        <v>6060384.6799999997</v>
      </c>
      <c r="J56" s="144">
        <f t="shared" ref="J56:O56" si="5">I56+J55</f>
        <v>8219635.7799999993</v>
      </c>
      <c r="K56" s="144">
        <f t="shared" si="5"/>
        <v>8793229.5599999987</v>
      </c>
      <c r="L56" s="144">
        <f t="shared" si="5"/>
        <v>8793229.5599999987</v>
      </c>
      <c r="M56" s="144">
        <f t="shared" si="5"/>
        <v>8793229.5599999987</v>
      </c>
      <c r="N56" s="144">
        <f t="shared" si="5"/>
        <v>8793229.5599999987</v>
      </c>
      <c r="O56" s="145">
        <f t="shared" si="5"/>
        <v>8793229.5599999987</v>
      </c>
      <c r="P56" s="104"/>
      <c r="Q56" s="105"/>
    </row>
    <row r="57" spans="2:17" ht="24" customHeight="1" x14ac:dyDescent="0.3">
      <c r="B57" s="103"/>
      <c r="C57" s="142" t="s">
        <v>134</v>
      </c>
      <c r="D57" s="110">
        <f>IFERROR(D56/DASHBOARD!$G$13,0)</f>
        <v>3.966284900330163E-2</v>
      </c>
      <c r="E57" s="110">
        <f>IFERROR(E56/DASHBOARD!$G$13,0)</f>
        <v>0.17098174980418751</v>
      </c>
      <c r="F57" s="110">
        <f>IFERROR(F56/DASHBOARD!$G$13,0)</f>
        <v>0.18903277453223261</v>
      </c>
      <c r="G57" s="110">
        <f>IFERROR(G56/DASHBOARD!$G$13,0)</f>
        <v>0.32481500958977305</v>
      </c>
      <c r="H57" s="110">
        <f>IFERROR(H56/DASHBOARD!$G$13,0)</f>
        <v>0.48283093543355216</v>
      </c>
      <c r="I57" s="110">
        <f>IFERROR(I56/DASHBOARD!$G$13,0)</f>
        <v>0.61259773542623042</v>
      </c>
      <c r="J57" s="110">
        <f>IFERROR(J56/DASHBOARD!$G$13,0)</f>
        <v>0.83085984318348871</v>
      </c>
      <c r="K57" s="110">
        <f>IFERROR(K56/DASHBOARD!$G$13,0)</f>
        <v>0.88884003243486986</v>
      </c>
      <c r="L57" s="110">
        <f>IFERROR(L56/DASHBOARD!$G$13,0)</f>
        <v>0.88884003243486986</v>
      </c>
      <c r="M57" s="110">
        <f>IFERROR(M56/DASHBOARD!$G$13,0)</f>
        <v>0.88884003243486986</v>
      </c>
      <c r="N57" s="110">
        <f>IFERROR(N56/DASHBOARD!$G$13,0)</f>
        <v>0.88884003243486986</v>
      </c>
      <c r="O57" s="111">
        <f>IFERROR(O56/DASHBOARD!$G$13,0)</f>
        <v>0.88884003243486986</v>
      </c>
      <c r="P57" s="104"/>
      <c r="Q57" s="105"/>
    </row>
    <row r="58" spans="2:17" ht="24" customHeight="1" thickBot="1" x14ac:dyDescent="0.35">
      <c r="B58" s="103"/>
      <c r="C58" s="149" t="s">
        <v>135</v>
      </c>
      <c r="D58" s="150">
        <f>COUNTIFS('BASE DASHBOARD'!$B$4:$B$217,'BASE DASHBOARD'!$Z$1,'BASE DASHBOARD'!M$4:M$217,"&gt;0")</f>
        <v>2</v>
      </c>
      <c r="E58" s="150">
        <f>COUNTIFS('BASE DASHBOARD'!$B$4:$B$217,'BASE DASHBOARD'!$Z$1,'BASE DASHBOARD'!N$4:N$217,"&gt;0")</f>
        <v>10</v>
      </c>
      <c r="F58" s="150">
        <f>COUNTIFS('BASE DASHBOARD'!$B$4:$B$217,'BASE DASHBOARD'!$Z$1,'BASE DASHBOARD'!O$4:O$217,"&gt;0")</f>
        <v>3</v>
      </c>
      <c r="G58" s="150">
        <f>COUNTIFS('BASE DASHBOARD'!$B$4:$B$217,'BASE DASHBOARD'!$Z$1,'BASE DASHBOARD'!P$4:P$217,"&gt;0")</f>
        <v>7</v>
      </c>
      <c r="H58" s="150">
        <f>COUNTIFS('BASE DASHBOARD'!$B$4:$B$217,'BASE DASHBOARD'!$Z$1,'BASE DASHBOARD'!Q$4:Q$217,"&gt;0")</f>
        <v>3</v>
      </c>
      <c r="I58" s="150">
        <f>COUNTIFS('BASE DASHBOARD'!$B$4:$B$217,'BASE DASHBOARD'!$Z$1,'BASE DASHBOARD'!R$4:R$217,"&gt;0")</f>
        <v>9</v>
      </c>
      <c r="J58" s="150">
        <f>COUNTIFS('BASE DASHBOARD'!$B$4:$B$217,'BASE DASHBOARD'!$Z$1,'BASE DASHBOARD'!S$4:S$217,"&gt;0")</f>
        <v>9</v>
      </c>
      <c r="K58" s="150">
        <f>COUNTIFS('BASE DASHBOARD'!$B$4:$B$217,'BASE DASHBOARD'!$Z$1,'BASE DASHBOARD'!T$4:T$217,"&gt;0")</f>
        <v>14</v>
      </c>
      <c r="L58" s="150">
        <f>COUNTIFS('BASE DASHBOARD'!$B$4:$B$217,'BASE DASHBOARD'!$Z$1,'BASE DASHBOARD'!U$4:U$217,"&gt;0")</f>
        <v>0</v>
      </c>
      <c r="M58" s="150">
        <f>COUNTIFS('BASE DASHBOARD'!$B$4:$B$217,'BASE DASHBOARD'!$Z$1,'BASE DASHBOARD'!V$4:V$217,"&gt;0")</f>
        <v>0</v>
      </c>
      <c r="N58" s="150">
        <f>COUNTIFS('BASE DASHBOARD'!$B$4:$B$217,'BASE DASHBOARD'!$Z$1,'BASE DASHBOARD'!W$4:W$217,"&gt;0")</f>
        <v>0</v>
      </c>
      <c r="O58" s="151">
        <f>COUNTIFS('BASE DASHBOARD'!$B$4:$B$217,'BASE DASHBOARD'!$Z$1,'BASE DASHBOARD'!X$4:X$217,"&gt;0")</f>
        <v>0</v>
      </c>
      <c r="P58" s="104"/>
      <c r="Q58" s="105"/>
    </row>
    <row r="59" spans="2:17" x14ac:dyDescent="0.3">
      <c r="B59" s="231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3"/>
    </row>
    <row r="60" spans="2:17" x14ac:dyDescent="0.3">
      <c r="B60" s="231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3"/>
    </row>
    <row r="61" spans="2:17" x14ac:dyDescent="0.3">
      <c r="B61" s="231"/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3"/>
    </row>
    <row r="62" spans="2:17" ht="18" x14ac:dyDescent="0.35">
      <c r="B62" s="103"/>
      <c r="C62" s="166" t="s">
        <v>148</v>
      </c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5"/>
    </row>
    <row r="63" spans="2:17" x14ac:dyDescent="0.3">
      <c r="B63" s="103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5"/>
    </row>
    <row r="64" spans="2:17" ht="30.6" customHeight="1" x14ac:dyDescent="0.3">
      <c r="B64" s="167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Q64" s="168"/>
    </row>
    <row r="65" spans="2:23" x14ac:dyDescent="0.3">
      <c r="B65" s="231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3"/>
    </row>
    <row r="66" spans="2:23" x14ac:dyDescent="0.3">
      <c r="B66" s="231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3"/>
    </row>
    <row r="67" spans="2:23" x14ac:dyDescent="0.3">
      <c r="B67" s="231"/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3"/>
    </row>
    <row r="68" spans="2:23" x14ac:dyDescent="0.3">
      <c r="B68" s="231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3"/>
    </row>
    <row r="69" spans="2:23" x14ac:dyDescent="0.3">
      <c r="B69" s="231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3"/>
    </row>
    <row r="70" spans="2:23" x14ac:dyDescent="0.3">
      <c r="B70" s="231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3"/>
      <c r="R70" s="164" t="s">
        <v>154</v>
      </c>
    </row>
    <row r="71" spans="2:23" x14ac:dyDescent="0.3">
      <c r="B71" s="231"/>
      <c r="C71" s="232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3"/>
      <c r="R71" t="s">
        <v>4</v>
      </c>
      <c r="S71" t="s">
        <v>155</v>
      </c>
      <c r="T71" t="s">
        <v>156</v>
      </c>
      <c r="V71" t="s">
        <v>4</v>
      </c>
      <c r="W71" t="s">
        <v>112</v>
      </c>
    </row>
    <row r="72" spans="2:23" x14ac:dyDescent="0.3">
      <c r="B72" s="231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3"/>
      <c r="R72" t="str">
        <f t="shared" ref="R72:R77" si="6">$C26</f>
        <v>R11</v>
      </c>
      <c r="S72">
        <f t="shared" ref="S72:S77" si="7">$H26</f>
        <v>4157179.6500000004</v>
      </c>
      <c r="T72">
        <f t="shared" ref="T72:T77" si="8">$I26</f>
        <v>2632614.4180000001</v>
      </c>
      <c r="V72" t="str">
        <f t="shared" ref="V72:V77" si="9">$C26</f>
        <v>R11</v>
      </c>
      <c r="W72">
        <f t="shared" ref="W72:W77" si="10">$E26</f>
        <v>39</v>
      </c>
    </row>
    <row r="73" spans="2:23" x14ac:dyDescent="0.3">
      <c r="B73" s="231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3"/>
      <c r="R73" t="str">
        <f t="shared" si="6"/>
        <v>R12</v>
      </c>
      <c r="S73">
        <f t="shared" si="7"/>
        <v>9892927.004999999</v>
      </c>
      <c r="T73">
        <f t="shared" si="8"/>
        <v>8793229.5600000005</v>
      </c>
      <c r="V73" t="str">
        <f t="shared" si="9"/>
        <v>R12</v>
      </c>
      <c r="W73">
        <f t="shared" si="10"/>
        <v>53</v>
      </c>
    </row>
    <row r="74" spans="2:23" x14ac:dyDescent="0.3">
      <c r="B74" s="231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3"/>
      <c r="R74" t="str">
        <f t="shared" si="6"/>
        <v>R13</v>
      </c>
      <c r="S74">
        <f t="shared" si="7"/>
        <v>16489090.886000006</v>
      </c>
      <c r="T74">
        <f t="shared" si="8"/>
        <v>13456411.499999994</v>
      </c>
      <c r="V74" t="str">
        <f t="shared" si="9"/>
        <v>R13</v>
      </c>
      <c r="W74">
        <f t="shared" si="10"/>
        <v>92</v>
      </c>
    </row>
    <row r="75" spans="2:23" x14ac:dyDescent="0.3">
      <c r="B75" s="231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3"/>
      <c r="R75" t="str">
        <f t="shared" si="6"/>
        <v>R22</v>
      </c>
      <c r="S75">
        <f t="shared" si="7"/>
        <v>39969135.950000003</v>
      </c>
      <c r="T75">
        <f t="shared" si="8"/>
        <v>17891793.329999998</v>
      </c>
      <c r="V75" t="str">
        <f t="shared" si="9"/>
        <v>R22</v>
      </c>
      <c r="W75">
        <f t="shared" si="10"/>
        <v>7</v>
      </c>
    </row>
    <row r="76" spans="2:23" x14ac:dyDescent="0.3">
      <c r="B76" s="231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3"/>
      <c r="R76" t="str">
        <f t="shared" si="6"/>
        <v>R23</v>
      </c>
      <c r="S76">
        <f t="shared" si="7"/>
        <v>0</v>
      </c>
      <c r="T76">
        <f t="shared" si="8"/>
        <v>0</v>
      </c>
      <c r="V76" t="str">
        <f t="shared" si="9"/>
        <v>R23</v>
      </c>
      <c r="W76">
        <f t="shared" si="10"/>
        <v>2</v>
      </c>
    </row>
    <row r="77" spans="2:23" x14ac:dyDescent="0.3">
      <c r="B77" s="231"/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3"/>
      <c r="R77" t="str">
        <f t="shared" si="6"/>
        <v>R24</v>
      </c>
      <c r="S77">
        <f t="shared" si="7"/>
        <v>15211656.09</v>
      </c>
      <c r="T77">
        <f t="shared" si="8"/>
        <v>12628849.740000002</v>
      </c>
      <c r="V77" t="str">
        <f t="shared" si="9"/>
        <v>R24</v>
      </c>
      <c r="W77">
        <f t="shared" si="10"/>
        <v>6</v>
      </c>
    </row>
    <row r="78" spans="2:23" x14ac:dyDescent="0.3">
      <c r="B78" s="231"/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3"/>
    </row>
    <row r="79" spans="2:23" x14ac:dyDescent="0.3">
      <c r="B79" s="231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3"/>
    </row>
    <row r="80" spans="2:23" x14ac:dyDescent="0.3">
      <c r="B80" s="231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3"/>
      <c r="R80" t="s">
        <v>131</v>
      </c>
      <c r="S80" t="s">
        <v>157</v>
      </c>
      <c r="T80" t="s">
        <v>133</v>
      </c>
    </row>
    <row r="81" spans="2:20" x14ac:dyDescent="0.3">
      <c r="B81" s="231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3"/>
      <c r="R81" t="str" cm="1">
        <f t="array" ref="R81">TEXT(INDEX($D$54:$O$54,ROW()-80),"mmm/aa")</f>
        <v>jan/26</v>
      </c>
      <c r="S81" cm="1">
        <f t="array" ref="S81">INDEX($D$55:$O$55,ROW()-80)</f>
        <v>392381.67</v>
      </c>
      <c r="T81" cm="1">
        <f t="array" ref="T81">INDEX($D$56:$O$56,ROW()-80)</f>
        <v>392381.67</v>
      </c>
    </row>
    <row r="82" spans="2:20" x14ac:dyDescent="0.3">
      <c r="B82" s="231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3"/>
      <c r="R82" t="str" cm="1">
        <f t="array" ref="R82">TEXT(INDEX($D$54:$O$54,ROW()-80),"mmm/aa")</f>
        <v>fev/26</v>
      </c>
      <c r="S82" cm="1">
        <f t="array" ref="S82">INDEX($D$55:$O$55,ROW()-80)</f>
        <v>1299128.3</v>
      </c>
      <c r="T82" cm="1">
        <f t="array" ref="T82">INDEX($D$56:$O$56,ROW()-80)</f>
        <v>1691509.97</v>
      </c>
    </row>
    <row r="83" spans="2:20" x14ac:dyDescent="0.3">
      <c r="B83" s="231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3"/>
      <c r="R83" t="str" cm="1">
        <f t="array" ref="R83">TEXT(INDEX($D$54:$O$54,ROW()-80),"mmm/aa")</f>
        <v>mar/26</v>
      </c>
      <c r="S83" cm="1">
        <f t="array" ref="S83">INDEX($D$55:$O$55,ROW()-80)</f>
        <v>178577.47</v>
      </c>
      <c r="T83" cm="1">
        <f t="array" ref="T83">INDEX($D$56:$O$56,ROW()-80)</f>
        <v>1870087.44</v>
      </c>
    </row>
    <row r="84" spans="2:20" x14ac:dyDescent="0.3">
      <c r="B84" s="231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3"/>
      <c r="R84" t="str" cm="1">
        <f t="array" ref="R84">TEXT(INDEX($D$54:$O$54,ROW()-80),"mmm/aa")</f>
        <v>abr/26</v>
      </c>
      <c r="S84" cm="1">
        <f t="array" ref="S84">INDEX($D$55:$O$55,ROW()-80)</f>
        <v>1343283.74</v>
      </c>
      <c r="T84" cm="1">
        <f t="array" ref="T84">INDEX($D$56:$O$56,ROW()-80)</f>
        <v>3213371.1799999997</v>
      </c>
    </row>
    <row r="85" spans="2:20" x14ac:dyDescent="0.3">
      <c r="B85" s="231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3"/>
      <c r="R85" t="str" cm="1">
        <f t="array" ref="R85">TEXT(INDEX($D$54:$O$54,ROW()-80),"mmm/aa")</f>
        <v>mai/26</v>
      </c>
      <c r="S85" cm="1">
        <f t="array" ref="S85">INDEX($D$55:$O$55,ROW()-80)</f>
        <v>1563240.02</v>
      </c>
      <c r="T85" cm="1">
        <f t="array" ref="T85">INDEX($D$56:$O$56,ROW()-80)</f>
        <v>4776611.1999999993</v>
      </c>
    </row>
    <row r="86" spans="2:20" x14ac:dyDescent="0.3">
      <c r="B86" s="231"/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3"/>
      <c r="R86" t="str" cm="1">
        <f t="array" ref="R86">TEXT(INDEX($D$54:$O$54,ROW()-80),"mmm/aa")</f>
        <v>jun/26</v>
      </c>
      <c r="S86" cm="1">
        <f t="array" ref="S86">INDEX($D$55:$O$55,ROW()-80)</f>
        <v>1283773.48</v>
      </c>
      <c r="T86" cm="1">
        <f t="array" ref="T86">INDEX($D$56:$O$56,ROW()-80)</f>
        <v>6060384.6799999997</v>
      </c>
    </row>
    <row r="87" spans="2:20" x14ac:dyDescent="0.3">
      <c r="B87" s="231"/>
      <c r="C87" s="232"/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3"/>
      <c r="R87" t="str" cm="1">
        <f t="array" ref="R87">TEXT(INDEX($D$54:$O$54,ROW()-80),"mmm/aa")</f>
        <v>jul/26</v>
      </c>
      <c r="S87" cm="1">
        <f t="array" ref="S87">INDEX($D$55:$O$55,ROW()-80)</f>
        <v>2159251.0999999996</v>
      </c>
      <c r="T87" cm="1">
        <f t="array" ref="T87">INDEX($D$56:$O$56,ROW()-80)</f>
        <v>8219635.7799999993</v>
      </c>
    </row>
    <row r="88" spans="2:20" x14ac:dyDescent="0.3">
      <c r="B88" s="231"/>
      <c r="C88" s="232"/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3"/>
      <c r="R88" t="str" cm="1">
        <f t="array" ref="R88">TEXT(INDEX($D$54:$O$54,ROW()-80),"mmm/aa")</f>
        <v>ago/26</v>
      </c>
      <c r="S88" cm="1">
        <f t="array" ref="S88">INDEX($D$55:$O$55,ROW()-80)</f>
        <v>573593.78</v>
      </c>
      <c r="T88" cm="1">
        <f t="array" ref="T88">INDEX($D$56:$O$56,ROW()-80)</f>
        <v>8793229.5599999987</v>
      </c>
    </row>
    <row r="89" spans="2:20" x14ac:dyDescent="0.3">
      <c r="B89" s="231"/>
      <c r="C89" s="232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3"/>
      <c r="R89" t="str" cm="1">
        <f t="array" ref="R89">TEXT(INDEX($D$54:$O$54,ROW()-80),"mmm/aa")</f>
        <v>set/26</v>
      </c>
      <c r="S89" cm="1">
        <f t="array" ref="S89">INDEX($D$55:$O$55,ROW()-80)</f>
        <v>0</v>
      </c>
      <c r="T89" cm="1">
        <f t="array" ref="T89">INDEX($D$56:$O$56,ROW()-80)</f>
        <v>8793229.5599999987</v>
      </c>
    </row>
    <row r="90" spans="2:20" x14ac:dyDescent="0.3">
      <c r="B90" s="231"/>
      <c r="C90" s="232"/>
      <c r="D90" s="232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3"/>
      <c r="R90" t="str" cm="1">
        <f t="array" ref="R90">TEXT(INDEX($D$54:$O$54,ROW()-80),"mmm/aa")</f>
        <v>out/26</v>
      </c>
      <c r="S90" cm="1">
        <f t="array" ref="S90">INDEX($D$55:$O$55,ROW()-80)</f>
        <v>0</v>
      </c>
      <c r="T90" cm="1">
        <f t="array" ref="T90">INDEX($D$56:$O$56,ROW()-80)</f>
        <v>8793229.5599999987</v>
      </c>
    </row>
    <row r="91" spans="2:20" x14ac:dyDescent="0.3">
      <c r="B91" s="231"/>
      <c r="C91" s="232"/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3"/>
      <c r="R91" t="str" cm="1">
        <f t="array" ref="R91">TEXT(INDEX($D$54:$O$54,ROW()-80),"mmm/aa")</f>
        <v>nov/26</v>
      </c>
      <c r="S91" cm="1">
        <f t="array" ref="S91">INDEX($D$55:$O$55,ROW()-80)</f>
        <v>0</v>
      </c>
      <c r="T91" cm="1">
        <f t="array" ref="T91">INDEX($D$56:$O$56,ROW()-80)</f>
        <v>8793229.5599999987</v>
      </c>
    </row>
    <row r="92" spans="2:20" x14ac:dyDescent="0.3">
      <c r="B92" s="231"/>
      <c r="C92" s="232"/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3"/>
      <c r="R92" t="str" cm="1">
        <f t="array" ref="R92">TEXT(INDEX($D$54:$O$54,ROW()-80),"mmm/aa")</f>
        <v>dez/26</v>
      </c>
      <c r="S92" cm="1">
        <f t="array" ref="S92">INDEX($D$55:$O$55,ROW()-80)</f>
        <v>0</v>
      </c>
      <c r="T92" cm="1">
        <f t="array" ref="T92">INDEX($D$56:$O$56,ROW()-80)</f>
        <v>8793229.5599999987</v>
      </c>
    </row>
    <row r="93" spans="2:20" x14ac:dyDescent="0.3">
      <c r="B93" s="231"/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3"/>
    </row>
    <row r="94" spans="2:20" x14ac:dyDescent="0.3">
      <c r="B94" s="231"/>
      <c r="C94" s="232"/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3"/>
    </row>
    <row r="95" spans="2:20" x14ac:dyDescent="0.3">
      <c r="B95" s="231"/>
      <c r="C95" s="232"/>
      <c r="D95" s="232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3"/>
    </row>
    <row r="96" spans="2:20" x14ac:dyDescent="0.3">
      <c r="B96" s="231"/>
      <c r="C96" s="232"/>
      <c r="D96" s="232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3"/>
    </row>
    <row r="97" spans="2:17" x14ac:dyDescent="0.3">
      <c r="B97" s="231"/>
      <c r="C97" s="232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3"/>
    </row>
    <row r="98" spans="2:17" x14ac:dyDescent="0.3">
      <c r="B98" s="231"/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3"/>
    </row>
    <row r="99" spans="2:17" x14ac:dyDescent="0.3">
      <c r="B99" s="231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3"/>
    </row>
    <row r="100" spans="2:17" x14ac:dyDescent="0.3">
      <c r="B100" s="231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3"/>
    </row>
    <row r="101" spans="2:17" x14ac:dyDescent="0.3">
      <c r="B101" s="231"/>
      <c r="C101" s="232"/>
      <c r="D101" s="232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3"/>
    </row>
    <row r="102" spans="2:17" x14ac:dyDescent="0.3">
      <c r="B102" s="231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3"/>
    </row>
    <row r="103" spans="2:17" x14ac:dyDescent="0.3">
      <c r="B103" s="231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3"/>
    </row>
    <row r="104" spans="2:17" x14ac:dyDescent="0.3">
      <c r="B104" s="231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3"/>
    </row>
    <row r="105" spans="2:17" x14ac:dyDescent="0.3">
      <c r="B105" s="231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3"/>
    </row>
    <row r="106" spans="2:17" x14ac:dyDescent="0.3">
      <c r="B106" s="231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3"/>
    </row>
    <row r="107" spans="2:17" x14ac:dyDescent="0.3">
      <c r="B107" s="231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3"/>
    </row>
    <row r="108" spans="2:17" x14ac:dyDescent="0.3">
      <c r="B108" s="231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3"/>
    </row>
    <row r="109" spans="2:17" x14ac:dyDescent="0.3">
      <c r="B109" s="231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3"/>
    </row>
    <row r="110" spans="2:17" x14ac:dyDescent="0.3">
      <c r="B110" s="231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3"/>
    </row>
    <row r="111" spans="2:17" x14ac:dyDescent="0.3">
      <c r="B111" s="231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3"/>
    </row>
    <row r="112" spans="2:17" x14ac:dyDescent="0.3">
      <c r="B112" s="231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3"/>
    </row>
    <row r="113" spans="2:17" x14ac:dyDescent="0.3">
      <c r="B113" s="231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3"/>
    </row>
    <row r="114" spans="2:17" x14ac:dyDescent="0.3">
      <c r="B114" s="231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3"/>
    </row>
    <row r="115" spans="2:17" ht="16.2" thickBot="1" x14ac:dyDescent="0.35">
      <c r="B115" s="299"/>
      <c r="C115" s="300"/>
      <c r="D115" s="300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  <c r="Q115" s="301"/>
    </row>
    <row r="116" spans="2:17" x14ac:dyDescent="0.3"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</row>
    <row r="117" spans="2:17" x14ac:dyDescent="0.3"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</row>
    <row r="118" spans="2:17" x14ac:dyDescent="0.3"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</row>
    <row r="119" spans="2:17" x14ac:dyDescent="0.3"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</row>
    <row r="120" spans="2:17" x14ac:dyDescent="0.3"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</row>
    <row r="121" spans="2:17" x14ac:dyDescent="0.3"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</row>
    <row r="122" spans="2:17" x14ac:dyDescent="0.3"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</row>
    <row r="123" spans="2:17" x14ac:dyDescent="0.3"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</row>
    <row r="124" spans="2:17" x14ac:dyDescent="0.3"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</row>
    <row r="125" spans="2:17" x14ac:dyDescent="0.3"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</row>
    <row r="126" spans="2:17" x14ac:dyDescent="0.3"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</row>
    <row r="127" spans="2:17" x14ac:dyDescent="0.3"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</row>
    <row r="128" spans="2:17" x14ac:dyDescent="0.3"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</row>
    <row r="129" spans="2:13" x14ac:dyDescent="0.3"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</row>
    <row r="130" spans="2:13" x14ac:dyDescent="0.3"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</row>
    <row r="131" spans="2:13" x14ac:dyDescent="0.3"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</row>
    <row r="132" spans="2:13" x14ac:dyDescent="0.3"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</row>
    <row r="133" spans="2:13" x14ac:dyDescent="0.3"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</row>
    <row r="134" spans="2:13" x14ac:dyDescent="0.3"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</row>
    <row r="135" spans="2:13" x14ac:dyDescent="0.3"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</row>
    <row r="136" spans="2:13" x14ac:dyDescent="0.3"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</row>
    <row r="137" spans="2:13" x14ac:dyDescent="0.3"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</row>
    <row r="138" spans="2:13" x14ac:dyDescent="0.3"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</row>
    <row r="139" spans="2:13" x14ac:dyDescent="0.3"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</row>
    <row r="140" spans="2:13" x14ac:dyDescent="0.3"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</row>
    <row r="141" spans="2:13" x14ac:dyDescent="0.3"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</row>
    <row r="142" spans="2:13" x14ac:dyDescent="0.3"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</row>
    <row r="143" spans="2:13" x14ac:dyDescent="0.3"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</row>
    <row r="144" spans="2:13" x14ac:dyDescent="0.3"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</row>
    <row r="145" spans="2:13" x14ac:dyDescent="0.3"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</row>
    <row r="146" spans="2:13" x14ac:dyDescent="0.3"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</row>
    <row r="147" spans="2:13" x14ac:dyDescent="0.3"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</row>
    <row r="148" spans="2:13" x14ac:dyDescent="0.3"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</row>
    <row r="149" spans="2:13" x14ac:dyDescent="0.3"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</row>
    <row r="150" spans="2:13" x14ac:dyDescent="0.3"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</row>
    <row r="151" spans="2:13" x14ac:dyDescent="0.3"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</row>
    <row r="152" spans="2:13" x14ac:dyDescent="0.3"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</row>
    <row r="153" spans="2:13" x14ac:dyDescent="0.3"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</row>
    <row r="154" spans="2:13" x14ac:dyDescent="0.3"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</row>
    <row r="155" spans="2:13" x14ac:dyDescent="0.3"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</row>
    <row r="156" spans="2:13" x14ac:dyDescent="0.3"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</row>
    <row r="157" spans="2:13" x14ac:dyDescent="0.3"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</row>
    <row r="158" spans="2:13" x14ac:dyDescent="0.3"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</row>
    <row r="159" spans="2:13" x14ac:dyDescent="0.3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</row>
    <row r="160" spans="2:13" x14ac:dyDescent="0.3"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</row>
    <row r="161" spans="2:13" x14ac:dyDescent="0.3"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</row>
    <row r="162" spans="2:13" x14ac:dyDescent="0.3"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</row>
    <row r="163" spans="2:13" x14ac:dyDescent="0.3"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</row>
    <row r="164" spans="2:13" x14ac:dyDescent="0.3"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</row>
    <row r="165" spans="2:13" x14ac:dyDescent="0.3"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</row>
    <row r="166" spans="2:13" x14ac:dyDescent="0.3"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</row>
    <row r="167" spans="2:13" x14ac:dyDescent="0.3"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</row>
    <row r="168" spans="2:13" x14ac:dyDescent="0.3"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</row>
    <row r="169" spans="2:13" x14ac:dyDescent="0.3"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</row>
    <row r="170" spans="2:13" x14ac:dyDescent="0.3"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</row>
    <row r="171" spans="2:13" x14ac:dyDescent="0.3"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</row>
    <row r="172" spans="2:13" x14ac:dyDescent="0.3"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</row>
    <row r="173" spans="2:13" x14ac:dyDescent="0.3"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</row>
    <row r="174" spans="2:13" x14ac:dyDescent="0.3"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</row>
    <row r="175" spans="2:13" x14ac:dyDescent="0.3"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</row>
    <row r="176" spans="2:13" x14ac:dyDescent="0.3"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</row>
    <row r="177" spans="2:13" x14ac:dyDescent="0.3"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</row>
    <row r="178" spans="2:13" x14ac:dyDescent="0.3"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</row>
    <row r="179" spans="2:13" x14ac:dyDescent="0.3"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</row>
    <row r="180" spans="2:13" x14ac:dyDescent="0.3"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</row>
    <row r="181" spans="2:13" x14ac:dyDescent="0.3"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</row>
    <row r="182" spans="2:13" x14ac:dyDescent="0.3"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</row>
    <row r="183" spans="2:13" x14ac:dyDescent="0.3"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</row>
    <row r="184" spans="2:13" x14ac:dyDescent="0.3"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</row>
    <row r="185" spans="2:13" x14ac:dyDescent="0.3"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</row>
    <row r="186" spans="2:13" x14ac:dyDescent="0.3"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</row>
    <row r="187" spans="2:13" x14ac:dyDescent="0.3"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</row>
    <row r="188" spans="2:13" x14ac:dyDescent="0.3"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</row>
    <row r="189" spans="2:13" x14ac:dyDescent="0.3"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</row>
    <row r="190" spans="2:13" x14ac:dyDescent="0.3"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</row>
    <row r="191" spans="2:13" x14ac:dyDescent="0.3"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</row>
    <row r="192" spans="2:13" x14ac:dyDescent="0.3"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</row>
    <row r="193" spans="2:13" x14ac:dyDescent="0.3"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</row>
    <row r="194" spans="2:13" x14ac:dyDescent="0.3"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</row>
    <row r="195" spans="2:13" x14ac:dyDescent="0.3"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</row>
    <row r="196" spans="2:13" x14ac:dyDescent="0.3"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</row>
    <row r="197" spans="2:13" x14ac:dyDescent="0.3"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</row>
    <row r="198" spans="2:13" x14ac:dyDescent="0.3"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</row>
    <row r="199" spans="2:13" x14ac:dyDescent="0.3"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</row>
    <row r="200" spans="2:13" x14ac:dyDescent="0.3"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</row>
    <row r="201" spans="2:13" x14ac:dyDescent="0.3"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</row>
    <row r="202" spans="2:13" x14ac:dyDescent="0.3"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</row>
    <row r="203" spans="2:13" x14ac:dyDescent="0.3"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</row>
    <row r="204" spans="2:13" x14ac:dyDescent="0.3"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</row>
    <row r="205" spans="2:13" x14ac:dyDescent="0.3"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</row>
    <row r="206" spans="2:13" x14ac:dyDescent="0.3"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</row>
    <row r="207" spans="2:13" x14ac:dyDescent="0.3"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</row>
    <row r="208" spans="2:13" x14ac:dyDescent="0.3"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</row>
    <row r="209" spans="2:13" x14ac:dyDescent="0.3"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</row>
    <row r="210" spans="2:13" x14ac:dyDescent="0.3"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</row>
    <row r="211" spans="2:13" x14ac:dyDescent="0.3"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</row>
    <row r="212" spans="2:13" x14ac:dyDescent="0.3"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</row>
    <row r="213" spans="2:13" x14ac:dyDescent="0.3"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</row>
    <row r="214" spans="2:13" x14ac:dyDescent="0.3"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</row>
    <row r="215" spans="2:13" x14ac:dyDescent="0.3"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</row>
    <row r="216" spans="2:13" x14ac:dyDescent="0.3"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</row>
    <row r="217" spans="2:13" x14ac:dyDescent="0.3"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</row>
    <row r="218" spans="2:13" x14ac:dyDescent="0.3"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</row>
    <row r="219" spans="2:13" x14ac:dyDescent="0.3"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</row>
    <row r="220" spans="2:13" x14ac:dyDescent="0.3"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</row>
    <row r="221" spans="2:13" x14ac:dyDescent="0.3"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</row>
    <row r="222" spans="2:13" x14ac:dyDescent="0.3"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</row>
    <row r="223" spans="2:13" x14ac:dyDescent="0.3"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</row>
    <row r="224" spans="2:13" x14ac:dyDescent="0.3"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</row>
    <row r="225" spans="2:13" x14ac:dyDescent="0.3"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</row>
    <row r="226" spans="2:13" x14ac:dyDescent="0.3"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</row>
    <row r="227" spans="2:13" x14ac:dyDescent="0.3"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</row>
    <row r="228" spans="2:13" x14ac:dyDescent="0.3"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</row>
  </sheetData>
  <mergeCells count="44">
    <mergeCell ref="B104:Q106"/>
    <mergeCell ref="B107:Q109"/>
    <mergeCell ref="B110:Q112"/>
    <mergeCell ref="B113:Q115"/>
    <mergeCell ref="B89:Q91"/>
    <mergeCell ref="B92:Q94"/>
    <mergeCell ref="B95:Q97"/>
    <mergeCell ref="B98:Q100"/>
    <mergeCell ref="B101:Q103"/>
    <mergeCell ref="B74:Q76"/>
    <mergeCell ref="B77:Q79"/>
    <mergeCell ref="B80:Q82"/>
    <mergeCell ref="B83:Q85"/>
    <mergeCell ref="B86:Q88"/>
    <mergeCell ref="B18:Q20"/>
    <mergeCell ref="B21:Q23"/>
    <mergeCell ref="B65:Q67"/>
    <mergeCell ref="B68:Q70"/>
    <mergeCell ref="B71:Q73"/>
    <mergeCell ref="C24:K24"/>
    <mergeCell ref="C53:O53"/>
    <mergeCell ref="B59:Q61"/>
    <mergeCell ref="B47:Q49"/>
    <mergeCell ref="B50:Q52"/>
    <mergeCell ref="B33:Q35"/>
    <mergeCell ref="B36:Q38"/>
    <mergeCell ref="C39:H39"/>
    <mergeCell ref="C32:D32"/>
    <mergeCell ref="B2:Q2"/>
    <mergeCell ref="B3:Q3"/>
    <mergeCell ref="J6:P6"/>
    <mergeCell ref="J7:L7"/>
    <mergeCell ref="J8:L8"/>
    <mergeCell ref="B4:Q5"/>
    <mergeCell ref="C6:G6"/>
    <mergeCell ref="J14:L14"/>
    <mergeCell ref="J15:L15"/>
    <mergeCell ref="J16:L16"/>
    <mergeCell ref="J17:L17"/>
    <mergeCell ref="J9:L9"/>
    <mergeCell ref="J10:L10"/>
    <mergeCell ref="J11:L11"/>
    <mergeCell ref="J12:L12"/>
    <mergeCell ref="J13:L1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E8F3-6528-4395-AEB1-74DD7338EE14}">
  <sheetPr codeName="Planilha2"/>
  <dimension ref="A1:N43"/>
  <sheetViews>
    <sheetView zoomScale="85" zoomScaleNormal="85" workbookViewId="0">
      <pane xSplit="1" ySplit="3" topLeftCell="B32" activePane="bottomRight" state="frozen"/>
      <selection pane="topRight" activeCell="B1" sqref="B1"/>
      <selection pane="bottomLeft" activeCell="A4" sqref="A4"/>
      <selection pane="bottomRight" activeCell="J38" sqref="J38:J42"/>
    </sheetView>
  </sheetViews>
  <sheetFormatPr defaultRowHeight="15.6" x14ac:dyDescent="0.3"/>
  <cols>
    <col min="1" max="1" width="3.796875" customWidth="1"/>
    <col min="2" max="2" width="9.765625E-2" customWidth="1"/>
    <col min="3" max="3" width="10.19921875" customWidth="1"/>
    <col min="4" max="4" width="17.09765625" customWidth="1"/>
    <col min="5" max="5" width="9.3984375" customWidth="1"/>
    <col min="6" max="6" width="12.19921875" customWidth="1"/>
    <col min="7" max="7" width="18.796875" customWidth="1"/>
    <col min="8" max="8" width="10.8984375" customWidth="1"/>
    <col min="9" max="9" width="56.19921875" customWidth="1"/>
    <col min="10" max="10" width="28.19921875" customWidth="1"/>
    <col min="11" max="11" width="17.5" bestFit="1" customWidth="1"/>
    <col min="12" max="12" width="16" bestFit="1" customWidth="1"/>
    <col min="13" max="13" width="68.59765625" customWidth="1"/>
  </cols>
  <sheetData>
    <row r="1" spans="1:14" ht="16.2" thickBot="1" x14ac:dyDescent="0.35"/>
    <row r="2" spans="1:14" ht="45.6" customHeight="1" thickBot="1" x14ac:dyDescent="0.35">
      <c r="B2" s="302" t="s">
        <v>181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1:14" ht="54.6" customHeight="1" thickBot="1" x14ac:dyDescent="0.4">
      <c r="A3" s="1"/>
      <c r="B3" s="23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24</v>
      </c>
      <c r="H3" s="24" t="s">
        <v>8</v>
      </c>
      <c r="I3" s="24" t="s">
        <v>0</v>
      </c>
      <c r="J3" s="24" t="s">
        <v>9</v>
      </c>
      <c r="K3" s="24" t="s">
        <v>1</v>
      </c>
      <c r="L3" s="24" t="s">
        <v>10</v>
      </c>
      <c r="M3" s="22" t="s">
        <v>29</v>
      </c>
      <c r="N3" s="2"/>
    </row>
    <row r="4" spans="1:14" ht="31.2" x14ac:dyDescent="0.35">
      <c r="A4" s="1"/>
      <c r="B4" s="28">
        <f>'REGIÃO 11 - HISTÓRICO'!B4</f>
        <v>1</v>
      </c>
      <c r="C4" s="27" t="s">
        <v>163</v>
      </c>
      <c r="D4" s="26" t="str">
        <f>_xlfn.XLOOKUP(tbResumoR11[[#This Row],[REGIÃO]],tbRegioes[Código Região],tbRegioes[Contrato],"")</f>
        <v>049.2024</v>
      </c>
      <c r="E4" s="25">
        <f>'REGIÃO 11 - HISTÓRICO'!C4</f>
        <v>14</v>
      </c>
      <c r="F4" s="77" t="s">
        <v>30</v>
      </c>
      <c r="G4" s="187" t="str">
        <f>'REGIÃO 11 - HISTÓRICO'!D4</f>
        <v>jan/fev/mar</v>
      </c>
      <c r="H4" s="8">
        <v>204</v>
      </c>
      <c r="I4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ALIANÇA DO TOCANTINS - BREJINHO DE NAZARÉ</v>
      </c>
      <c r="J4" s="74" t="s">
        <v>106</v>
      </c>
      <c r="K4" s="9">
        <f>'REGIÃO 11 - HISTÓRICO'!E4</f>
        <v>177657.57</v>
      </c>
      <c r="L4" s="8" t="str">
        <f>'REGIÃO 11 - HISTÓRICO'!I4</f>
        <v>Concluída</v>
      </c>
      <c r="M4" s="33"/>
      <c r="N4" s="2"/>
    </row>
    <row r="5" spans="1:14" ht="18" x14ac:dyDescent="0.35">
      <c r="A5" s="1"/>
      <c r="B5" s="28">
        <f>'REGIÃO 11 - HISTÓRICO'!B5</f>
        <v>2</v>
      </c>
      <c r="C5" s="26" t="s">
        <v>163</v>
      </c>
      <c r="D5" s="26" t="str">
        <f>_xlfn.XLOOKUP(tbResumoR11[[#This Row],[REGIÃO]],tbRegioes[Código Região],tbRegioes[Contrato],"")</f>
        <v>049.2024</v>
      </c>
      <c r="E5" s="25">
        <f>'REGIÃO 11 - HISTÓRICO'!C5</f>
        <v>15</v>
      </c>
      <c r="F5" s="77" t="s">
        <v>30</v>
      </c>
      <c r="G5" s="187" t="str">
        <f>'REGIÃO 11 - HISTÓRICO'!D5</f>
        <v>jan/fev</v>
      </c>
      <c r="H5" s="8">
        <v>212</v>
      </c>
      <c r="I5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ARAGUAÇU - SANDOLÂNDIA</v>
      </c>
      <c r="J5" s="74" t="s">
        <v>17</v>
      </c>
      <c r="K5" s="9">
        <f>'REGIÃO 11 - HISTÓRICO'!E5</f>
        <v>25453.98</v>
      </c>
      <c r="L5" s="8" t="str">
        <f>'REGIÃO 11 - HISTÓRICO'!I5</f>
        <v>Concluída</v>
      </c>
      <c r="M5" s="33"/>
      <c r="N5" s="2"/>
    </row>
    <row r="6" spans="1:14" ht="31.2" x14ac:dyDescent="0.35">
      <c r="A6" s="1"/>
      <c r="B6" s="28">
        <f>'REGIÃO 11 - HISTÓRICO'!B6</f>
        <v>3</v>
      </c>
      <c r="C6" s="26" t="s">
        <v>163</v>
      </c>
      <c r="D6" s="26" t="str">
        <f>_xlfn.XLOOKUP(tbResumoR11[[#This Row],[REGIÃO]],tbRegioes[Código Região],tbRegioes[Contrato],"")</f>
        <v>049.2024</v>
      </c>
      <c r="E6" s="25">
        <f>'REGIÃO 11 - HISTÓRICO'!C6</f>
        <v>16</v>
      </c>
      <c r="F6" s="77" t="s">
        <v>30</v>
      </c>
      <c r="G6" s="187" t="str">
        <f>'REGIÃO 11 - HISTÓRICO'!D6</f>
        <v>jan/fev/mar</v>
      </c>
      <c r="H6" s="8">
        <v>220</v>
      </c>
      <c r="I6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 xml:space="preserve">RODOVIA TO-460 - TRECHO BR-242 (VILA QUIXABA) - SUCUPIRA </v>
      </c>
      <c r="J6" s="74" t="s">
        <v>106</v>
      </c>
      <c r="K6" s="9">
        <f>'REGIÃO 11 - HISTÓRICO'!E6</f>
        <v>42260.27</v>
      </c>
      <c r="L6" s="8" t="str">
        <f>'REGIÃO 11 - HISTÓRICO'!I6</f>
        <v>Concluída</v>
      </c>
      <c r="M6" s="33"/>
      <c r="N6" s="2"/>
    </row>
    <row r="7" spans="1:14" ht="31.2" x14ac:dyDescent="0.35">
      <c r="A7" s="1"/>
      <c r="B7" s="28">
        <f>'REGIÃO 11 - HISTÓRICO'!B7</f>
        <v>4</v>
      </c>
      <c r="C7" s="26" t="s">
        <v>163</v>
      </c>
      <c r="D7" s="26" t="str">
        <f>_xlfn.XLOOKUP(tbResumoR11[[#This Row],[REGIÃO]],tbRegioes[Código Região],tbRegioes[Contrato],"")</f>
        <v>049.2024</v>
      </c>
      <c r="E7" s="25">
        <f>'REGIÃO 11 - HISTÓRICO'!C7</f>
        <v>17</v>
      </c>
      <c r="F7" s="77" t="s">
        <v>30</v>
      </c>
      <c r="G7" s="187" t="str">
        <f>'REGIÃO 11 - HISTÓRICO'!D7</f>
        <v>jan/fev</v>
      </c>
      <c r="H7" s="8">
        <v>218</v>
      </c>
      <c r="I7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TO-373 - TRECHO ALVORADA - ARAGUAÇU - DIVISA TO-GO</v>
      </c>
      <c r="J7" s="74" t="s">
        <v>17</v>
      </c>
      <c r="K7" s="9">
        <f>'REGIÃO 11 - HISTÓRICO'!E7</f>
        <v>50319.98</v>
      </c>
      <c r="L7" s="8" t="str">
        <f>'REGIÃO 11 - HISTÓRICO'!I7</f>
        <v>Concluída</v>
      </c>
      <c r="M7" s="33"/>
      <c r="N7" s="2"/>
    </row>
    <row r="8" spans="1:14" ht="46.8" x14ac:dyDescent="0.35">
      <c r="A8" s="1"/>
      <c r="B8" s="28">
        <f>'REGIÃO 11 - HISTÓRICO'!B8</f>
        <v>5</v>
      </c>
      <c r="C8" s="26" t="s">
        <v>163</v>
      </c>
      <c r="D8" s="26" t="str">
        <f>_xlfn.XLOOKUP(tbResumoR11[[#This Row],[REGIÃO]],tbRegioes[Código Região],tbRegioes[Contrato],"")</f>
        <v>049.2024</v>
      </c>
      <c r="E8" s="25">
        <f>'REGIÃO 11 - HISTÓRICO'!C8</f>
        <v>18</v>
      </c>
      <c r="F8" s="74" t="s">
        <v>31</v>
      </c>
      <c r="G8" s="187" t="str">
        <f>'REGIÃO 11 - HISTÓRICO'!D8</f>
        <v>fev/mar/abr</v>
      </c>
      <c r="H8" s="8">
        <v>208</v>
      </c>
      <c r="I8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ENTR. TO-481 (CAPAO DO COCO) - FAZENDA COBRAPE</v>
      </c>
      <c r="J8" s="74" t="s">
        <v>606</v>
      </c>
      <c r="K8" s="9">
        <f>'REGIÃO 11 - HISTÓRICO'!E8</f>
        <v>842266.55</v>
      </c>
      <c r="L8" s="8" t="str">
        <f>'REGIÃO 11 - HISTÓRICO'!I8</f>
        <v>Concluída</v>
      </c>
      <c r="M8" s="33"/>
      <c r="N8" s="2"/>
    </row>
    <row r="9" spans="1:14" ht="46.8" x14ac:dyDescent="0.35">
      <c r="A9" s="1"/>
      <c r="B9" s="28">
        <f>'REGIÃO 11 - HISTÓRICO'!B9</f>
        <v>6</v>
      </c>
      <c r="C9" s="26" t="s">
        <v>163</v>
      </c>
      <c r="D9" s="26" t="str">
        <f>_xlfn.XLOOKUP(tbResumoR11[[#This Row],[REGIÃO]],tbRegioes[Código Região],tbRegioes[Contrato],"")</f>
        <v>049.2024</v>
      </c>
      <c r="E9" s="25">
        <f>'REGIÃO 11 - HISTÓRICO'!C9</f>
        <v>19</v>
      </c>
      <c r="F9" s="74" t="s">
        <v>31</v>
      </c>
      <c r="G9" s="187" t="str">
        <f>'REGIÃO 11 - HISTÓRICO'!D9</f>
        <v>fev/mar/abr</v>
      </c>
      <c r="H9" s="8">
        <v>221</v>
      </c>
      <c r="I9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TO-481 - TRECHO DUERÉ - ENTR. TO-181 (CAPAO DO COCO)</v>
      </c>
      <c r="J9" s="74" t="s">
        <v>606</v>
      </c>
      <c r="K9" s="9">
        <f>'REGIÃO 11 - HISTÓRICO'!E9</f>
        <v>583705.47</v>
      </c>
      <c r="L9" s="8" t="str">
        <f>'REGIÃO 11 - HISTÓRICO'!I9</f>
        <v>Concluída</v>
      </c>
      <c r="M9" s="33"/>
      <c r="N9" s="2"/>
    </row>
    <row r="10" spans="1:14" ht="31.2" x14ac:dyDescent="0.35">
      <c r="A10" s="1"/>
      <c r="B10" s="28">
        <f>'REGIÃO 11 - HISTÓRICO'!B10</f>
        <v>7</v>
      </c>
      <c r="C10" s="26" t="s">
        <v>163</v>
      </c>
      <c r="D10" s="26" t="str">
        <f>_xlfn.XLOOKUP(tbResumoR11[[#This Row],[REGIÃO]],tbRegioes[Código Região],tbRegioes[Contrato],"")</f>
        <v>049.2024</v>
      </c>
      <c r="E10" s="25">
        <f>'REGIÃO 11 - HISTÓRICO'!C10</f>
        <v>20</v>
      </c>
      <c r="F10" s="74" t="s">
        <v>32</v>
      </c>
      <c r="G10" s="187" t="str">
        <f>'REGIÃO 11 - HISTÓRICO'!D10</f>
        <v>mar/abr/mai</v>
      </c>
      <c r="H10" s="8">
        <v>202</v>
      </c>
      <c r="I10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SANDOLÂNDIA - FORMOSO DO ARAGUAIA</v>
      </c>
      <c r="J10" s="74" t="s">
        <v>17</v>
      </c>
      <c r="K10" s="9">
        <f>'REGIÃO 11 - HISTÓRICO'!E10</f>
        <v>38576.29</v>
      </c>
      <c r="L10" s="8" t="str">
        <f>'REGIÃO 11 - HISTÓRICO'!I10</f>
        <v>Concluída</v>
      </c>
      <c r="M10" s="33"/>
      <c r="N10" s="2"/>
    </row>
    <row r="11" spans="1:14" ht="31.2" x14ac:dyDescent="0.35">
      <c r="A11" s="1"/>
      <c r="B11" s="28">
        <f>'REGIÃO 11 - HISTÓRICO'!B11</f>
        <v>8</v>
      </c>
      <c r="C11" s="26" t="s">
        <v>163</v>
      </c>
      <c r="D11" s="26" t="str">
        <f>_xlfn.XLOOKUP(tbResumoR11[[#This Row],[REGIÃO]],tbRegioes[Código Região],tbRegioes[Contrato],"")</f>
        <v>049.2024</v>
      </c>
      <c r="E11" s="25">
        <f>'REGIÃO 11 - HISTÓRICO'!C11</f>
        <v>21</v>
      </c>
      <c r="F11" s="74" t="s">
        <v>32</v>
      </c>
      <c r="G11" s="187" t="str">
        <f>'REGIÃO 11 - HISTÓRICO'!D11</f>
        <v>mar/abr/mai</v>
      </c>
      <c r="H11" s="8">
        <v>209</v>
      </c>
      <c r="I11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FAZENDA COBRAPE - ENTR. BR-242</v>
      </c>
      <c r="J11" s="74" t="s">
        <v>106</v>
      </c>
      <c r="K11" s="9">
        <f>'REGIÃO 11 - HISTÓRICO'!E11</f>
        <v>390709.12</v>
      </c>
      <c r="L11" s="8" t="str">
        <f>'REGIÃO 11 - HISTÓRICO'!I11</f>
        <v>Concluída</v>
      </c>
      <c r="M11" s="33"/>
      <c r="N11" s="2"/>
    </row>
    <row r="12" spans="1:14" ht="31.2" x14ac:dyDescent="0.35">
      <c r="A12" s="1"/>
      <c r="B12" s="28">
        <f>'REGIÃO 11 - HISTÓRICO'!B12</f>
        <v>9</v>
      </c>
      <c r="C12" s="26" t="s">
        <v>163</v>
      </c>
      <c r="D12" s="26" t="str">
        <f>_xlfn.XLOOKUP(tbResumoR11[[#This Row],[REGIÃO]],tbRegioes[Código Região],tbRegioes[Contrato],"")</f>
        <v>049.2024</v>
      </c>
      <c r="E12" s="25">
        <f>'REGIÃO 11 - HISTÓRICO'!C12</f>
        <v>22</v>
      </c>
      <c r="F12" s="74" t="s">
        <v>32</v>
      </c>
      <c r="G12" s="187" t="str">
        <f>'REGIÃO 11 - HISTÓRICO'!D12</f>
        <v>mar/abr/mai</v>
      </c>
      <c r="H12" s="8">
        <v>210</v>
      </c>
      <c r="I12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ENTR. BR-242 - FUNDAÇÃO BRADESCO</v>
      </c>
      <c r="J12" s="74" t="s">
        <v>106</v>
      </c>
      <c r="K12" s="9">
        <f>'REGIÃO 11 - HISTÓRICO'!E12</f>
        <v>318931.06</v>
      </c>
      <c r="L12" s="8" t="str">
        <f>'REGIÃO 11 - HISTÓRICO'!I12</f>
        <v>Concluída</v>
      </c>
      <c r="M12" s="33"/>
      <c r="N12" s="2"/>
    </row>
    <row r="13" spans="1:14" ht="66" x14ac:dyDescent="0.3">
      <c r="B13" s="30">
        <f>'REGIÃO 11 - HISTÓRICO'!B13</f>
        <v>10</v>
      </c>
      <c r="C13" s="26" t="s">
        <v>163</v>
      </c>
      <c r="D13" s="26" t="str">
        <f>_xlfn.XLOOKUP(tbResumoR11[[#This Row],[REGIÃO]],tbRegioes[Código Região],tbRegioes[Contrato],"")</f>
        <v>049.2024</v>
      </c>
      <c r="E13" s="25">
        <f>'REGIÃO 11 - HISTÓRICO'!C13</f>
        <v>23</v>
      </c>
      <c r="F13" s="74" t="s">
        <v>32</v>
      </c>
      <c r="G13" s="187" t="str">
        <f>'REGIÃO 11 - HISTÓRICO'!D13</f>
        <v>mar/abr/mai</v>
      </c>
      <c r="H13" s="8">
        <v>214</v>
      </c>
      <c r="I13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TO-362 - TRECHO SANTA RITA DO TOCANTINS - BREJINHO DE NAZARÉ</v>
      </c>
      <c r="J13" s="74" t="s">
        <v>100</v>
      </c>
      <c r="K13" s="9">
        <f>'REGIÃO 11 - HISTÓRICO'!E13</f>
        <v>259096.53</v>
      </c>
      <c r="L13" s="8" t="str">
        <f>'REGIÃO 11 - HISTÓRICO'!I13</f>
        <v>Cancelada</v>
      </c>
      <c r="M13" s="33" t="s">
        <v>636</v>
      </c>
    </row>
    <row r="14" spans="1:14" ht="66" x14ac:dyDescent="0.3">
      <c r="B14" s="30">
        <f>'REGIÃO 11 - HISTÓRICO'!B14</f>
        <v>11</v>
      </c>
      <c r="C14" s="26" t="s">
        <v>163</v>
      </c>
      <c r="D14" s="26" t="str">
        <f>_xlfn.XLOOKUP(tbResumoR11[[#This Row],[REGIÃO]],tbRegioes[Código Região],tbRegioes[Contrato],"")</f>
        <v>049.2024</v>
      </c>
      <c r="E14" s="25">
        <f>'REGIÃO 11 - HISTÓRICO'!C14</f>
        <v>24</v>
      </c>
      <c r="F14" s="74" t="s">
        <v>32</v>
      </c>
      <c r="G14" s="187" t="str">
        <f>'REGIÃO 11 - HISTÓRICO'!D14</f>
        <v>mar/abr/mai</v>
      </c>
      <c r="H14" s="8">
        <v>223</v>
      </c>
      <c r="I14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TO-484 - TRECHO FIGUEIRÓPOLIS - KM 64 (RIO FORMOSO)</v>
      </c>
      <c r="J14" s="74" t="s">
        <v>606</v>
      </c>
      <c r="K14" s="9">
        <f>'REGIÃO 11 - HISTÓRICO'!E14</f>
        <v>86715.58</v>
      </c>
      <c r="L14" s="8" t="str">
        <f>'REGIÃO 11 - HISTÓRICO'!I14</f>
        <v>Cancelada</v>
      </c>
      <c r="M14" s="33" t="s">
        <v>636</v>
      </c>
    </row>
    <row r="15" spans="1:14" ht="31.2" x14ac:dyDescent="0.3">
      <c r="B15" s="32">
        <f>'REGIÃO 11 - HISTÓRICO'!B15</f>
        <v>12</v>
      </c>
      <c r="C15" s="26" t="s">
        <v>163</v>
      </c>
      <c r="D15" s="26" t="str">
        <f>_xlfn.XLOOKUP(tbResumoR11[[#This Row],[REGIÃO]],tbRegioes[Código Região],tbRegioes[Contrato],"")</f>
        <v>049.2024</v>
      </c>
      <c r="E15" s="202">
        <f>'REGIÃO 11 - HISTÓRICO'!C15</f>
        <v>25</v>
      </c>
      <c r="F15" s="74" t="s">
        <v>32</v>
      </c>
      <c r="G15" s="187" t="str">
        <f>'REGIÃO 11 - HISTÓRICO'!D15</f>
        <v>mar</v>
      </c>
      <c r="H15" s="8">
        <v>204</v>
      </c>
      <c r="I15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ALIANÇA DO TOCANTINS - BREJINHO DE NAZARÉ</v>
      </c>
      <c r="J15" s="74" t="s">
        <v>591</v>
      </c>
      <c r="K15" s="9">
        <f>'REGIÃO 11 - HISTÓRICO'!E15</f>
        <v>3173.97</v>
      </c>
      <c r="L15" s="8" t="str">
        <f>'REGIÃO 11 - HISTÓRICO'!I15</f>
        <v>Concluída</v>
      </c>
      <c r="M15" s="33"/>
    </row>
    <row r="16" spans="1:14" ht="31.2" x14ac:dyDescent="0.3">
      <c r="B16" s="32">
        <f>'REGIÃO 11 - HISTÓRICO'!B16</f>
        <v>13</v>
      </c>
      <c r="C16" s="26" t="s">
        <v>163</v>
      </c>
      <c r="D16" s="26" t="str">
        <f>_xlfn.XLOOKUP(tbResumoR11[[#This Row],[REGIÃO]],tbRegioes[Código Região],tbRegioes[Contrato],"")</f>
        <v>049.2024</v>
      </c>
      <c r="E16" s="25">
        <f>'REGIÃO 11 - HISTÓRICO'!C16</f>
        <v>26</v>
      </c>
      <c r="F16" s="74" t="s">
        <v>33</v>
      </c>
      <c r="G16" s="187" t="str">
        <f>'REGIÃO 11 - HISTÓRICO'!D16</f>
        <v>abr/mai</v>
      </c>
      <c r="H16" s="8">
        <v>204</v>
      </c>
      <c r="I16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ALIANÇA DO TOCANTINS - BREJINHO DE NAZARÉ</v>
      </c>
      <c r="J16" s="74" t="s">
        <v>42</v>
      </c>
      <c r="K16" s="9">
        <f>'REGIÃO 11 - HISTÓRICO'!E16</f>
        <v>31085.39</v>
      </c>
      <c r="L16" s="8" t="str">
        <f>'REGIÃO 11 - HISTÓRICO'!I16</f>
        <v>Concluída</v>
      </c>
      <c r="M16" s="33"/>
    </row>
    <row r="17" spans="2:13" ht="31.2" x14ac:dyDescent="0.3">
      <c r="B17" s="32">
        <f>'REGIÃO 11 - HISTÓRICO'!B17</f>
        <v>14</v>
      </c>
      <c r="C17" s="26" t="s">
        <v>163</v>
      </c>
      <c r="D17" s="26" t="str">
        <f>_xlfn.XLOOKUP(tbResumoR11[[#This Row],[REGIÃO]],tbRegioes[Código Região],tbRegioes[Contrato],"")</f>
        <v>049.2024</v>
      </c>
      <c r="E17" s="25">
        <f>'REGIÃO 11 - HISTÓRICO'!C17</f>
        <v>27</v>
      </c>
      <c r="F17" s="74" t="s">
        <v>33</v>
      </c>
      <c r="G17" s="187" t="str">
        <f>'REGIÃO 11 - HISTÓRICO'!D17</f>
        <v>abr/mai</v>
      </c>
      <c r="H17" s="8">
        <v>206</v>
      </c>
      <c r="I17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FORMOSO DO ARAGUAIA - DUERÉ</v>
      </c>
      <c r="J17" s="74" t="s">
        <v>17</v>
      </c>
      <c r="K17" s="9">
        <f>'REGIÃO 11 - HISTÓRICO'!E17</f>
        <v>32173.84</v>
      </c>
      <c r="L17" s="8" t="str">
        <f>'REGIÃO 11 - HISTÓRICO'!I17</f>
        <v>Concluída</v>
      </c>
      <c r="M17" s="33"/>
    </row>
    <row r="18" spans="2:13" ht="79.2" x14ac:dyDescent="0.3">
      <c r="B18" s="32">
        <f>'REGIÃO 11 - HISTÓRICO'!B18</f>
        <v>15</v>
      </c>
      <c r="C18" s="26" t="s">
        <v>163</v>
      </c>
      <c r="D18" s="26" t="str">
        <f>_xlfn.XLOOKUP(tbResumoR11[[#This Row],[REGIÃO]],tbRegioes[Código Região],tbRegioes[Contrato],"")</f>
        <v>049.2024</v>
      </c>
      <c r="E18" s="25">
        <f>'REGIÃO 11 - HISTÓRICO'!C18</f>
        <v>28</v>
      </c>
      <c r="F18" s="74" t="s">
        <v>34</v>
      </c>
      <c r="G18" s="187" t="str">
        <f>'REGIÃO 11 - HISTÓRICO'!D18</f>
        <v>mai/jun</v>
      </c>
      <c r="H18" s="8">
        <v>204</v>
      </c>
      <c r="I18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ALIANÇA DO TOCANTINS - BREJINHO DE NAZARÉ</v>
      </c>
      <c r="J18" s="74" t="s">
        <v>105</v>
      </c>
      <c r="K18" s="9">
        <f>'REGIÃO 11 - HISTÓRICO'!E18</f>
        <v>23752.58</v>
      </c>
      <c r="L18" s="8" t="str">
        <f>'REGIÃO 11 - HISTÓRICO'!I18</f>
        <v>Cancelada</v>
      </c>
      <c r="M18" s="33" t="s">
        <v>640</v>
      </c>
    </row>
    <row r="19" spans="2:13" ht="31.2" x14ac:dyDescent="0.3">
      <c r="B19" s="32">
        <f>'REGIÃO 11 - HISTÓRICO'!B19</f>
        <v>16</v>
      </c>
      <c r="C19" s="26" t="s">
        <v>163</v>
      </c>
      <c r="D19" s="26" t="str">
        <f>_xlfn.XLOOKUP(tbResumoR11[[#This Row],[REGIÃO]],tbRegioes[Código Região],tbRegioes[Contrato],"")</f>
        <v>049.2024</v>
      </c>
      <c r="E19" s="25">
        <f>'REGIÃO 11 - HISTÓRICO'!C19</f>
        <v>29</v>
      </c>
      <c r="F19" s="74" t="s">
        <v>34</v>
      </c>
      <c r="G19" s="187" t="str">
        <f>'REGIÃO 11 - HISTÓRICO'!D19</f>
        <v>mai/jun/jul</v>
      </c>
      <c r="H19" s="8">
        <v>205</v>
      </c>
      <c r="I19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DUERÉ - ALIANÇA DO TOCANTINS</v>
      </c>
      <c r="J19" s="74" t="s">
        <v>17</v>
      </c>
      <c r="K19" s="9">
        <f>'REGIÃO 11 - HISTÓRICO'!E19</f>
        <v>16378.85</v>
      </c>
      <c r="L19" s="8" t="str">
        <f>'REGIÃO 11 - HISTÓRICO'!I19</f>
        <v>Concluída</v>
      </c>
      <c r="M19" s="33"/>
    </row>
    <row r="20" spans="2:13" ht="31.2" x14ac:dyDescent="0.3">
      <c r="B20" s="32">
        <f>'REGIÃO 11 - HISTÓRICO'!B20</f>
        <v>17</v>
      </c>
      <c r="C20" s="26" t="s">
        <v>163</v>
      </c>
      <c r="D20" s="26" t="str">
        <f>_xlfn.XLOOKUP(tbResumoR11[[#This Row],[REGIÃO]],tbRegioes[Código Região],tbRegioes[Contrato],"")</f>
        <v>049.2024</v>
      </c>
      <c r="E20" s="25">
        <f>'REGIÃO 11 - HISTÓRICO'!C20</f>
        <v>30</v>
      </c>
      <c r="F20" s="74" t="s">
        <v>34</v>
      </c>
      <c r="G20" s="187" t="str">
        <f>'REGIÃO 11 - HISTÓRICO'!D20</f>
        <v>mai/jun/jul</v>
      </c>
      <c r="H20" s="8">
        <v>218</v>
      </c>
      <c r="I20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TO-373 - TRECHO ALVORADA - ARAGUAÇU - DIVISA TO-GO</v>
      </c>
      <c r="J20" s="74" t="s">
        <v>17</v>
      </c>
      <c r="K20" s="9">
        <f>'REGIÃO 11 - HISTÓRICO'!E20</f>
        <v>39853.56</v>
      </c>
      <c r="L20" s="8" t="str">
        <f>'REGIÃO 11 - HISTÓRICO'!I20</f>
        <v>Concluída</v>
      </c>
      <c r="M20" s="33"/>
    </row>
    <row r="21" spans="2:13" x14ac:dyDescent="0.3">
      <c r="B21" s="32">
        <f>'REGIÃO 11 - HISTÓRICO'!B21</f>
        <v>18</v>
      </c>
      <c r="C21" s="26" t="s">
        <v>163</v>
      </c>
      <c r="D21" s="26" t="str">
        <f>_xlfn.XLOOKUP(tbResumoR11[[#This Row],[REGIÃO]],tbRegioes[Código Região],tbRegioes[Contrato],"")</f>
        <v>049.2024</v>
      </c>
      <c r="E21" s="25">
        <f>'REGIÃO 11 - HISTÓRICO'!C21</f>
        <v>31</v>
      </c>
      <c r="F21" s="74" t="s">
        <v>34</v>
      </c>
      <c r="G21" s="187" t="str">
        <f>'REGIÃO 11 - HISTÓRICO'!D21</f>
        <v>mai/jun/jul</v>
      </c>
      <c r="H21" s="8">
        <v>219</v>
      </c>
      <c r="I21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TO-374 - TRECHO DUERÉ - GURUPI</v>
      </c>
      <c r="J21" s="74" t="s">
        <v>17</v>
      </c>
      <c r="K21" s="9">
        <f>'REGIÃO 11 - HISTÓRICO'!E21</f>
        <v>18928.21</v>
      </c>
      <c r="L21" s="8" t="str">
        <f>'REGIÃO 11 - HISTÓRICO'!I21</f>
        <v>Concluída</v>
      </c>
      <c r="M21" s="33"/>
    </row>
    <row r="22" spans="2:13" ht="31.2" x14ac:dyDescent="0.3">
      <c r="B22" s="32">
        <f>'REGIÃO 11 - HISTÓRICO'!B22</f>
        <v>19</v>
      </c>
      <c r="C22" s="26" t="s">
        <v>163</v>
      </c>
      <c r="D22" s="26" t="str">
        <f>_xlfn.XLOOKUP(tbResumoR11[[#This Row],[REGIÃO]],tbRegioes[Código Região],tbRegioes[Contrato],"")</f>
        <v>049.2024</v>
      </c>
      <c r="E22" s="25">
        <f>'REGIÃO 11 - HISTÓRICO'!C22</f>
        <v>32</v>
      </c>
      <c r="F22" s="74" t="s">
        <v>34</v>
      </c>
      <c r="G22" s="187" t="str">
        <f>'REGIÃO 11 - HISTÓRICO'!D22</f>
        <v>mai/jun</v>
      </c>
      <c r="H22" s="8">
        <v>204</v>
      </c>
      <c r="I22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ALIANÇA DO TOCANTINS - BREJINHO DE NAZARÉ</v>
      </c>
      <c r="J22" s="74" t="s">
        <v>641</v>
      </c>
      <c r="K22" s="9">
        <f>'REGIÃO 11 - HISTÓRICO'!E22</f>
        <v>37930.29</v>
      </c>
      <c r="L22" s="8" t="str">
        <f>'REGIÃO 11 - HISTÓRICO'!I22</f>
        <v>Concluída</v>
      </c>
      <c r="M22" s="33"/>
    </row>
    <row r="23" spans="2:13" ht="31.2" x14ac:dyDescent="0.3">
      <c r="B23" s="32">
        <f>'REGIÃO 11 - HISTÓRICO'!B23</f>
        <v>20</v>
      </c>
      <c r="C23" s="26" t="s">
        <v>163</v>
      </c>
      <c r="D23" s="26" t="str">
        <f>_xlfn.XLOOKUP(tbResumoR11[[#This Row],[REGIÃO]],tbRegioes[Código Região],tbRegioes[Contrato],"")</f>
        <v>049.2024</v>
      </c>
      <c r="E23" s="25">
        <f>'REGIÃO 11 - HISTÓRICO'!C23</f>
        <v>33</v>
      </c>
      <c r="F23" s="74" t="s">
        <v>34</v>
      </c>
      <c r="G23" s="187" t="str">
        <f>'REGIÃO 11 - HISTÓRICO'!D23</f>
        <v>mai/jun</v>
      </c>
      <c r="H23" s="8">
        <v>216</v>
      </c>
      <c r="I23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TO-365 - TRECHO RIO TOCANTINS (BALSA) - TREVO DA PRAIA - ENTR. BR-153</v>
      </c>
      <c r="J23" s="74" t="s">
        <v>17</v>
      </c>
      <c r="K23" s="9">
        <f>'REGIÃO 11 - HISTÓRICO'!E23</f>
        <v>21028</v>
      </c>
      <c r="L23" s="8" t="str">
        <f>'REGIÃO 11 - HISTÓRICO'!I23</f>
        <v>Concluída</v>
      </c>
      <c r="M23" s="33"/>
    </row>
    <row r="24" spans="2:13" ht="46.8" x14ac:dyDescent="0.3">
      <c r="B24" s="32">
        <f>'REGIÃO 11 - HISTÓRICO'!B24</f>
        <v>21</v>
      </c>
      <c r="C24" s="26" t="s">
        <v>163</v>
      </c>
      <c r="D24" s="26" t="str">
        <f>_xlfn.XLOOKUP(tbResumoR11[[#This Row],[REGIÃO]],tbRegioes[Código Região],tbRegioes[Contrato],"")</f>
        <v>049.2024</v>
      </c>
      <c r="E24" s="25">
        <f>'REGIÃO 11 - HISTÓRICO'!C24</f>
        <v>34</v>
      </c>
      <c r="F24" s="74" t="s">
        <v>35</v>
      </c>
      <c r="G24" s="187" t="str">
        <f>'REGIÃO 11 - HISTÓRICO'!D24</f>
        <v>jun/jul</v>
      </c>
      <c r="H24" s="8">
        <v>208</v>
      </c>
      <c r="I24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ENTR. TO-481 (CAPAO DO COCO) - FAZENDA COBRAPE</v>
      </c>
      <c r="J24" s="74" t="s">
        <v>100</v>
      </c>
      <c r="K24" s="9">
        <f>'REGIÃO 11 - HISTÓRICO'!E24</f>
        <v>592238.52</v>
      </c>
      <c r="L24" s="8" t="str">
        <f>'REGIÃO 11 - HISTÓRICO'!I24</f>
        <v>Concluída</v>
      </c>
      <c r="M24" s="33"/>
    </row>
    <row r="25" spans="2:13" ht="31.2" x14ac:dyDescent="0.3">
      <c r="B25" s="32">
        <f>'REGIÃO 11 - HISTÓRICO'!B25</f>
        <v>22</v>
      </c>
      <c r="C25" s="26" t="s">
        <v>163</v>
      </c>
      <c r="D25" s="26" t="str">
        <f>_xlfn.XLOOKUP(tbResumoR11[[#This Row],[REGIÃO]],tbRegioes[Código Região],tbRegioes[Contrato],"")</f>
        <v>049.2024</v>
      </c>
      <c r="E25" s="25">
        <f>'REGIÃO 11 - HISTÓRICO'!C25</f>
        <v>35</v>
      </c>
      <c r="F25" s="74" t="s">
        <v>35</v>
      </c>
      <c r="G25" s="187" t="str">
        <f>'REGIÃO 11 - HISTÓRICO'!D25</f>
        <v>jun/jul</v>
      </c>
      <c r="H25" s="8">
        <v>210</v>
      </c>
      <c r="I25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ENTR. BR-242 - FUNDAÇÃO BRADESCO</v>
      </c>
      <c r="J25" s="74" t="s">
        <v>42</v>
      </c>
      <c r="K25" s="9">
        <f>'REGIÃO 11 - HISTÓRICO'!E25</f>
        <v>34721.019999999997</v>
      </c>
      <c r="L25" s="8" t="str">
        <f>'REGIÃO 11 - HISTÓRICO'!I25</f>
        <v>Concluída</v>
      </c>
      <c r="M25" s="33"/>
    </row>
    <row r="26" spans="2:13" ht="31.2" x14ac:dyDescent="0.3">
      <c r="B26" s="32">
        <f>'REGIÃO 11 - HISTÓRICO'!B26</f>
        <v>23</v>
      </c>
      <c r="C26" s="26" t="s">
        <v>163</v>
      </c>
      <c r="D26" s="26" t="str">
        <f>_xlfn.XLOOKUP(tbResumoR11[[#This Row],[REGIÃO]],tbRegioes[Código Região],tbRegioes[Contrato],"")</f>
        <v>049.2024</v>
      </c>
      <c r="E26" s="25">
        <f>'REGIÃO 11 - HISTÓRICO'!C26</f>
        <v>36</v>
      </c>
      <c r="F26" s="74" t="s">
        <v>620</v>
      </c>
      <c r="G26" s="187" t="str">
        <f>'REGIÃO 11 - HISTÓRICO'!D26</f>
        <v>ago/set/out</v>
      </c>
      <c r="H26" s="8">
        <v>202</v>
      </c>
      <c r="I26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SANDOLÂNDIA - FORMOSO DO ARAGUAIA</v>
      </c>
      <c r="J26" s="74" t="s">
        <v>17</v>
      </c>
      <c r="K26" s="9">
        <f>'REGIÃO 11 - HISTÓRICO'!E26</f>
        <v>52055.37</v>
      </c>
      <c r="L26" s="8" t="str">
        <f>'REGIÃO 11 - HISTÓRICO'!I26</f>
        <v>Concluída</v>
      </c>
      <c r="M26" s="33"/>
    </row>
    <row r="27" spans="2:13" x14ac:dyDescent="0.3">
      <c r="B27" s="32">
        <f>'REGIÃO 11 - HISTÓRICO'!B27</f>
        <v>24</v>
      </c>
      <c r="C27" s="26" t="s">
        <v>163</v>
      </c>
      <c r="D27" s="26" t="str">
        <f>_xlfn.XLOOKUP(tbResumoR11[[#This Row],[REGIÃO]],tbRegioes[Código Região],tbRegioes[Contrato],"")</f>
        <v>049.2024</v>
      </c>
      <c r="E27" s="25">
        <f>'REGIÃO 11 - HISTÓRICO'!C27</f>
        <v>37</v>
      </c>
      <c r="F27" s="74" t="s">
        <v>620</v>
      </c>
      <c r="G27" s="187" t="str">
        <f>'REGIÃO 11 - HISTÓRICO'!D27</f>
        <v>ago/set</v>
      </c>
      <c r="H27" s="8">
        <v>212</v>
      </c>
      <c r="I27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ARAGUAÇU - SANDOLÂNDIA</v>
      </c>
      <c r="J27" s="74" t="s">
        <v>17</v>
      </c>
      <c r="K27" s="9">
        <f>'REGIÃO 11 - HISTÓRICO'!E27</f>
        <v>25053.71</v>
      </c>
      <c r="L27" s="8" t="str">
        <f>'REGIÃO 11 - HISTÓRICO'!I27</f>
        <v>Concluída</v>
      </c>
      <c r="M27" s="33"/>
    </row>
    <row r="28" spans="2:13" ht="52.8" x14ac:dyDescent="0.3">
      <c r="B28" s="32">
        <f>'REGIÃO 11 - HISTÓRICO'!B28</f>
        <v>25</v>
      </c>
      <c r="C28" s="26" t="s">
        <v>163</v>
      </c>
      <c r="D28" s="26" t="str">
        <f>_xlfn.XLOOKUP(tbResumoR11[[#This Row],[REGIÃO]],tbRegioes[Código Região],tbRegioes[Contrato],"")</f>
        <v>049.2024</v>
      </c>
      <c r="E28" s="25">
        <f>'REGIÃO 11 - HISTÓRICO'!C28</f>
        <v>38</v>
      </c>
      <c r="F28" s="74" t="s">
        <v>620</v>
      </c>
      <c r="G28" s="187" t="str">
        <f>'REGIÃO 11 - HISTÓRICO'!D28</f>
        <v>ago/set</v>
      </c>
      <c r="H28" s="8">
        <v>218</v>
      </c>
      <c r="I28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TO-373 - TRECHO ALVORADA - ARAGUAÇU - DIVISA TO-GO</v>
      </c>
      <c r="J28" s="74" t="s">
        <v>17</v>
      </c>
      <c r="K28" s="9">
        <f>'REGIÃO 11 - HISTÓRICO'!E28</f>
        <v>54614.53</v>
      </c>
      <c r="L28" s="8" t="str">
        <f>'REGIÃO 11 - HISTÓRICO'!I28</f>
        <v>Cancelada</v>
      </c>
      <c r="M28" s="33" t="s">
        <v>660</v>
      </c>
    </row>
    <row r="29" spans="2:13" ht="31.2" x14ac:dyDescent="0.3">
      <c r="B29" s="32">
        <f>'REGIÃO 11 - HISTÓRICO'!B29</f>
        <v>26</v>
      </c>
      <c r="C29" s="26" t="s">
        <v>163</v>
      </c>
      <c r="D29" s="26" t="str">
        <f>_xlfn.XLOOKUP(tbResumoR11[[#This Row],[REGIÃO]],tbRegioes[Código Região],tbRegioes[Contrato],"")</f>
        <v>049.2024</v>
      </c>
      <c r="E29" s="25">
        <f>'REGIÃO 11 - HISTÓRICO'!C29</f>
        <v>39</v>
      </c>
      <c r="F29" s="74" t="s">
        <v>621</v>
      </c>
      <c r="G29" s="187" t="str">
        <f>'REGIÃO 11 - HISTÓRICO'!D29</f>
        <v>jul/ago/set</v>
      </c>
      <c r="H29" s="8">
        <v>204</v>
      </c>
      <c r="I29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ALIANÇA DO TOCANTINS - BREJINHO DE NAZARÉ</v>
      </c>
      <c r="J29" s="74" t="s">
        <v>597</v>
      </c>
      <c r="K29" s="9">
        <f>'REGIÃO 11 - HISTÓRICO'!E29</f>
        <v>49869.41</v>
      </c>
      <c r="L29" s="8" t="str">
        <f>'REGIÃO 11 - HISTÓRICO'!I29</f>
        <v>Justificada</v>
      </c>
      <c r="M29" s="33"/>
    </row>
    <row r="30" spans="2:13" ht="31.2" x14ac:dyDescent="0.3">
      <c r="B30" s="32">
        <f>'REGIÃO 11 - HISTÓRICO'!B31</f>
        <v>28</v>
      </c>
      <c r="C30" s="26" t="s">
        <v>163</v>
      </c>
      <c r="D30" s="206" t="str">
        <f>_xlfn.XLOOKUP(tbResumoR11[[#This Row],[REGIÃO]],tbRegioes[Código Região],tbRegioes[Contrato],"")</f>
        <v>049.2024</v>
      </c>
      <c r="E30" s="25">
        <f>'REGIÃO 11 - HISTÓRICO'!C30</f>
        <v>40</v>
      </c>
      <c r="F30" s="208" t="s">
        <v>647</v>
      </c>
      <c r="G30" s="187" t="str">
        <f>'REGIÃO 11 - HISTÓRICO'!D30</f>
        <v>out</v>
      </c>
      <c r="H30" s="331">
        <v>204</v>
      </c>
      <c r="I30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ALIANÇA DO TOCANTINS - BREJINHO DE NAZARÉ</v>
      </c>
      <c r="J30" s="74" t="s">
        <v>56</v>
      </c>
      <c r="K30" s="9">
        <f>'REGIÃO 11 - HISTÓRICO'!E30</f>
        <v>2026.6</v>
      </c>
      <c r="L30" s="8" t="str">
        <f>'REGIÃO 11 - HISTÓRICO'!I30</f>
        <v>Em elaboração</v>
      </c>
      <c r="M30" s="211"/>
    </row>
    <row r="31" spans="2:13" ht="31.2" x14ac:dyDescent="0.3">
      <c r="B31" s="32">
        <f>'REGIÃO 11 - HISTÓRICO'!B32</f>
        <v>29</v>
      </c>
      <c r="C31" s="26" t="s">
        <v>163</v>
      </c>
      <c r="D31" s="26" t="str">
        <f>_xlfn.XLOOKUP(tbResumoR11[[#This Row],[REGIÃO]],tbRegioes[Código Região],tbRegioes[Contrato],"")</f>
        <v>049.2024</v>
      </c>
      <c r="E31" s="25">
        <f>'REGIÃO 11 - HISTÓRICO'!C31</f>
        <v>41</v>
      </c>
      <c r="F31" s="74" t="s">
        <v>620</v>
      </c>
      <c r="G31" s="187" t="str">
        <f>'REGIÃO 11 - HISTÓRICO'!D31</f>
        <v>ago/set</v>
      </c>
      <c r="H31" s="8">
        <v>220</v>
      </c>
      <c r="I31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 xml:space="preserve">RODOVIA TO-460 - TRECHO BR-242 (VILA QUIXABA) - SUCUPIRA </v>
      </c>
      <c r="J31" s="74" t="s">
        <v>17</v>
      </c>
      <c r="K31" s="9">
        <f>'REGIÃO 11 - HISTÓRICO'!E31</f>
        <v>7327.54</v>
      </c>
      <c r="L31" s="8" t="str">
        <f>'REGIÃO 11 - HISTÓRICO'!I31</f>
        <v>Concluída</v>
      </c>
      <c r="M31" s="33"/>
    </row>
    <row r="32" spans="2:13" ht="31.2" x14ac:dyDescent="0.3">
      <c r="B32" s="32">
        <f>'REGIÃO 11 - HISTÓRICO'!B33</f>
        <v>30</v>
      </c>
      <c r="C32" s="26" t="s">
        <v>163</v>
      </c>
      <c r="D32" s="26" t="str">
        <f>_xlfn.XLOOKUP(tbResumoR11[[#This Row],[REGIÃO]],tbRegioes[Código Região],tbRegioes[Contrato],"")</f>
        <v>049.2024</v>
      </c>
      <c r="E32" s="25">
        <f>'REGIÃO 11 - HISTÓRICO'!C32</f>
        <v>42</v>
      </c>
      <c r="F32" s="74" t="s">
        <v>620</v>
      </c>
      <c r="G32" s="187" t="str">
        <f>'REGIÃO 11 - HISTÓRICO'!D32</f>
        <v>ago/set</v>
      </c>
      <c r="H32" s="8">
        <v>214</v>
      </c>
      <c r="I32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TO-362 - TRECHO SANTA RITA DO TOCANTINS - BREJINHO DE NAZARÉ</v>
      </c>
      <c r="J32" s="74" t="s">
        <v>64</v>
      </c>
      <c r="K32" s="9">
        <f>'REGIÃO 11 - HISTÓRICO'!E32</f>
        <v>48592.65</v>
      </c>
      <c r="L32" s="8" t="str">
        <f>'REGIÃO 11 - HISTÓRICO'!I32</f>
        <v>Justificada</v>
      </c>
      <c r="M32" s="33"/>
    </row>
    <row r="33" spans="2:13" ht="31.2" x14ac:dyDescent="0.3">
      <c r="B33" s="32">
        <f>'REGIÃO 11 - HISTÓRICO'!B34</f>
        <v>31</v>
      </c>
      <c r="C33" s="26" t="s">
        <v>163</v>
      </c>
      <c r="D33" s="26" t="str">
        <f>_xlfn.XLOOKUP(tbResumoR11[[#This Row],[REGIÃO]],tbRegioes[Código Região],tbRegioes[Contrato],"")</f>
        <v>049.2024</v>
      </c>
      <c r="E33" s="25">
        <f>'REGIÃO 11 - HISTÓRICO'!C33</f>
        <v>43</v>
      </c>
      <c r="F33" s="74" t="s">
        <v>622</v>
      </c>
      <c r="G33" s="187" t="str">
        <f>'REGIÃO 11 - HISTÓRICO'!D33</f>
        <v>set/out</v>
      </c>
      <c r="H33" s="8">
        <v>215</v>
      </c>
      <c r="I33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TO-362 - TRECHO BREJINHO DE NAZARÉ - ENTR. TO-365 (ACESSO BALSA)</v>
      </c>
      <c r="J33" s="74" t="s">
        <v>64</v>
      </c>
      <c r="K33" s="9">
        <f>'REGIÃO 11 - HISTÓRICO'!E33</f>
        <v>39048.17</v>
      </c>
      <c r="L33" s="8" t="str">
        <f>'REGIÃO 11 - HISTÓRICO'!I33</f>
        <v>Em elaboração</v>
      </c>
      <c r="M33" s="33"/>
    </row>
    <row r="34" spans="2:13" ht="31.2" x14ac:dyDescent="0.3">
      <c r="B34" s="32">
        <f>'REGIÃO 11 - HISTÓRICO'!B35</f>
        <v>32</v>
      </c>
      <c r="C34" s="26" t="s">
        <v>163</v>
      </c>
      <c r="D34" s="26" t="str">
        <f>_xlfn.XLOOKUP(tbResumoR11[[#This Row],[REGIÃO]],tbRegioes[Código Região],tbRegioes[Contrato],"")</f>
        <v>049.2024</v>
      </c>
      <c r="E34" s="25">
        <f>'REGIÃO 11 - HISTÓRICO'!C34</f>
        <v>44</v>
      </c>
      <c r="F34" s="74" t="s">
        <v>622</v>
      </c>
      <c r="G34" s="187" t="str">
        <f>'REGIÃO 11 - HISTÓRICO'!D34</f>
        <v>set/out</v>
      </c>
      <c r="H34" s="8">
        <v>216</v>
      </c>
      <c r="I34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TO-365 - TRECHO RIO TOCANTINS (BALSA) - TREVO DA PRAIA - ENTR. BR-153</v>
      </c>
      <c r="J34" s="74" t="s">
        <v>64</v>
      </c>
      <c r="K34" s="9">
        <f>'REGIÃO 11 - HISTÓRICO'!E34</f>
        <v>36149.230000000003</v>
      </c>
      <c r="L34" s="8" t="str">
        <f>'REGIÃO 11 - HISTÓRICO'!I34</f>
        <v>Em elaboração</v>
      </c>
      <c r="M34" s="33"/>
    </row>
    <row r="35" spans="2:13" ht="31.2" x14ac:dyDescent="0.3">
      <c r="B35" s="32">
        <f>'REGIÃO 11 - HISTÓRICO'!B36</f>
        <v>33</v>
      </c>
      <c r="C35" s="26" t="s">
        <v>163</v>
      </c>
      <c r="D35" s="26" t="str">
        <f>_xlfn.XLOOKUP(tbResumoR11[[#This Row],[REGIÃO]],tbRegioes[Código Região],tbRegioes[Contrato],"")</f>
        <v>049.2024</v>
      </c>
      <c r="E35" s="25">
        <f>'REGIÃO 11 - HISTÓRICO'!C35</f>
        <v>45</v>
      </c>
      <c r="F35" s="74" t="s">
        <v>620</v>
      </c>
      <c r="G35" s="187" t="str">
        <f>'REGIÃO 11 - HISTÓRICO'!D35</f>
        <v>ago/set</v>
      </c>
      <c r="H35" s="8">
        <v>221</v>
      </c>
      <c r="I35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TO-481 - TRECHO DUERÉ - ENTR. TO-181 (CAPAO DO COCO)</v>
      </c>
      <c r="J35" s="74" t="s">
        <v>64</v>
      </c>
      <c r="K35" s="9">
        <f>'REGIÃO 11 - HISTÓRICO'!E35</f>
        <v>82686.17</v>
      </c>
      <c r="L35" s="8" t="str">
        <f>'REGIÃO 11 - HISTÓRICO'!I35</f>
        <v>Concluída</v>
      </c>
      <c r="M35" s="33"/>
    </row>
    <row r="36" spans="2:13" ht="31.2" x14ac:dyDescent="0.3">
      <c r="B36" s="32">
        <f>'REGIÃO 11 - HISTÓRICO'!B36</f>
        <v>33</v>
      </c>
      <c r="C36" s="26" t="s">
        <v>163</v>
      </c>
      <c r="D36" s="206" t="str">
        <f>_xlfn.XLOOKUP(tbResumoR11[[#This Row],[REGIÃO]],tbRegioes[Código Região],tbRegioes[Contrato],"")</f>
        <v>049.2024</v>
      </c>
      <c r="E36" s="25">
        <f>'REGIÃO 11 - HISTÓRICO'!C36</f>
        <v>46</v>
      </c>
      <c r="F36" s="208" t="s">
        <v>647</v>
      </c>
      <c r="G36" s="187" t="str">
        <f>'REGIÃO 11 - HISTÓRICO'!D36</f>
        <v>out</v>
      </c>
      <c r="H36" s="331">
        <v>206</v>
      </c>
      <c r="I36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FORMOSO DO ARAGUAIA - DUERÉ</v>
      </c>
      <c r="J36" s="74" t="s">
        <v>56</v>
      </c>
      <c r="K36" s="9">
        <f>'REGIÃO 11 - HISTÓRICO'!E36</f>
        <v>2279.6799999999998</v>
      </c>
      <c r="L36" s="8" t="str">
        <f>'REGIÃO 11 - HISTÓRICO'!I36</f>
        <v>Em elaboração</v>
      </c>
      <c r="M36" s="211"/>
    </row>
    <row r="37" spans="2:13" ht="31.2" x14ac:dyDescent="0.3">
      <c r="B37" s="32">
        <f>'REGIÃO 11 - HISTÓRICO'!B37</f>
        <v>34</v>
      </c>
      <c r="C37" s="26" t="s">
        <v>163</v>
      </c>
      <c r="D37" s="206" t="str">
        <f>_xlfn.XLOOKUP(tbResumoR11[[#This Row],[REGIÃO]],tbRegioes[Código Região],tbRegioes[Contrato],"")</f>
        <v>049.2024</v>
      </c>
      <c r="E37" s="25">
        <f>'REGIÃO 11 - HISTÓRICO'!C37</f>
        <v>47</v>
      </c>
      <c r="F37" s="208" t="s">
        <v>647</v>
      </c>
      <c r="G37" s="187" t="str">
        <f>'REGIÃO 11 - HISTÓRICO'!D37</f>
        <v>out/nov</v>
      </c>
      <c r="H37" s="331">
        <v>207</v>
      </c>
      <c r="I37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ENTR. TO-255 - ENTR. TO-481 (CAPAO DO COCO)</v>
      </c>
      <c r="J37" s="74" t="s">
        <v>591</v>
      </c>
      <c r="K37" s="9">
        <f>'REGIÃO 11 - HISTÓRICO'!E37</f>
        <v>78662.67</v>
      </c>
      <c r="L37" s="8" t="str">
        <f>'REGIÃO 11 - HISTÓRICO'!I37</f>
        <v>Em elaboração</v>
      </c>
      <c r="M37" s="211"/>
    </row>
    <row r="38" spans="2:13" ht="40.799999999999997" customHeight="1" x14ac:dyDescent="0.3">
      <c r="B38" s="32">
        <f>'REGIÃO 11 - HISTÓRICO'!B38</f>
        <v>35</v>
      </c>
      <c r="C38" s="26" t="s">
        <v>163</v>
      </c>
      <c r="D38" s="206" t="str">
        <f>_xlfn.XLOOKUP(tbResumoR11[[#This Row],[REGIÃO]],tbRegioes[Código Região],tbRegioes[Contrato],"")</f>
        <v>049.2024</v>
      </c>
      <c r="E38" s="25">
        <f>'REGIÃO 11 - HISTÓRICO'!C38</f>
        <v>48</v>
      </c>
      <c r="F38" s="208" t="s">
        <v>647</v>
      </c>
      <c r="G38" s="187" t="str">
        <f>'REGIÃO 11 - HISTÓRICO'!D38</f>
        <v>out</v>
      </c>
      <c r="H38" s="331">
        <v>208</v>
      </c>
      <c r="I38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ENTR. TO-481 (CAPAO DO COCO) - FAZENDA COBRAPE</v>
      </c>
      <c r="J38" s="74" t="s">
        <v>591</v>
      </c>
      <c r="K38" s="9">
        <f>'REGIÃO 11 - HISTÓRICO'!E38</f>
        <v>2814.46</v>
      </c>
      <c r="L38" s="8" t="str">
        <f>'REGIÃO 11 - HISTÓRICO'!I38</f>
        <v>Em elaboração</v>
      </c>
      <c r="M38" s="211"/>
    </row>
    <row r="39" spans="2:13" ht="31.2" x14ac:dyDescent="0.3">
      <c r="B39" s="32">
        <f>'REGIÃO 11 - HISTÓRICO'!B39</f>
        <v>36</v>
      </c>
      <c r="C39" s="26" t="s">
        <v>163</v>
      </c>
      <c r="D39" s="206" t="str">
        <f>_xlfn.XLOOKUP(tbResumoR11[[#This Row],[REGIÃO]],tbRegioes[Código Região],tbRegioes[Contrato],"")</f>
        <v>049.2024</v>
      </c>
      <c r="E39" s="25">
        <f>'REGIÃO 11 - HISTÓRICO'!C39</f>
        <v>49</v>
      </c>
      <c r="F39" s="208" t="s">
        <v>647</v>
      </c>
      <c r="G39" s="187" t="str">
        <f>'REGIÃO 11 - HISTÓRICO'!D39</f>
        <v>out</v>
      </c>
      <c r="H39" s="331">
        <v>210</v>
      </c>
      <c r="I39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ENTR. BR-242 - FUNDAÇÃO BRADESCO</v>
      </c>
      <c r="J39" s="74" t="s">
        <v>591</v>
      </c>
      <c r="K39" s="9">
        <f>'REGIÃO 11 - HISTÓRICO'!E39</f>
        <v>1154.46</v>
      </c>
      <c r="L39" s="8" t="str">
        <f>'REGIÃO 11 - HISTÓRICO'!I39</f>
        <v>Em elaboração</v>
      </c>
      <c r="M39" s="211"/>
    </row>
    <row r="40" spans="2:13" x14ac:dyDescent="0.3">
      <c r="B40" s="30">
        <f>'REGIÃO 11 - HISTÓRICO'!B37</f>
        <v>34</v>
      </c>
      <c r="C40" s="26" t="s">
        <v>163</v>
      </c>
      <c r="D40" s="206" t="str">
        <f>_xlfn.XLOOKUP(tbResumoR11[[#This Row],[REGIÃO]],tbRegioes[Código Região],tbRegioes[Contrato],"")</f>
        <v>049.2024</v>
      </c>
      <c r="E40" s="25">
        <f>'REGIÃO 11 - HISTÓRICO'!C40</f>
        <v>50</v>
      </c>
      <c r="F40" s="208" t="s">
        <v>647</v>
      </c>
      <c r="G40" s="187" t="str">
        <f>'REGIÃO 11 - HISTÓRICO'!D40</f>
        <v>out</v>
      </c>
      <c r="H40" s="8">
        <v>213</v>
      </c>
      <c r="I40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ARAGUAÇU - DIVISA TO-GO</v>
      </c>
      <c r="J40" s="74" t="s">
        <v>591</v>
      </c>
      <c r="K40" s="9">
        <f>'REGIÃO 11 - HISTÓRICO'!E40</f>
        <v>1064.44</v>
      </c>
      <c r="L40" s="8" t="str">
        <f>'REGIÃO 11 - HISTÓRICO'!I40</f>
        <v>Em elaboração</v>
      </c>
      <c r="M40" s="33"/>
    </row>
    <row r="41" spans="2:13" ht="31.2" x14ac:dyDescent="0.3">
      <c r="B41" s="30">
        <f>'REGIÃO 11 - HISTÓRICO'!B38</f>
        <v>35</v>
      </c>
      <c r="C41" s="26" t="s">
        <v>163</v>
      </c>
      <c r="D41" s="206" t="str">
        <f>_xlfn.XLOOKUP(tbResumoR11[[#This Row],[REGIÃO]],tbRegioes[Código Região],tbRegioes[Contrato],"")</f>
        <v>049.2024</v>
      </c>
      <c r="E41" s="25">
        <f>'REGIÃO 11 - HISTÓRICO'!C41</f>
        <v>51</v>
      </c>
      <c r="F41" s="208" t="s">
        <v>647</v>
      </c>
      <c r="G41" s="187" t="str">
        <f>'REGIÃO 11 - HISTÓRICO'!D41</f>
        <v>out/nov</v>
      </c>
      <c r="H41" s="8">
        <v>202</v>
      </c>
      <c r="I41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TO-070 - TRECHO SANDOLÂNDIA - FORMOSO DO ARAGUAIA</v>
      </c>
      <c r="J41" s="74" t="s">
        <v>591</v>
      </c>
      <c r="K41" s="9">
        <f>'REGIÃO 11 - HISTÓRICO'!E41</f>
        <v>6823.93</v>
      </c>
      <c r="L41" s="8" t="str">
        <f>'REGIÃO 11 - HISTÓRICO'!I41</f>
        <v>Em elaboração</v>
      </c>
      <c r="M41" s="33"/>
    </row>
    <row r="42" spans="2:13" x14ac:dyDescent="0.3">
      <c r="B42" s="32">
        <f>'REGIÃO 11 - HISTÓRICO'!B51</f>
        <v>48</v>
      </c>
      <c r="C42" s="26" t="s">
        <v>163</v>
      </c>
      <c r="D42" s="206" t="str">
        <f>_xlfn.XLOOKUP(tbResumoR11[[#This Row],[REGIÃO]],tbRegioes[Código Região],tbRegioes[Contrato],"")</f>
        <v>049.2024</v>
      </c>
      <c r="E42" s="25">
        <f>'REGIÃO 11 - HISTÓRICO'!C42</f>
        <v>52</v>
      </c>
      <c r="F42" s="208" t="s">
        <v>622</v>
      </c>
      <c r="G42" s="187" t="str">
        <f>'REGIÃO 11 - HISTÓRICO'!D42</f>
        <v>set/out/nov</v>
      </c>
      <c r="H42" s="8">
        <v>212</v>
      </c>
      <c r="I42" s="72" t="str">
        <f>IF(tbResumoR11[[#This Row],[N° TRECHO]]="","",IFERROR(INDEX('REGIÃO 11 - TRECHOS'!$F$4:$F$119,MATCH(tbResumoR11[[#This Row],[N° TRECHO]],'REGIÃO 11 - TRECHOS'!$E$4:$E$119,0)),IFERROR(INDEX('REGIÃO 12 - TRECHOS'!$F$4:$F$76,MATCH(tbResumoR11[[#This Row],[N° TRECHO]],'REGIÃO 12 - TRECHOS'!$E$4:$E$76,0)),IFERROR(INDEX('REGIÃO 13 - TRECHOS'!$F$4:$F$53,MATCH(tbResumoR11[[#This Row],[N° TRECHO]],'REGIÃO 13 - TRECHOS'!$E$4:$E$53,0)),"Trecho não cadastrado"))))</f>
        <v>RODOVIA TO-181 - TRECHO ARAGUAÇU - SANDOLÂNDIA</v>
      </c>
      <c r="J42" s="74" t="s">
        <v>591</v>
      </c>
      <c r="K42" s="9">
        <f>'REGIÃO 11 - HISTÓRICO'!E42</f>
        <v>0</v>
      </c>
      <c r="L42" s="8" t="str">
        <f>'REGIÃO 11 - HISTÓRICO'!I42</f>
        <v>Em elaboração</v>
      </c>
      <c r="M42" s="33"/>
    </row>
    <row r="43" spans="2:13" x14ac:dyDescent="0.3">
      <c r="B43" s="32">
        <f>'REGIÃO 11 - HISTÓRICO'!B52</f>
        <v>49</v>
      </c>
      <c r="C43" s="26"/>
      <c r="D43" s="26"/>
      <c r="E43" s="25"/>
      <c r="F43" s="74"/>
      <c r="G43" s="74"/>
      <c r="H43" s="8"/>
      <c r="I43" s="72"/>
      <c r="J43" s="74"/>
      <c r="K43" s="9"/>
      <c r="L43" s="9"/>
      <c r="M43" s="192"/>
    </row>
  </sheetData>
  <sheetProtection formatCells="0" formatColumns="0" formatRows="0" insertColumns="0" insertRows="0" insertHyperlinks="0" deleteColumns="0" deleteRows="0" sort="0" autoFilter="0" pivotTables="0"/>
  <mergeCells count="1">
    <mergeCell ref="B2:M2"/>
  </mergeCells>
  <phoneticPr fontId="3" type="noConversion"/>
  <dataValidations count="1">
    <dataValidation allowBlank="1" showInputMessage="1" showErrorMessage="1" sqref="D4:D43" xr:uid="{EA4C498E-E8B6-449B-A623-5B36F7421553}"/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2D97924-8F61-438C-90A8-F13CC85E3030}">
          <x14:formula1>
            <xm:f>'Tabelas Auxiliares'!$B$4:$B$9</xm:f>
          </x14:formula1>
          <xm:sqref>C4:C43</xm:sqref>
        </x14:dataValidation>
        <x14:dataValidation type="list" allowBlank="1" showInputMessage="1" showErrorMessage="1" xr:uid="{768184B7-E419-4EF4-9BEC-2D2449B6C76F}">
          <x14:formula1>
            <xm:f>'Tabelas Auxiliares'!$H$3:$H$81</xm:f>
          </x14:formula1>
          <xm:sqref>J43</xm:sqref>
        </x14:dataValidation>
        <x14:dataValidation type="list" allowBlank="1" showInputMessage="1" showErrorMessage="1" xr:uid="{ABF2E583-3AC1-41E8-B97F-D57C493CB7A6}">
          <x14:formula1>
            <xm:f>'Tabelas Auxiliares'!$M$4:$M$11</xm:f>
          </x14:formula1>
          <xm:sqref>L4:L42</xm:sqref>
        </x14:dataValidation>
        <x14:dataValidation type="list" allowBlank="1" showInputMessage="1" showErrorMessage="1" xr:uid="{8DD16081-4B6F-4EDA-A7A3-A7322F2731E7}">
          <x14:formula1>
            <xm:f>'Tabelas Auxiliares'!$H$3:$H$85</xm:f>
          </x14:formula1>
          <xm:sqref>J4:J42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F898-677C-4E3B-A818-DE9F4C75BE57}">
  <sheetPr codeName="Planilha3"/>
  <dimension ref="B2:AG56"/>
  <sheetViews>
    <sheetView zoomScale="85" zoomScaleNormal="85" workbookViewId="0">
      <pane xSplit="9" ySplit="3" topLeftCell="U25" activePane="bottomRight" state="frozen"/>
      <selection pane="topRight" activeCell="J1" sqref="J1"/>
      <selection pane="bottomLeft" activeCell="A4" sqref="A4"/>
      <selection pane="bottomRight" activeCell="E49" sqref="E49"/>
    </sheetView>
  </sheetViews>
  <sheetFormatPr defaultRowHeight="15.6" x14ac:dyDescent="0.3"/>
  <cols>
    <col min="1" max="1" width="3" customWidth="1"/>
    <col min="2" max="2" width="4.19921875" style="10" hidden="1" customWidth="1"/>
    <col min="3" max="3" width="11.69921875" style="10" customWidth="1"/>
    <col min="4" max="4" width="20" style="10" customWidth="1"/>
    <col min="5" max="7" width="22.5" customWidth="1"/>
    <col min="8" max="8" width="10.59765625" customWidth="1"/>
    <col min="9" max="9" width="22.5" style="35" customWidth="1"/>
    <col min="10" max="10" width="15.8984375" style="45" customWidth="1"/>
    <col min="11" max="11" width="14.69921875" style="10" customWidth="1"/>
    <col min="12" max="12" width="15.5" style="45" customWidth="1"/>
    <col min="13" max="13" width="14.796875" style="10" customWidth="1"/>
    <col min="14" max="14" width="15.59765625" customWidth="1"/>
    <col min="15" max="15" width="14.69921875" style="10" customWidth="1"/>
    <col min="16" max="16" width="15.59765625" customWidth="1"/>
    <col min="17" max="17" width="14.69921875" customWidth="1"/>
    <col min="18" max="18" width="15.59765625" customWidth="1"/>
    <col min="19" max="19" width="14.69921875" customWidth="1"/>
    <col min="20" max="20" width="15.59765625" customWidth="1"/>
    <col min="21" max="21" width="14.69921875" customWidth="1"/>
    <col min="22" max="22" width="15.59765625" customWidth="1"/>
    <col min="23" max="23" width="14.69921875" customWidth="1"/>
    <col min="24" max="24" width="15.59765625" customWidth="1"/>
    <col min="25" max="25" width="14.69921875" customWidth="1"/>
    <col min="26" max="26" width="15.59765625" customWidth="1"/>
    <col min="27" max="27" width="14.69921875" customWidth="1"/>
    <col min="28" max="28" width="15.59765625" customWidth="1"/>
    <col min="29" max="29" width="14.69921875" customWidth="1"/>
    <col min="30" max="30" width="15.59765625" customWidth="1"/>
    <col min="31" max="31" width="14.69921875" customWidth="1"/>
    <col min="32" max="32" width="15.59765625" customWidth="1"/>
    <col min="33" max="33" width="14.69921875" customWidth="1"/>
  </cols>
  <sheetData>
    <row r="2" spans="2:33" ht="30.6" customHeight="1" x14ac:dyDescent="0.3">
      <c r="B2" s="215" t="s">
        <v>181</v>
      </c>
      <c r="C2" s="216"/>
      <c r="D2" s="216"/>
      <c r="E2" s="216"/>
      <c r="F2" s="216"/>
      <c r="G2" s="216"/>
      <c r="H2" s="216"/>
      <c r="I2" s="216"/>
      <c r="J2" s="221">
        <v>46023</v>
      </c>
      <c r="K2" s="222"/>
      <c r="L2" s="223">
        <v>46054</v>
      </c>
      <c r="M2" s="224"/>
      <c r="N2" s="217">
        <v>46082</v>
      </c>
      <c r="O2" s="218"/>
      <c r="P2" s="219">
        <v>46113</v>
      </c>
      <c r="Q2" s="220"/>
      <c r="R2" s="221">
        <v>46143</v>
      </c>
      <c r="S2" s="222"/>
      <c r="T2" s="223">
        <v>46174</v>
      </c>
      <c r="U2" s="224"/>
      <c r="V2" s="217">
        <v>46204</v>
      </c>
      <c r="W2" s="218"/>
      <c r="X2" s="219">
        <v>46235</v>
      </c>
      <c r="Y2" s="220"/>
      <c r="Z2" s="221">
        <v>46266</v>
      </c>
      <c r="AA2" s="222"/>
      <c r="AB2" s="223">
        <v>46296</v>
      </c>
      <c r="AC2" s="224"/>
      <c r="AD2" s="217">
        <v>46327</v>
      </c>
      <c r="AE2" s="218"/>
      <c r="AF2" s="219">
        <v>46357</v>
      </c>
      <c r="AG2" s="220"/>
    </row>
    <row r="3" spans="2:33" ht="31.2" x14ac:dyDescent="0.3">
      <c r="B3" s="16" t="s">
        <v>3</v>
      </c>
      <c r="C3" s="16" t="s">
        <v>6</v>
      </c>
      <c r="D3" s="16" t="s">
        <v>24</v>
      </c>
      <c r="E3" s="16" t="s">
        <v>1</v>
      </c>
      <c r="F3" s="16" t="s">
        <v>25</v>
      </c>
      <c r="G3" s="16" t="s">
        <v>26</v>
      </c>
      <c r="H3" s="16" t="s">
        <v>28</v>
      </c>
      <c r="I3" s="48" t="s">
        <v>27</v>
      </c>
      <c r="J3" s="49" t="s">
        <v>23</v>
      </c>
      <c r="K3" s="13" t="s">
        <v>10</v>
      </c>
      <c r="L3" s="11" t="s">
        <v>23</v>
      </c>
      <c r="M3" s="11" t="s">
        <v>10</v>
      </c>
      <c r="N3" s="14" t="s">
        <v>23</v>
      </c>
      <c r="O3" s="14" t="s">
        <v>10</v>
      </c>
      <c r="P3" s="15" t="s">
        <v>23</v>
      </c>
      <c r="Q3" s="15" t="s">
        <v>10</v>
      </c>
      <c r="R3" s="13" t="s">
        <v>23</v>
      </c>
      <c r="S3" s="13" t="s">
        <v>10</v>
      </c>
      <c r="T3" s="11" t="s">
        <v>23</v>
      </c>
      <c r="U3" s="11" t="s">
        <v>10</v>
      </c>
      <c r="V3" s="14" t="s">
        <v>23</v>
      </c>
      <c r="W3" s="14" t="s">
        <v>10</v>
      </c>
      <c r="X3" s="15" t="s">
        <v>23</v>
      </c>
      <c r="Y3" s="15" t="s">
        <v>10</v>
      </c>
      <c r="Z3" s="13" t="s">
        <v>23</v>
      </c>
      <c r="AA3" s="13" t="s">
        <v>10</v>
      </c>
      <c r="AB3" s="11" t="s">
        <v>23</v>
      </c>
      <c r="AC3" s="11" t="s">
        <v>10</v>
      </c>
      <c r="AD3" s="14" t="s">
        <v>23</v>
      </c>
      <c r="AE3" s="14" t="s">
        <v>10</v>
      </c>
      <c r="AF3" s="15" t="s">
        <v>23</v>
      </c>
      <c r="AG3" s="15" t="s">
        <v>10</v>
      </c>
    </row>
    <row r="4" spans="2:33" x14ac:dyDescent="0.3">
      <c r="B4" s="29">
        <f t="shared" ref="B4:B53" si="0">ROW()-ROW($B$3)</f>
        <v>1</v>
      </c>
      <c r="C4" s="75">
        <v>14</v>
      </c>
      <c r="D4" s="12" t="s">
        <v>609</v>
      </c>
      <c r="E4" s="18">
        <v>177657.57</v>
      </c>
      <c r="F4" s="18">
        <f>SUM(J4,L4,N4,P4,R4,T4,V4,X4,Z4,AB4,AD4,AF4)</f>
        <v>131038.59</v>
      </c>
      <c r="G4" s="47">
        <f t="shared" ref="G4:G11" si="1">E4-F4</f>
        <v>46618.98000000001</v>
      </c>
      <c r="H4" s="46">
        <f t="shared" ref="H4:H42" si="2">IFERROR(F4/E4,0)</f>
        <v>0.73759080460235937</v>
      </c>
      <c r="I4" s="78" t="str" cm="1">
        <f t="array" ref="I4">IFERROR(LOOKUP(2,1/((MOD(COLUMN($K4:$AG4),2)=1)*($K4:$AG4&lt;&gt;"-")*($K4:$AG4&lt;&gt;"")),$K4:$AG4),"-")</f>
        <v>Concluída</v>
      </c>
      <c r="J4" s="44"/>
      <c r="K4" s="21" t="s">
        <v>20</v>
      </c>
      <c r="L4" s="44">
        <v>61902.720000000001</v>
      </c>
      <c r="M4" s="21" t="s">
        <v>18</v>
      </c>
      <c r="N4" s="44">
        <v>69135.87</v>
      </c>
      <c r="O4" s="21" t="s">
        <v>19</v>
      </c>
      <c r="P4" s="44"/>
      <c r="Q4" s="21"/>
      <c r="R4" s="44"/>
      <c r="S4" s="21"/>
      <c r="T4" s="44"/>
      <c r="U4" s="21"/>
      <c r="V4" s="44"/>
      <c r="W4" s="21"/>
      <c r="X4" s="44"/>
      <c r="Y4" s="21"/>
      <c r="Z4" s="44"/>
      <c r="AA4" s="21"/>
      <c r="AB4" s="44"/>
      <c r="AC4" s="21"/>
      <c r="AD4" s="44"/>
      <c r="AE4" s="21"/>
      <c r="AF4" s="44"/>
      <c r="AG4" s="21"/>
    </row>
    <row r="5" spans="2:33" x14ac:dyDescent="0.3">
      <c r="B5" s="29">
        <f t="shared" si="0"/>
        <v>2</v>
      </c>
      <c r="C5" s="75">
        <v>15</v>
      </c>
      <c r="D5" s="12" t="s">
        <v>22</v>
      </c>
      <c r="E5" s="18">
        <v>25453.98</v>
      </c>
      <c r="F5" s="18">
        <f t="shared" ref="F5:F11" si="3">SUM(J5,L5,N5,P5,R5,T5,V5,X5,Z5,AB5,AD5,AF5)</f>
        <v>24168.68</v>
      </c>
      <c r="G5" s="47">
        <f t="shared" si="1"/>
        <v>1285.2999999999993</v>
      </c>
      <c r="H5" s="46">
        <f t="shared" si="2"/>
        <v>0.94950494971709731</v>
      </c>
      <c r="I5" s="78" t="str" cm="1">
        <f t="array" ref="I5">IFERROR(LOOKUP(2,1/((MOD(COLUMN($K5:$AG5),2)=1)*($K5:$AG5&lt;&gt;"-")*($K5:$AG5&lt;&gt;"")),$K5:$AG5),"-")</f>
        <v>Concluída</v>
      </c>
      <c r="J5" s="44"/>
      <c r="K5" s="21" t="s">
        <v>20</v>
      </c>
      <c r="L5" s="44">
        <v>24168.68</v>
      </c>
      <c r="M5" s="21" t="s">
        <v>19</v>
      </c>
      <c r="N5" s="44"/>
      <c r="O5" s="21"/>
      <c r="P5" s="44"/>
      <c r="Q5" s="21"/>
      <c r="R5" s="44"/>
      <c r="S5" s="21"/>
      <c r="T5" s="44"/>
      <c r="U5" s="21"/>
      <c r="V5" s="44"/>
      <c r="W5" s="21"/>
      <c r="X5" s="44"/>
      <c r="Y5" s="21"/>
      <c r="Z5" s="44"/>
      <c r="AA5" s="21"/>
      <c r="AB5" s="44"/>
      <c r="AC5" s="21"/>
      <c r="AD5" s="44"/>
      <c r="AE5" s="21"/>
      <c r="AF5" s="44"/>
      <c r="AG5" s="21"/>
    </row>
    <row r="6" spans="2:33" x14ac:dyDescent="0.3">
      <c r="B6" s="29">
        <f t="shared" si="0"/>
        <v>3</v>
      </c>
      <c r="C6" s="75">
        <v>16</v>
      </c>
      <c r="D6" s="12" t="s">
        <v>609</v>
      </c>
      <c r="E6" s="18">
        <v>42260.27</v>
      </c>
      <c r="F6" s="18">
        <f t="shared" si="3"/>
        <v>32481.46</v>
      </c>
      <c r="G6" s="47">
        <f t="shared" si="1"/>
        <v>9778.8099999999977</v>
      </c>
      <c r="H6" s="46">
        <f t="shared" si="2"/>
        <v>0.76860512249448476</v>
      </c>
      <c r="I6" s="78" t="str" cm="1">
        <f t="array" ref="I6">IFERROR(LOOKUP(2,1/((MOD(COLUMN($K6:$AG6),2)=1)*($K6:$AG6&lt;&gt;"-")*($K6:$AG6&lt;&gt;"")),$K6:$AG6),"-")</f>
        <v>Concluída</v>
      </c>
      <c r="J6" s="44"/>
      <c r="K6" s="21" t="s">
        <v>20</v>
      </c>
      <c r="L6" s="44">
        <v>32481.46</v>
      </c>
      <c r="M6" s="21" t="s">
        <v>19</v>
      </c>
      <c r="N6" s="44"/>
      <c r="O6" s="21"/>
      <c r="P6" s="44"/>
      <c r="Q6" s="21"/>
      <c r="R6" s="44"/>
      <c r="S6" s="21"/>
      <c r="T6" s="44"/>
      <c r="U6" s="21"/>
      <c r="V6" s="44"/>
      <c r="W6" s="21"/>
      <c r="X6" s="44"/>
      <c r="Y6" s="21"/>
      <c r="Z6" s="44"/>
      <c r="AA6" s="21"/>
      <c r="AB6" s="44"/>
      <c r="AC6" s="21"/>
      <c r="AD6" s="44"/>
      <c r="AE6" s="21"/>
      <c r="AF6" s="44"/>
      <c r="AG6" s="21"/>
    </row>
    <row r="7" spans="2:33" x14ac:dyDescent="0.3">
      <c r="B7" s="29">
        <f t="shared" si="0"/>
        <v>4</v>
      </c>
      <c r="C7" s="75">
        <v>17</v>
      </c>
      <c r="D7" s="12" t="s">
        <v>22</v>
      </c>
      <c r="E7" s="18">
        <v>50319.98</v>
      </c>
      <c r="F7" s="18">
        <f t="shared" si="3"/>
        <v>47237.42</v>
      </c>
      <c r="G7" s="47">
        <f t="shared" si="1"/>
        <v>3082.5600000000049</v>
      </c>
      <c r="H7" s="46">
        <f t="shared" si="2"/>
        <v>0.93874083415772414</v>
      </c>
      <c r="I7" s="78" t="str" cm="1">
        <f t="array" ref="I7">IFERROR(LOOKUP(2,1/((MOD(COLUMN($K7:$AG7),2)=1)*($K7:$AG7&lt;&gt;"-")*($K7:$AG7&lt;&gt;"")),$K7:$AG7),"-")</f>
        <v>Concluída</v>
      </c>
      <c r="J7" s="44"/>
      <c r="K7" s="21" t="s">
        <v>20</v>
      </c>
      <c r="L7" s="44">
        <v>47237.42</v>
      </c>
      <c r="M7" s="21" t="s">
        <v>19</v>
      </c>
      <c r="N7" s="44"/>
      <c r="O7" s="21"/>
      <c r="P7" s="44"/>
      <c r="Q7" s="21"/>
      <c r="R7" s="44"/>
      <c r="S7" s="21"/>
      <c r="T7" s="44"/>
      <c r="U7" s="21"/>
      <c r="V7" s="44"/>
      <c r="W7" s="21"/>
      <c r="X7" s="44"/>
      <c r="Y7" s="21"/>
      <c r="Z7" s="44"/>
      <c r="AA7" s="21"/>
      <c r="AB7" s="44"/>
      <c r="AC7" s="21"/>
      <c r="AD7" s="44"/>
      <c r="AE7" s="21"/>
      <c r="AF7" s="44"/>
      <c r="AG7" s="21"/>
    </row>
    <row r="8" spans="2:33" x14ac:dyDescent="0.3">
      <c r="B8" s="29">
        <f t="shared" si="0"/>
        <v>5</v>
      </c>
      <c r="C8" s="75">
        <v>18</v>
      </c>
      <c r="D8" s="12" t="s">
        <v>615</v>
      </c>
      <c r="E8" s="18">
        <v>842266.55</v>
      </c>
      <c r="F8" s="18">
        <f t="shared" si="3"/>
        <v>328867.71999999997</v>
      </c>
      <c r="G8" s="47">
        <f t="shared" si="1"/>
        <v>513398.83000000007</v>
      </c>
      <c r="H8" s="46">
        <f t="shared" si="2"/>
        <v>0.39045563426447361</v>
      </c>
      <c r="I8" s="78" t="str" cm="1">
        <f t="array" ref="I8">IFERROR(LOOKUP(2,1/((MOD(COLUMN($K8:$AG8),2)=1)*($K8:$AG8&lt;&gt;"-")*($K8:$AG8&lt;&gt;"")),$K8:$AG8),"-")</f>
        <v>Concluída</v>
      </c>
      <c r="J8" s="44"/>
      <c r="K8" s="21"/>
      <c r="L8" s="44">
        <v>42026.62</v>
      </c>
      <c r="M8" s="21" t="s">
        <v>18</v>
      </c>
      <c r="N8" s="44"/>
      <c r="O8" s="21" t="s">
        <v>20</v>
      </c>
      <c r="P8" s="44">
        <v>286841.09999999998</v>
      </c>
      <c r="Q8" s="21" t="s">
        <v>19</v>
      </c>
      <c r="R8" s="44"/>
      <c r="S8" s="21"/>
      <c r="T8" s="44"/>
      <c r="U8" s="21"/>
      <c r="V8" s="44"/>
      <c r="W8" s="21"/>
      <c r="X8" s="44"/>
      <c r="Y8" s="21"/>
      <c r="Z8" s="44"/>
      <c r="AA8" s="21"/>
      <c r="AB8" s="44"/>
      <c r="AC8" s="21"/>
      <c r="AD8" s="44"/>
      <c r="AE8" s="21"/>
      <c r="AF8" s="44"/>
      <c r="AG8" s="21"/>
    </row>
    <row r="9" spans="2:33" x14ac:dyDescent="0.3">
      <c r="B9" s="29">
        <f t="shared" si="0"/>
        <v>6</v>
      </c>
      <c r="C9" s="75">
        <v>19</v>
      </c>
      <c r="D9" s="12" t="s">
        <v>615</v>
      </c>
      <c r="E9" s="18">
        <v>583705.47</v>
      </c>
      <c r="F9" s="18">
        <f t="shared" si="3"/>
        <v>582321.23</v>
      </c>
      <c r="G9" s="47">
        <f t="shared" si="1"/>
        <v>1384.2399999999907</v>
      </c>
      <c r="H9" s="46">
        <f t="shared" si="2"/>
        <v>0.99762853001874385</v>
      </c>
      <c r="I9" s="78" t="str" cm="1">
        <f t="array" ref="I9">IFERROR(LOOKUP(2,1/((MOD(COLUMN($K9:$AG9),2)=1)*($K9:$AG9&lt;&gt;"-")*($K9:$AG9&lt;&gt;"")),$K9:$AG9),"-")</f>
        <v>Concluída</v>
      </c>
      <c r="J9" s="44"/>
      <c r="K9" s="21"/>
      <c r="L9" s="44">
        <v>222834.09</v>
      </c>
      <c r="M9" s="21" t="s">
        <v>18</v>
      </c>
      <c r="N9" s="44">
        <v>359487.14</v>
      </c>
      <c r="O9" s="21" t="s">
        <v>19</v>
      </c>
      <c r="P9" s="44"/>
      <c r="Q9" s="21"/>
      <c r="R9" s="44"/>
      <c r="S9" s="21"/>
      <c r="T9" s="44"/>
      <c r="U9" s="21"/>
      <c r="V9" s="44"/>
      <c r="W9" s="21"/>
      <c r="X9" s="44"/>
      <c r="Y9" s="21"/>
      <c r="Z9" s="44"/>
      <c r="AA9" s="21"/>
      <c r="AB9" s="44"/>
      <c r="AC9" s="21"/>
      <c r="AD9" s="44"/>
      <c r="AE9" s="21"/>
      <c r="AF9" s="44"/>
      <c r="AG9" s="21"/>
    </row>
    <row r="10" spans="2:33" x14ac:dyDescent="0.3">
      <c r="B10" s="29">
        <f t="shared" si="0"/>
        <v>7</v>
      </c>
      <c r="C10" s="75">
        <v>20</v>
      </c>
      <c r="D10" s="12" t="s">
        <v>610</v>
      </c>
      <c r="E10" s="18">
        <v>38576.29</v>
      </c>
      <c r="F10" s="18">
        <f t="shared" si="3"/>
        <v>36651.57</v>
      </c>
      <c r="G10" s="47">
        <f t="shared" si="1"/>
        <v>1924.7200000000012</v>
      </c>
      <c r="H10" s="46">
        <f t="shared" si="2"/>
        <v>0.95010614032609142</v>
      </c>
      <c r="I10" s="78" t="str" cm="1">
        <f t="array" ref="I10">IFERROR(LOOKUP(2,1/((MOD(COLUMN($K10:$AG10),2)=1)*($K10:$AG10&lt;&gt;"-")*($K10:$AG10&lt;&gt;"")),$K10:$AG10),"-")</f>
        <v>Concluída</v>
      </c>
      <c r="J10" s="44"/>
      <c r="K10" s="21"/>
      <c r="L10" s="44"/>
      <c r="M10" s="21"/>
      <c r="N10" s="44">
        <v>36651.57</v>
      </c>
      <c r="O10" s="21" t="s">
        <v>19</v>
      </c>
      <c r="P10" s="44"/>
      <c r="Q10" s="21"/>
      <c r="R10" s="44"/>
      <c r="S10" s="21"/>
      <c r="T10" s="44"/>
      <c r="U10" s="21"/>
      <c r="V10" s="44"/>
      <c r="W10" s="21"/>
      <c r="X10" s="44"/>
      <c r="Y10" s="21"/>
      <c r="Z10" s="44"/>
      <c r="AA10" s="21"/>
      <c r="AB10" s="44"/>
      <c r="AC10" s="21"/>
      <c r="AD10" s="44"/>
      <c r="AE10" s="21"/>
      <c r="AF10" s="44"/>
      <c r="AG10" s="21"/>
    </row>
    <row r="11" spans="2:33" x14ac:dyDescent="0.3">
      <c r="B11" s="29">
        <f t="shared" si="0"/>
        <v>8</v>
      </c>
      <c r="C11" s="75">
        <v>21</v>
      </c>
      <c r="D11" s="12" t="s">
        <v>610</v>
      </c>
      <c r="E11" s="18">
        <v>390709.12</v>
      </c>
      <c r="F11" s="18">
        <f t="shared" si="3"/>
        <v>389020.48</v>
      </c>
      <c r="G11" s="47">
        <f t="shared" si="1"/>
        <v>1688.640000000014</v>
      </c>
      <c r="H11" s="46">
        <f t="shared" si="2"/>
        <v>0.99567801232794362</v>
      </c>
      <c r="I11" s="78" t="str" cm="1">
        <f t="array" ref="I11">IFERROR(LOOKUP(2,1/((MOD(COLUMN($K11:$AG11),2)=1)*($K11:$AG11&lt;&gt;"-")*($K11:$AG11&lt;&gt;"")),$K11:$AG11),"-")</f>
        <v>Concluída</v>
      </c>
      <c r="J11" s="44"/>
      <c r="K11" s="21"/>
      <c r="L11" s="44"/>
      <c r="M11" s="21"/>
      <c r="N11" s="44"/>
      <c r="O11" s="21" t="s">
        <v>20</v>
      </c>
      <c r="P11" s="44">
        <v>302300.44</v>
      </c>
      <c r="Q11" s="21" t="s">
        <v>18</v>
      </c>
      <c r="R11" s="44">
        <v>86720.04</v>
      </c>
      <c r="S11" s="21" t="s">
        <v>19</v>
      </c>
      <c r="T11" s="44"/>
      <c r="U11" s="21"/>
      <c r="V11" s="44"/>
      <c r="W11" s="21"/>
      <c r="X11" s="44"/>
      <c r="Y11" s="21"/>
      <c r="Z11" s="44"/>
      <c r="AA11" s="21"/>
      <c r="AB11" s="44"/>
      <c r="AC11" s="21"/>
      <c r="AD11" s="44"/>
      <c r="AE11" s="21"/>
      <c r="AF11" s="44"/>
      <c r="AG11" s="21"/>
    </row>
    <row r="12" spans="2:33" x14ac:dyDescent="0.3">
      <c r="B12" s="29">
        <f t="shared" si="0"/>
        <v>9</v>
      </c>
      <c r="C12" s="75">
        <v>22</v>
      </c>
      <c r="D12" s="12" t="s">
        <v>610</v>
      </c>
      <c r="E12" s="18">
        <v>318931.06</v>
      </c>
      <c r="F12" s="18">
        <f>SUM(J12,L12,N12,P12,R12,T12,V12,X12,Z12,AB12,AD12,AF12)</f>
        <v>100041.19</v>
      </c>
      <c r="G12" s="47">
        <f>E12-F12</f>
        <v>218889.87</v>
      </c>
      <c r="H12" s="46">
        <f t="shared" si="2"/>
        <v>0.31367653561242986</v>
      </c>
      <c r="I12" s="78" t="str" cm="1">
        <f t="array" ref="I12">IFERROR(LOOKUP(2,1/((MOD(COLUMN($K12:$AG12),2)=1)*($K12:$AG12&lt;&gt;"-")*($K12:$AG12&lt;&gt;"")),$K12:$AG12),"-")</f>
        <v>Concluída</v>
      </c>
      <c r="J12" s="44"/>
      <c r="K12" s="21"/>
      <c r="L12" s="44"/>
      <c r="M12" s="21"/>
      <c r="N12" s="44"/>
      <c r="O12" s="21" t="s">
        <v>20</v>
      </c>
      <c r="P12" s="44">
        <v>9520.64</v>
      </c>
      <c r="Q12" s="21" t="s">
        <v>18</v>
      </c>
      <c r="R12" s="44">
        <v>90520.55</v>
      </c>
      <c r="S12" s="21" t="s">
        <v>19</v>
      </c>
      <c r="T12" s="44"/>
      <c r="U12" s="21"/>
      <c r="V12" s="44"/>
      <c r="W12" s="21"/>
      <c r="X12" s="44"/>
      <c r="Y12" s="21"/>
      <c r="Z12" s="44"/>
      <c r="AA12" s="21"/>
      <c r="AB12" s="44"/>
      <c r="AC12" s="21"/>
      <c r="AD12" s="44"/>
      <c r="AE12" s="21"/>
      <c r="AF12" s="44"/>
      <c r="AG12" s="21"/>
    </row>
    <row r="13" spans="2:33" x14ac:dyDescent="0.3">
      <c r="B13" s="29">
        <f t="shared" si="0"/>
        <v>10</v>
      </c>
      <c r="C13" s="75">
        <v>23</v>
      </c>
      <c r="D13" s="12" t="s">
        <v>610</v>
      </c>
      <c r="E13" s="18">
        <v>259096.53</v>
      </c>
      <c r="F13" s="18">
        <f t="shared" ref="F13:F42" si="4">SUM(J13,L13,N13,P13,R13,T13,V13,X13,Z13,AB13,AD13,AF13)</f>
        <v>0</v>
      </c>
      <c r="G13" s="47">
        <f t="shared" ref="G13:G42" si="5">E13-F13</f>
        <v>259096.53</v>
      </c>
      <c r="H13" s="46">
        <f t="shared" si="2"/>
        <v>0</v>
      </c>
      <c r="I13" s="78" t="str" cm="1">
        <f t="array" ref="I13">IFERROR(LOOKUP(2,1/((MOD(COLUMN($K13:$AG13),2)=1)*($K13:$AG13&lt;&gt;"-")*($K13:$AG13&lt;&gt;"")),$K13:$AG13),"-")</f>
        <v>Cancelada</v>
      </c>
      <c r="J13" s="44"/>
      <c r="K13" s="21"/>
      <c r="L13" s="44"/>
      <c r="M13" s="21"/>
      <c r="N13" s="44"/>
      <c r="O13" s="21" t="s">
        <v>20</v>
      </c>
      <c r="P13" s="44">
        <v>0</v>
      </c>
      <c r="Q13" s="21" t="s">
        <v>21</v>
      </c>
      <c r="R13" s="44"/>
      <c r="S13" s="21"/>
      <c r="T13" s="44"/>
      <c r="U13" s="21"/>
      <c r="V13" s="44"/>
      <c r="W13" s="21"/>
      <c r="X13" s="44"/>
      <c r="Y13" s="21"/>
      <c r="Z13" s="44"/>
      <c r="AA13" s="21"/>
      <c r="AB13" s="44"/>
      <c r="AC13" s="21"/>
      <c r="AD13" s="44"/>
      <c r="AE13" s="21"/>
      <c r="AF13" s="44"/>
      <c r="AG13" s="21"/>
    </row>
    <row r="14" spans="2:33" x14ac:dyDescent="0.3">
      <c r="B14" s="29">
        <f t="shared" si="0"/>
        <v>11</v>
      </c>
      <c r="C14" s="75">
        <v>24</v>
      </c>
      <c r="D14" s="12" t="s">
        <v>610</v>
      </c>
      <c r="E14" s="18">
        <v>86715.58</v>
      </c>
      <c r="F14" s="18">
        <f t="shared" si="4"/>
        <v>0</v>
      </c>
      <c r="G14" s="47">
        <f t="shared" si="5"/>
        <v>86715.58</v>
      </c>
      <c r="H14" s="46">
        <f t="shared" si="2"/>
        <v>0</v>
      </c>
      <c r="I14" s="78" t="str" cm="1">
        <f t="array" ref="I14">IFERROR(LOOKUP(2,1/((MOD(COLUMN($K14:$AG14),2)=1)*($K14:$AG14&lt;&gt;"-")*($K14:$AG14&lt;&gt;"")),$K14:$AG14),"-")</f>
        <v>Cancelada</v>
      </c>
      <c r="J14" s="44"/>
      <c r="K14" s="21"/>
      <c r="L14" s="44"/>
      <c r="M14" s="21"/>
      <c r="N14" s="44"/>
      <c r="O14" s="21" t="s">
        <v>20</v>
      </c>
      <c r="P14" s="44">
        <v>0</v>
      </c>
      <c r="Q14" s="21" t="s">
        <v>21</v>
      </c>
      <c r="R14" s="44"/>
      <c r="S14" s="21"/>
      <c r="T14" s="44"/>
      <c r="U14" s="21"/>
      <c r="V14" s="44"/>
      <c r="W14" s="21"/>
      <c r="X14" s="44"/>
      <c r="Y14" s="21"/>
      <c r="Z14" s="44"/>
      <c r="AA14" s="21"/>
      <c r="AB14" s="44"/>
      <c r="AC14" s="21"/>
      <c r="AD14" s="44"/>
      <c r="AE14" s="21"/>
      <c r="AF14" s="44"/>
      <c r="AG14" s="21"/>
    </row>
    <row r="15" spans="2:33" x14ac:dyDescent="0.3">
      <c r="B15" s="29">
        <f t="shared" si="0"/>
        <v>12</v>
      </c>
      <c r="C15" s="75">
        <v>25</v>
      </c>
      <c r="D15" s="12" t="s">
        <v>611</v>
      </c>
      <c r="E15" s="18">
        <v>3173.97</v>
      </c>
      <c r="F15" s="18">
        <f t="shared" si="4"/>
        <v>3173.97</v>
      </c>
      <c r="G15" s="47">
        <f t="shared" si="5"/>
        <v>0</v>
      </c>
      <c r="H15" s="46">
        <f t="shared" si="2"/>
        <v>1</v>
      </c>
      <c r="I15" s="78" t="str" cm="1">
        <f t="array" ref="I15">IFERROR(LOOKUP(2,1/((MOD(COLUMN($K15:$AG15),2)=1)*($K15:$AG15&lt;&gt;"-")*($K15:$AG15&lt;&gt;"")),$K15:$AG15),"-")</f>
        <v>Concluída</v>
      </c>
      <c r="J15" s="44"/>
      <c r="K15" s="21"/>
      <c r="L15" s="44"/>
      <c r="M15" s="21"/>
      <c r="N15" s="44"/>
      <c r="O15" s="21"/>
      <c r="P15" s="44"/>
      <c r="Q15" s="21"/>
      <c r="R15" s="44">
        <v>3173.97</v>
      </c>
      <c r="S15" s="21" t="s">
        <v>19</v>
      </c>
      <c r="T15" s="44"/>
      <c r="U15" s="21"/>
      <c r="V15" s="44"/>
      <c r="W15" s="21"/>
      <c r="X15" s="44"/>
      <c r="Y15" s="21"/>
      <c r="Z15" s="44"/>
      <c r="AA15" s="21"/>
      <c r="AB15" s="44"/>
      <c r="AC15" s="21"/>
      <c r="AD15" s="44"/>
      <c r="AE15" s="21"/>
      <c r="AF15" s="44"/>
      <c r="AG15" s="21"/>
    </row>
    <row r="16" spans="2:33" x14ac:dyDescent="0.3">
      <c r="B16" s="29">
        <f t="shared" si="0"/>
        <v>13</v>
      </c>
      <c r="C16" s="75">
        <v>26</v>
      </c>
      <c r="D16" s="12" t="s">
        <v>623</v>
      </c>
      <c r="E16" s="18">
        <v>31085.39</v>
      </c>
      <c r="F16" s="18">
        <f t="shared" si="4"/>
        <v>27578.35</v>
      </c>
      <c r="G16" s="47">
        <f t="shared" si="5"/>
        <v>3507.0400000000009</v>
      </c>
      <c r="H16" s="46">
        <f t="shared" si="2"/>
        <v>0.8871804407150754</v>
      </c>
      <c r="I16" s="78" t="str" cm="1">
        <f t="array" ref="I16">IFERROR(LOOKUP(2,1/((MOD(COLUMN($K16:$AG16),2)=1)*($K16:$AG16&lt;&gt;"-")*($K16:$AG16&lt;&gt;"")),$K16:$AG16),"-")</f>
        <v>Concluída</v>
      </c>
      <c r="J16" s="44"/>
      <c r="K16" s="21"/>
      <c r="L16" s="44"/>
      <c r="M16" s="21"/>
      <c r="N16" s="44"/>
      <c r="O16" s="21"/>
      <c r="P16" s="44"/>
      <c r="Q16" s="21" t="s">
        <v>20</v>
      </c>
      <c r="R16" s="44">
        <v>27578.35</v>
      </c>
      <c r="S16" s="21" t="s">
        <v>19</v>
      </c>
      <c r="T16" s="44"/>
      <c r="U16" s="21"/>
      <c r="V16" s="44"/>
      <c r="W16" s="21"/>
      <c r="X16" s="44"/>
      <c r="Y16" s="21"/>
      <c r="Z16" s="44"/>
      <c r="AA16" s="21"/>
      <c r="AB16" s="44"/>
      <c r="AC16" s="21"/>
      <c r="AD16" s="44"/>
      <c r="AE16" s="21"/>
      <c r="AF16" s="44"/>
      <c r="AG16" s="21"/>
    </row>
    <row r="17" spans="2:33" x14ac:dyDescent="0.3">
      <c r="B17" s="29">
        <f t="shared" si="0"/>
        <v>14</v>
      </c>
      <c r="C17" s="75">
        <v>27</v>
      </c>
      <c r="D17" s="12" t="s">
        <v>623</v>
      </c>
      <c r="E17" s="18">
        <v>32173.84</v>
      </c>
      <c r="F17" s="18">
        <f t="shared" si="4"/>
        <v>32173.84</v>
      </c>
      <c r="G17" s="47">
        <f t="shared" si="5"/>
        <v>0</v>
      </c>
      <c r="H17" s="46">
        <f t="shared" si="2"/>
        <v>1</v>
      </c>
      <c r="I17" s="78" t="str" cm="1">
        <f t="array" ref="I17">IFERROR(LOOKUP(2,1/((MOD(COLUMN($K17:$AG17),2)=1)*($K17:$AG17&lt;&gt;"-")*($K17:$AG17&lt;&gt;"")),$K17:$AG17),"-")</f>
        <v>Concluída</v>
      </c>
      <c r="J17" s="44"/>
      <c r="K17" s="21"/>
      <c r="L17" s="44"/>
      <c r="M17" s="21"/>
      <c r="N17" s="44"/>
      <c r="O17" s="21"/>
      <c r="P17" s="44"/>
      <c r="Q17" s="21" t="s">
        <v>20</v>
      </c>
      <c r="R17" s="44">
        <v>32173.84</v>
      </c>
      <c r="S17" s="21" t="s">
        <v>19</v>
      </c>
      <c r="T17" s="44"/>
      <c r="U17" s="21"/>
      <c r="V17" s="44"/>
      <c r="W17" s="21"/>
      <c r="X17" s="44"/>
      <c r="Y17" s="21"/>
      <c r="Z17" s="44"/>
      <c r="AA17" s="21"/>
      <c r="AB17" s="44"/>
      <c r="AC17" s="21"/>
      <c r="AD17" s="44"/>
      <c r="AE17" s="21"/>
      <c r="AF17" s="44"/>
      <c r="AG17" s="21"/>
    </row>
    <row r="18" spans="2:33" x14ac:dyDescent="0.3">
      <c r="B18" s="29">
        <f t="shared" si="0"/>
        <v>15</v>
      </c>
      <c r="C18" s="75">
        <v>28</v>
      </c>
      <c r="D18" s="12" t="s">
        <v>612</v>
      </c>
      <c r="E18" s="18">
        <v>23752.58</v>
      </c>
      <c r="F18" s="18">
        <f t="shared" si="4"/>
        <v>0</v>
      </c>
      <c r="G18" s="47">
        <f t="shared" si="5"/>
        <v>23752.58</v>
      </c>
      <c r="H18" s="46">
        <f t="shared" si="2"/>
        <v>0</v>
      </c>
      <c r="I18" s="78" t="str" cm="1">
        <f t="array" ref="I18">IFERROR(LOOKUP(2,1/((MOD(COLUMN($K18:$AG18),2)=1)*($K18:$AG18&lt;&gt;"-")*($K18:$AG18&lt;&gt;"")),$K18:$AG18),"-")</f>
        <v>Cancelada</v>
      </c>
      <c r="J18" s="44"/>
      <c r="K18" s="21"/>
      <c r="L18" s="44"/>
      <c r="M18" s="21"/>
      <c r="N18" s="44"/>
      <c r="O18" s="21"/>
      <c r="P18" s="44"/>
      <c r="Q18" s="21"/>
      <c r="R18" s="44">
        <v>0</v>
      </c>
      <c r="S18" s="21" t="s">
        <v>21</v>
      </c>
      <c r="T18" s="44"/>
      <c r="U18" s="21"/>
      <c r="V18" s="44"/>
      <c r="W18" s="21"/>
      <c r="X18" s="44"/>
      <c r="Y18" s="21"/>
      <c r="Z18" s="44"/>
      <c r="AA18" s="21"/>
      <c r="AB18" s="44"/>
      <c r="AC18" s="21"/>
      <c r="AD18" s="44"/>
      <c r="AE18" s="21"/>
      <c r="AF18" s="44"/>
      <c r="AG18" s="21"/>
    </row>
    <row r="19" spans="2:33" x14ac:dyDescent="0.3">
      <c r="B19" s="29">
        <f t="shared" si="0"/>
        <v>16</v>
      </c>
      <c r="C19" s="75">
        <v>29</v>
      </c>
      <c r="D19" s="12" t="s">
        <v>613</v>
      </c>
      <c r="E19" s="18">
        <v>16378.85</v>
      </c>
      <c r="F19" s="18">
        <f t="shared" si="4"/>
        <v>15597.85</v>
      </c>
      <c r="G19" s="47">
        <f t="shared" si="5"/>
        <v>781</v>
      </c>
      <c r="H19" s="46">
        <f t="shared" si="2"/>
        <v>0.95231655458106035</v>
      </c>
      <c r="I19" s="78" t="str" cm="1">
        <f t="array" ref="I19">IFERROR(LOOKUP(2,1/((MOD(COLUMN($K19:$AG19),2)=1)*($K19:$AG19&lt;&gt;"-")*($K19:$AG19&lt;&gt;"")),$K19:$AG19),"-")</f>
        <v>Concluída</v>
      </c>
      <c r="J19" s="44"/>
      <c r="K19" s="21"/>
      <c r="L19" s="44"/>
      <c r="M19" s="21"/>
      <c r="N19" s="44"/>
      <c r="O19" s="21"/>
      <c r="P19" s="44"/>
      <c r="Q19" s="21"/>
      <c r="R19" s="44"/>
      <c r="S19" s="21" t="s">
        <v>20</v>
      </c>
      <c r="T19" s="44">
        <v>15597.85</v>
      </c>
      <c r="U19" s="21" t="s">
        <v>19</v>
      </c>
      <c r="V19" s="44"/>
      <c r="W19" s="21"/>
      <c r="X19" s="44"/>
      <c r="Y19" s="21"/>
      <c r="Z19" s="44"/>
      <c r="AA19" s="21"/>
      <c r="AB19" s="44"/>
      <c r="AC19" s="21"/>
      <c r="AD19" s="44"/>
      <c r="AE19" s="21"/>
      <c r="AF19" s="44"/>
      <c r="AG19" s="21"/>
    </row>
    <row r="20" spans="2:33" x14ac:dyDescent="0.3">
      <c r="B20" s="29">
        <f t="shared" si="0"/>
        <v>17</v>
      </c>
      <c r="C20" s="75">
        <v>30</v>
      </c>
      <c r="D20" s="12" t="s">
        <v>613</v>
      </c>
      <c r="E20" s="18">
        <v>39853.56</v>
      </c>
      <c r="F20" s="18">
        <f t="shared" si="4"/>
        <v>37980.699999999997</v>
      </c>
      <c r="G20" s="47">
        <f t="shared" si="5"/>
        <v>1872.8600000000006</v>
      </c>
      <c r="H20" s="46">
        <f t="shared" si="2"/>
        <v>0.95300645663775074</v>
      </c>
      <c r="I20" s="78" t="str" cm="1">
        <f t="array" ref="I20">IFERROR(LOOKUP(2,1/((MOD(COLUMN($K20:$AG20),2)=1)*($K20:$AG20&lt;&gt;"-")*($K20:$AG20&lt;&gt;"")),$K20:$AG20),"-")</f>
        <v>Concluída</v>
      </c>
      <c r="J20" s="44"/>
      <c r="K20" s="21"/>
      <c r="L20" s="44"/>
      <c r="M20" s="21"/>
      <c r="N20" s="44"/>
      <c r="O20" s="21"/>
      <c r="P20" s="44"/>
      <c r="Q20" s="21"/>
      <c r="R20" s="44"/>
      <c r="S20" s="21" t="s">
        <v>20</v>
      </c>
      <c r="T20" s="44"/>
      <c r="U20" s="21" t="s">
        <v>20</v>
      </c>
      <c r="V20" s="44">
        <v>37980.699999999997</v>
      </c>
      <c r="W20" s="21" t="s">
        <v>19</v>
      </c>
      <c r="X20" s="44"/>
      <c r="Y20" s="21"/>
      <c r="Z20" s="44"/>
      <c r="AA20" s="21"/>
      <c r="AB20" s="44"/>
      <c r="AC20" s="21"/>
      <c r="AD20" s="44"/>
      <c r="AE20" s="21"/>
      <c r="AF20" s="44"/>
      <c r="AG20" s="21"/>
    </row>
    <row r="21" spans="2:33" x14ac:dyDescent="0.3">
      <c r="B21" s="29">
        <f t="shared" si="0"/>
        <v>18</v>
      </c>
      <c r="C21" s="75">
        <v>31</v>
      </c>
      <c r="D21" s="12" t="s">
        <v>613</v>
      </c>
      <c r="E21" s="18">
        <v>18928.21</v>
      </c>
      <c r="F21" s="18">
        <f t="shared" si="4"/>
        <v>18089.41</v>
      </c>
      <c r="G21" s="47">
        <f t="shared" si="5"/>
        <v>838.79999999999927</v>
      </c>
      <c r="H21" s="46">
        <f t="shared" si="2"/>
        <v>0.95568519157384668</v>
      </c>
      <c r="I21" s="78" t="str" cm="1">
        <f t="array" ref="I21">IFERROR(LOOKUP(2,1/((MOD(COLUMN($K21:$AG21),2)=1)*($K21:$AG21&lt;&gt;"-")*($K21:$AG21&lt;&gt;"")),$K21:$AG21),"-")</f>
        <v>Concluída</v>
      </c>
      <c r="J21" s="44"/>
      <c r="K21" s="21"/>
      <c r="L21" s="44"/>
      <c r="M21" s="21"/>
      <c r="N21" s="44"/>
      <c r="O21" s="21"/>
      <c r="P21" s="44"/>
      <c r="Q21" s="21"/>
      <c r="R21" s="44"/>
      <c r="S21" s="21" t="s">
        <v>20</v>
      </c>
      <c r="T21" s="44">
        <v>18089.41</v>
      </c>
      <c r="U21" s="21" t="s">
        <v>19</v>
      </c>
      <c r="V21" s="44"/>
      <c r="W21" s="21"/>
      <c r="X21" s="44"/>
      <c r="Y21" s="21"/>
      <c r="Z21" s="44"/>
      <c r="AA21" s="21"/>
      <c r="AB21" s="44"/>
      <c r="AC21" s="21"/>
      <c r="AD21" s="44"/>
      <c r="AE21" s="21"/>
      <c r="AF21" s="44"/>
      <c r="AG21" s="21"/>
    </row>
    <row r="22" spans="2:33" x14ac:dyDescent="0.3">
      <c r="B22" s="29">
        <f t="shared" si="0"/>
        <v>19</v>
      </c>
      <c r="C22" s="75">
        <v>32</v>
      </c>
      <c r="D22" s="12" t="s">
        <v>612</v>
      </c>
      <c r="E22" s="18">
        <v>37930.29</v>
      </c>
      <c r="F22" s="18">
        <f t="shared" si="4"/>
        <v>8106.86</v>
      </c>
      <c r="G22" s="47">
        <f t="shared" si="5"/>
        <v>29823.43</v>
      </c>
      <c r="H22" s="46">
        <f t="shared" si="2"/>
        <v>0.21373050403780197</v>
      </c>
      <c r="I22" s="78" t="str" cm="1">
        <f t="array" ref="I22">IFERROR(LOOKUP(2,1/((MOD(COLUMN($K22:$AG22),2)=1)*($K22:$AG22&lt;&gt;"-")*($K22:$AG22&lt;&gt;"")),$K22:$AG22),"-")</f>
        <v>Concluída</v>
      </c>
      <c r="J22" s="44"/>
      <c r="K22" s="21"/>
      <c r="L22" s="44"/>
      <c r="M22" s="21"/>
      <c r="N22" s="44"/>
      <c r="O22" s="21"/>
      <c r="P22" s="44"/>
      <c r="Q22" s="21"/>
      <c r="R22" s="44"/>
      <c r="S22" s="21" t="s">
        <v>20</v>
      </c>
      <c r="T22" s="44">
        <v>8106.86</v>
      </c>
      <c r="U22" s="21" t="s">
        <v>19</v>
      </c>
      <c r="V22" s="44"/>
      <c r="W22" s="21"/>
      <c r="X22" s="44"/>
      <c r="Y22" s="21"/>
      <c r="Z22" s="44"/>
      <c r="AA22" s="21"/>
      <c r="AB22" s="44"/>
      <c r="AC22" s="21"/>
      <c r="AD22" s="44"/>
      <c r="AE22" s="21"/>
      <c r="AF22" s="44"/>
      <c r="AG22" s="21"/>
    </row>
    <row r="23" spans="2:33" x14ac:dyDescent="0.3">
      <c r="B23" s="29">
        <f t="shared" si="0"/>
        <v>20</v>
      </c>
      <c r="C23" s="75">
        <v>33</v>
      </c>
      <c r="D23" s="12" t="s">
        <v>612</v>
      </c>
      <c r="E23" s="18">
        <v>21028</v>
      </c>
      <c r="F23" s="18">
        <f t="shared" si="4"/>
        <v>20104.998</v>
      </c>
      <c r="G23" s="47">
        <f t="shared" si="5"/>
        <v>923.00200000000041</v>
      </c>
      <c r="H23" s="46">
        <f t="shared" si="2"/>
        <v>0.95610604907742058</v>
      </c>
      <c r="I23" s="78" t="str" cm="1">
        <f t="array" ref="I23">IFERROR(LOOKUP(2,1/((MOD(COLUMN($K23:$AG23),2)=1)*($K23:$AG23&lt;&gt;"-")*($K23:$AG23&lt;&gt;"")),$K23:$AG23),"-")</f>
        <v>Concluída</v>
      </c>
      <c r="J23" s="44"/>
      <c r="K23" s="21"/>
      <c r="L23" s="44"/>
      <c r="M23" s="21"/>
      <c r="N23" s="44"/>
      <c r="O23" s="21"/>
      <c r="P23" s="44"/>
      <c r="Q23" s="21"/>
      <c r="R23" s="44">
        <v>20104.998</v>
      </c>
      <c r="S23" s="21" t="s">
        <v>19</v>
      </c>
      <c r="T23" s="44"/>
      <c r="U23" s="21"/>
      <c r="V23" s="44"/>
      <c r="W23" s="21"/>
      <c r="X23" s="44"/>
      <c r="Y23" s="21"/>
      <c r="Z23" s="44"/>
      <c r="AA23" s="21"/>
      <c r="AB23" s="44"/>
      <c r="AC23" s="21"/>
      <c r="AD23" s="44"/>
      <c r="AE23" s="21"/>
      <c r="AF23" s="44"/>
      <c r="AG23" s="21"/>
    </row>
    <row r="24" spans="2:33" x14ac:dyDescent="0.3">
      <c r="B24" s="29">
        <f t="shared" si="0"/>
        <v>21</v>
      </c>
      <c r="C24" s="75">
        <v>34</v>
      </c>
      <c r="D24" s="12" t="s">
        <v>614</v>
      </c>
      <c r="E24" s="18">
        <v>592238.52</v>
      </c>
      <c r="F24" s="18">
        <f>SUM(J24,L24,N24,P24,R24,T24,V24,X24,Z24,AB24,AD24,AF24)</f>
        <v>592227.24</v>
      </c>
      <c r="G24" s="47">
        <f t="shared" si="5"/>
        <v>11.28000000002794</v>
      </c>
      <c r="H24" s="46">
        <f t="shared" si="2"/>
        <v>0.99998095361983541</v>
      </c>
      <c r="I24" s="78" t="str" cm="1">
        <f t="array" ref="I24">IFERROR(LOOKUP(2,1/((MOD(COLUMN($K24:$AG24),2)=1)*($K24:$AG24&lt;&gt;"-")*($K24:$AG24&lt;&gt;"")),$K24:$AG24),"-")</f>
        <v>Concluída</v>
      </c>
      <c r="J24" s="44"/>
      <c r="K24" s="21"/>
      <c r="L24" s="44"/>
      <c r="M24" s="21"/>
      <c r="N24" s="44"/>
      <c r="O24" s="21"/>
      <c r="P24" s="44"/>
      <c r="Q24" s="21"/>
      <c r="R24" s="44"/>
      <c r="S24" s="21"/>
      <c r="T24" s="44">
        <v>476116.19</v>
      </c>
      <c r="U24" s="21" t="s">
        <v>18</v>
      </c>
      <c r="V24" s="44">
        <v>116111.05</v>
      </c>
      <c r="W24" s="21" t="s">
        <v>19</v>
      </c>
      <c r="X24" s="44"/>
      <c r="Y24" s="21"/>
      <c r="Z24" s="44"/>
      <c r="AA24" s="21"/>
      <c r="AB24" s="44"/>
      <c r="AC24" s="21"/>
      <c r="AD24" s="44"/>
      <c r="AE24" s="21"/>
      <c r="AF24" s="44"/>
      <c r="AG24" s="21"/>
    </row>
    <row r="25" spans="2:33" x14ac:dyDescent="0.3">
      <c r="B25" s="29">
        <f t="shared" si="0"/>
        <v>22</v>
      </c>
      <c r="C25" s="75">
        <v>35</v>
      </c>
      <c r="D25" s="12" t="s">
        <v>614</v>
      </c>
      <c r="E25" s="18">
        <v>34721.019999999997</v>
      </c>
      <c r="F25" s="18">
        <f>SUM(J25,L25,N25,P25,R25,T25,V25,X25,Z25,AB25,AD25,AF25)</f>
        <v>16320.18</v>
      </c>
      <c r="G25" s="47">
        <f t="shared" si="5"/>
        <v>18400.839999999997</v>
      </c>
      <c r="H25" s="46">
        <f t="shared" si="2"/>
        <v>0.47003745857696583</v>
      </c>
      <c r="I25" s="78" t="str" cm="1">
        <f t="array" ref="I25">IFERROR(LOOKUP(2,1/((MOD(COLUMN($K25:$AG25),2)=1)*($K25:$AG25&lt;&gt;"-")*($K25:$AG25&lt;&gt;"")),$K25:$AG25),"-")</f>
        <v>Concluída</v>
      </c>
      <c r="J25" s="44"/>
      <c r="K25" s="21"/>
      <c r="L25" s="44"/>
      <c r="M25" s="21"/>
      <c r="N25" s="44"/>
      <c r="O25" s="21"/>
      <c r="P25" s="44"/>
      <c r="Q25" s="21"/>
      <c r="R25" s="44"/>
      <c r="S25" s="21"/>
      <c r="T25" s="44">
        <v>16320.18</v>
      </c>
      <c r="U25" s="21" t="s">
        <v>19</v>
      </c>
      <c r="V25" s="44"/>
      <c r="W25" s="21"/>
      <c r="X25" s="44"/>
      <c r="Y25" s="21"/>
      <c r="Z25" s="44"/>
      <c r="AA25" s="21"/>
      <c r="AB25" s="44"/>
      <c r="AC25" s="21"/>
      <c r="AD25" s="44"/>
      <c r="AE25" s="21"/>
      <c r="AF25" s="44"/>
      <c r="AG25" s="21"/>
    </row>
    <row r="26" spans="2:33" x14ac:dyDescent="0.3">
      <c r="B26" s="29">
        <f t="shared" si="0"/>
        <v>23</v>
      </c>
      <c r="C26" s="75">
        <v>36</v>
      </c>
      <c r="D26" s="12" t="s">
        <v>624</v>
      </c>
      <c r="E26" s="18">
        <v>52055.37</v>
      </c>
      <c r="F26" s="18">
        <f t="shared" si="4"/>
        <v>50366.92</v>
      </c>
      <c r="G26" s="47">
        <f t="shared" si="5"/>
        <v>1688.4500000000044</v>
      </c>
      <c r="H26" s="46">
        <f t="shared" si="2"/>
        <v>0.96756434542680214</v>
      </c>
      <c r="I26" s="78" t="str" cm="1">
        <f t="array" ref="I26">IFERROR(LOOKUP(2,1/((MOD(COLUMN($K26:$AG26),2)=1)*($K26:$AG26&lt;&gt;"-")*($K26:$AG26&lt;&gt;"")),$K26:$AG26),"-")</f>
        <v>Concluída</v>
      </c>
      <c r="J26" s="44"/>
      <c r="K26" s="21"/>
      <c r="L26" s="44"/>
      <c r="M26" s="21"/>
      <c r="N26" s="44"/>
      <c r="O26" s="21"/>
      <c r="P26" s="44"/>
      <c r="Q26" s="21"/>
      <c r="R26" s="44"/>
      <c r="S26" s="21"/>
      <c r="T26" s="44"/>
      <c r="U26" s="21"/>
      <c r="V26" s="44"/>
      <c r="W26" s="21"/>
      <c r="X26" s="44">
        <v>50366.92</v>
      </c>
      <c r="Y26" s="21" t="s">
        <v>19</v>
      </c>
      <c r="Z26" s="44"/>
      <c r="AA26" s="21"/>
      <c r="AB26" s="44"/>
      <c r="AC26" s="21"/>
      <c r="AD26" s="44"/>
      <c r="AE26" s="21"/>
      <c r="AF26" s="44"/>
      <c r="AG26" s="21"/>
    </row>
    <row r="27" spans="2:33" x14ac:dyDescent="0.3">
      <c r="B27" s="29">
        <f t="shared" si="0"/>
        <v>24</v>
      </c>
      <c r="C27" s="75">
        <v>37</v>
      </c>
      <c r="D27" s="12" t="s">
        <v>625</v>
      </c>
      <c r="E27" s="18">
        <v>25053.71</v>
      </c>
      <c r="F27" s="18">
        <f t="shared" si="4"/>
        <v>20601.919999999998</v>
      </c>
      <c r="G27" s="47">
        <f t="shared" si="5"/>
        <v>4451.7900000000009</v>
      </c>
      <c r="H27" s="46">
        <f t="shared" si="2"/>
        <v>0.82231014887615439</v>
      </c>
      <c r="I27" s="78" t="str" cm="1">
        <f t="array" ref="I27">IFERROR(LOOKUP(2,1/((MOD(COLUMN($K27:$AG27),2)=1)*($K27:$AG27&lt;&gt;"-")*($K27:$AG27&lt;&gt;"")),$K27:$AG27),"-")</f>
        <v>Concluída</v>
      </c>
      <c r="J27" s="44"/>
      <c r="K27" s="21"/>
      <c r="L27" s="44"/>
      <c r="M27" s="21"/>
      <c r="N27" s="44"/>
      <c r="O27" s="21"/>
      <c r="P27" s="44"/>
      <c r="Q27" s="21"/>
      <c r="R27" s="44"/>
      <c r="S27" s="21"/>
      <c r="T27" s="44"/>
      <c r="U27" s="21"/>
      <c r="V27" s="44"/>
      <c r="W27" s="21"/>
      <c r="X27" s="44">
        <v>20601.919999999998</v>
      </c>
      <c r="Y27" s="21" t="s">
        <v>19</v>
      </c>
      <c r="Z27" s="44"/>
      <c r="AA27" s="21"/>
      <c r="AB27" s="44"/>
      <c r="AC27" s="21"/>
      <c r="AD27" s="44"/>
      <c r="AE27" s="21"/>
      <c r="AF27" s="44"/>
      <c r="AG27" s="21"/>
    </row>
    <row r="28" spans="2:33" x14ac:dyDescent="0.3">
      <c r="B28" s="29">
        <f t="shared" si="0"/>
        <v>25</v>
      </c>
      <c r="C28" s="75">
        <v>38</v>
      </c>
      <c r="D28" s="12" t="s">
        <v>625</v>
      </c>
      <c r="E28" s="18">
        <v>54614.53</v>
      </c>
      <c r="F28" s="18">
        <f t="shared" si="4"/>
        <v>0</v>
      </c>
      <c r="G28" s="47">
        <f t="shared" si="5"/>
        <v>54614.53</v>
      </c>
      <c r="H28" s="46">
        <f t="shared" si="2"/>
        <v>0</v>
      </c>
      <c r="I28" s="78" t="str" cm="1">
        <f t="array" ref="I28">IFERROR(LOOKUP(2,1/((MOD(COLUMN($K28:$AG28),2)=1)*($K28:$AG28&lt;&gt;"-")*($K28:$AG28&lt;&gt;"")),$K28:$AG28),"-")</f>
        <v>Cancelada</v>
      </c>
      <c r="J28" s="44"/>
      <c r="K28" s="21"/>
      <c r="L28" s="44"/>
      <c r="M28" s="21"/>
      <c r="N28" s="44"/>
      <c r="O28" s="21"/>
      <c r="P28" s="44"/>
      <c r="Q28" s="21"/>
      <c r="R28" s="44"/>
      <c r="S28" s="21"/>
      <c r="T28" s="44"/>
      <c r="U28" s="21"/>
      <c r="V28" s="44"/>
      <c r="W28" s="21"/>
      <c r="X28" s="44"/>
      <c r="Y28" s="21" t="s">
        <v>21</v>
      </c>
      <c r="Z28" s="44"/>
      <c r="AA28" s="21"/>
      <c r="AB28" s="44"/>
      <c r="AC28" s="21"/>
      <c r="AD28" s="44"/>
      <c r="AE28" s="21"/>
      <c r="AF28" s="44"/>
      <c r="AG28" s="21"/>
    </row>
    <row r="29" spans="2:33" x14ac:dyDescent="0.3">
      <c r="B29" s="29">
        <f t="shared" si="0"/>
        <v>26</v>
      </c>
      <c r="C29" s="75">
        <v>39</v>
      </c>
      <c r="D29" s="12" t="s">
        <v>626</v>
      </c>
      <c r="E29" s="18">
        <v>49869.41</v>
      </c>
      <c r="F29" s="18">
        <f t="shared" si="4"/>
        <v>29732.89</v>
      </c>
      <c r="G29" s="47">
        <f t="shared" si="5"/>
        <v>20136.520000000004</v>
      </c>
      <c r="H29" s="46">
        <f t="shared" si="2"/>
        <v>0.59621499432217062</v>
      </c>
      <c r="I29" s="78" t="str" cm="1">
        <f t="array" ref="I29">IFERROR(LOOKUP(2,1/((MOD(COLUMN($K29:$AG29),2)=1)*($K29:$AG29&lt;&gt;"-")*($K29:$AG29&lt;&gt;"")),$K29:$AG29),"-")</f>
        <v>Justificada</v>
      </c>
      <c r="J29" s="44"/>
      <c r="K29" s="21"/>
      <c r="L29" s="44"/>
      <c r="M29" s="21"/>
      <c r="N29" s="44"/>
      <c r="O29" s="21"/>
      <c r="P29" s="44"/>
      <c r="Q29" s="21"/>
      <c r="R29" s="44"/>
      <c r="S29" s="21"/>
      <c r="T29" s="44"/>
      <c r="U29" s="21"/>
      <c r="V29" s="44">
        <v>29732.89</v>
      </c>
      <c r="W29" s="21" t="s">
        <v>18</v>
      </c>
      <c r="X29" s="44"/>
      <c r="Y29" s="21" t="s">
        <v>20</v>
      </c>
      <c r="Z29" s="44"/>
      <c r="AA29" s="21"/>
      <c r="AB29" s="44"/>
      <c r="AC29" s="21"/>
      <c r="AD29" s="44"/>
      <c r="AE29" s="21"/>
      <c r="AF29" s="44"/>
      <c r="AG29" s="21"/>
    </row>
    <row r="30" spans="2:33" x14ac:dyDescent="0.3">
      <c r="B30" s="29"/>
      <c r="C30" s="75">
        <v>40</v>
      </c>
      <c r="D30" s="12" t="s">
        <v>659</v>
      </c>
      <c r="E30" s="18">
        <v>2026.6</v>
      </c>
      <c r="F30" s="18">
        <f t="shared" si="4"/>
        <v>0</v>
      </c>
      <c r="G30" s="47">
        <f t="shared" ref="G30" si="6">E30-F30</f>
        <v>2026.6</v>
      </c>
      <c r="H30" s="46">
        <f t="shared" ref="H30" si="7">IFERROR(F30/E30,0)</f>
        <v>0</v>
      </c>
      <c r="I30" s="78" t="str" cm="1">
        <f t="array" ref="I30">IFERROR(LOOKUP(2,1/((MOD(COLUMN($K30:$AG30),2)=1)*($K30:$AG30&lt;&gt;"-")*($K30:$AG30&lt;&gt;"")),$K30:$AG30),"-")</f>
        <v>Em elaboração</v>
      </c>
      <c r="J30" s="44"/>
      <c r="K30" s="21"/>
      <c r="L30" s="44"/>
      <c r="M30" s="21"/>
      <c r="N30" s="44"/>
      <c r="O30" s="21"/>
      <c r="P30" s="44"/>
      <c r="Q30" s="21"/>
      <c r="R30" s="44"/>
      <c r="S30" s="21"/>
      <c r="T30" s="44"/>
      <c r="U30" s="21"/>
      <c r="V30" s="44"/>
      <c r="W30" s="21"/>
      <c r="X30" s="44"/>
      <c r="Y30" s="21"/>
      <c r="Z30" s="44"/>
      <c r="AA30" s="21"/>
      <c r="AB30" s="44"/>
      <c r="AC30" s="21" t="s">
        <v>38</v>
      </c>
      <c r="AD30" s="44"/>
      <c r="AE30" s="21"/>
      <c r="AF30" s="44"/>
      <c r="AG30" s="21"/>
    </row>
    <row r="31" spans="2:33" x14ac:dyDescent="0.3">
      <c r="B31" s="29">
        <f t="shared" si="0"/>
        <v>28</v>
      </c>
      <c r="C31" s="75">
        <v>41</v>
      </c>
      <c r="D31" s="12" t="s">
        <v>625</v>
      </c>
      <c r="E31" s="18">
        <v>7327.54</v>
      </c>
      <c r="F31" s="18">
        <f t="shared" si="4"/>
        <v>6044.78</v>
      </c>
      <c r="G31" s="47">
        <f t="shared" si="5"/>
        <v>1282.7600000000002</v>
      </c>
      <c r="H31" s="46">
        <f t="shared" si="2"/>
        <v>0.82493988432679999</v>
      </c>
      <c r="I31" s="78" t="str" cm="1">
        <f t="array" ref="I31">IFERROR(LOOKUP(2,1/((MOD(COLUMN($K31:$AG31),2)=1)*($K31:$AG31&lt;&gt;"-")*($K31:$AG31&lt;&gt;"")),$K31:$AG31),"-")</f>
        <v>Concluída</v>
      </c>
      <c r="J31" s="44"/>
      <c r="K31" s="21"/>
      <c r="L31" s="44"/>
      <c r="M31" s="21"/>
      <c r="N31" s="44"/>
      <c r="O31" s="21"/>
      <c r="P31" s="44"/>
      <c r="Q31" s="21"/>
      <c r="R31" s="44"/>
      <c r="S31" s="21"/>
      <c r="T31" s="44"/>
      <c r="U31" s="21"/>
      <c r="V31" s="44"/>
      <c r="W31" s="21"/>
      <c r="X31" s="44">
        <v>6044.78</v>
      </c>
      <c r="Y31" s="21" t="s">
        <v>19</v>
      </c>
      <c r="Z31" s="44"/>
      <c r="AA31" s="21"/>
      <c r="AB31" s="44"/>
      <c r="AC31" s="21"/>
      <c r="AD31" s="44"/>
      <c r="AE31" s="21"/>
      <c r="AF31" s="44"/>
      <c r="AG31" s="21"/>
    </row>
    <row r="32" spans="2:33" x14ac:dyDescent="0.3">
      <c r="B32" s="29">
        <f t="shared" si="0"/>
        <v>29</v>
      </c>
      <c r="C32" s="75">
        <v>42</v>
      </c>
      <c r="D32" s="12" t="s">
        <v>625</v>
      </c>
      <c r="E32" s="18">
        <v>48592.65</v>
      </c>
      <c r="F32" s="18">
        <f t="shared" si="4"/>
        <v>0</v>
      </c>
      <c r="G32" s="47">
        <f t="shared" si="5"/>
        <v>48592.65</v>
      </c>
      <c r="H32" s="46">
        <f t="shared" si="2"/>
        <v>0</v>
      </c>
      <c r="I32" s="78" t="str" cm="1">
        <f t="array" ref="I32">IFERROR(LOOKUP(2,1/((MOD(COLUMN($K32:$AG32),2)=1)*($K32:$AG32&lt;&gt;"-")*($K32:$AG32&lt;&gt;"")),$K32:$AG32),"-")</f>
        <v>Justificada</v>
      </c>
      <c r="J32" s="44"/>
      <c r="K32" s="21"/>
      <c r="L32" s="44"/>
      <c r="M32" s="21"/>
      <c r="N32" s="44"/>
      <c r="O32" s="21"/>
      <c r="P32" s="44"/>
      <c r="Q32" s="21"/>
      <c r="R32" s="44"/>
      <c r="S32" s="21"/>
      <c r="T32" s="44"/>
      <c r="U32" s="21"/>
      <c r="V32" s="44"/>
      <c r="W32" s="21"/>
      <c r="X32" s="44"/>
      <c r="Y32" s="21" t="s">
        <v>20</v>
      </c>
      <c r="Z32" s="44"/>
      <c r="AA32" s="21"/>
      <c r="AB32" s="44"/>
      <c r="AC32" s="21"/>
      <c r="AD32" s="44"/>
      <c r="AE32" s="21"/>
      <c r="AF32" s="44"/>
      <c r="AG32" s="21"/>
    </row>
    <row r="33" spans="2:33" x14ac:dyDescent="0.3">
      <c r="B33" s="29">
        <f t="shared" si="0"/>
        <v>30</v>
      </c>
      <c r="C33" s="75">
        <v>43</v>
      </c>
      <c r="D33" s="12" t="s">
        <v>627</v>
      </c>
      <c r="E33" s="18">
        <v>39048.17</v>
      </c>
      <c r="F33" s="18">
        <f t="shared" si="4"/>
        <v>0</v>
      </c>
      <c r="G33" s="47">
        <f t="shared" si="5"/>
        <v>39048.17</v>
      </c>
      <c r="H33" s="46">
        <f t="shared" si="2"/>
        <v>0</v>
      </c>
      <c r="I33" s="78" t="str" cm="1">
        <f t="array" ref="I33">IFERROR(LOOKUP(2,1/((MOD(COLUMN($K33:$AG33),2)=1)*($K33:$AG33&lt;&gt;"-")*($K33:$AG33&lt;&gt;"")),$K33:$AG33),"-")</f>
        <v>Em elaboração</v>
      </c>
      <c r="J33" s="44"/>
      <c r="K33" s="21"/>
      <c r="L33" s="44"/>
      <c r="M33" s="21"/>
      <c r="N33" s="44"/>
      <c r="O33" s="21"/>
      <c r="P33" s="44"/>
      <c r="Q33" s="21"/>
      <c r="R33" s="44"/>
      <c r="S33" s="21"/>
      <c r="T33" s="44"/>
      <c r="U33" s="21"/>
      <c r="V33" s="44"/>
      <c r="W33" s="21"/>
      <c r="X33" s="44"/>
      <c r="Y33" s="21"/>
      <c r="Z33" s="44"/>
      <c r="AA33" s="21" t="s">
        <v>38</v>
      </c>
      <c r="AB33" s="44"/>
      <c r="AC33" s="21"/>
      <c r="AD33" s="44"/>
      <c r="AE33" s="21"/>
      <c r="AF33" s="44"/>
      <c r="AG33" s="21"/>
    </row>
    <row r="34" spans="2:33" x14ac:dyDescent="0.3">
      <c r="B34" s="29">
        <f t="shared" si="0"/>
        <v>31</v>
      </c>
      <c r="C34" s="75">
        <v>44</v>
      </c>
      <c r="D34" s="12" t="s">
        <v>627</v>
      </c>
      <c r="E34" s="18">
        <v>36149.230000000003</v>
      </c>
      <c r="F34" s="18">
        <f t="shared" si="4"/>
        <v>0</v>
      </c>
      <c r="G34" s="47">
        <f t="shared" si="5"/>
        <v>36149.230000000003</v>
      </c>
      <c r="H34" s="46">
        <f t="shared" si="2"/>
        <v>0</v>
      </c>
      <c r="I34" s="78" t="str" cm="1">
        <f t="array" ref="I34">IFERROR(LOOKUP(2,1/((MOD(COLUMN($K34:$AG34),2)=1)*($K34:$AG34&lt;&gt;"-")*($K34:$AG34&lt;&gt;"")),$K34:$AG34),"-")</f>
        <v>Em elaboração</v>
      </c>
      <c r="J34" s="44"/>
      <c r="K34" s="21"/>
      <c r="L34" s="44"/>
      <c r="M34" s="21"/>
      <c r="N34" s="44"/>
      <c r="O34" s="21"/>
      <c r="P34" s="44"/>
      <c r="Q34" s="21"/>
      <c r="R34" s="44"/>
      <c r="S34" s="21"/>
      <c r="T34" s="44"/>
      <c r="U34" s="21"/>
      <c r="V34" s="44"/>
      <c r="W34" s="21"/>
      <c r="X34" s="44"/>
      <c r="Y34" s="21"/>
      <c r="Z34" s="44"/>
      <c r="AA34" s="21" t="s">
        <v>38</v>
      </c>
      <c r="AB34" s="44"/>
      <c r="AC34" s="21"/>
      <c r="AD34" s="44"/>
      <c r="AE34" s="21"/>
      <c r="AF34" s="44"/>
      <c r="AG34" s="21"/>
    </row>
    <row r="35" spans="2:33" x14ac:dyDescent="0.3">
      <c r="B35" s="29">
        <f t="shared" si="0"/>
        <v>32</v>
      </c>
      <c r="C35" s="75">
        <v>45</v>
      </c>
      <c r="D35" s="12" t="s">
        <v>625</v>
      </c>
      <c r="E35" s="18">
        <v>82686.17</v>
      </c>
      <c r="F35" s="18">
        <f t="shared" si="4"/>
        <v>82686.17</v>
      </c>
      <c r="G35" s="47">
        <f t="shared" si="5"/>
        <v>0</v>
      </c>
      <c r="H35" s="46">
        <f t="shared" si="2"/>
        <v>1</v>
      </c>
      <c r="I35" s="78" t="str" cm="1">
        <f t="array" ref="I35">IFERROR(LOOKUP(2,1/((MOD(COLUMN($K35:$AG35),2)=1)*($K35:$AG35&lt;&gt;"-")*($K35:$AG35&lt;&gt;"")),$K35:$AG35),"-")</f>
        <v>Concluída</v>
      </c>
      <c r="J35" s="44"/>
      <c r="K35" s="21"/>
      <c r="L35" s="44"/>
      <c r="M35" s="21"/>
      <c r="N35" s="44"/>
      <c r="O35" s="21"/>
      <c r="P35" s="44"/>
      <c r="Q35" s="21"/>
      <c r="R35" s="44"/>
      <c r="S35" s="21"/>
      <c r="T35" s="44"/>
      <c r="U35" s="21"/>
      <c r="V35" s="44"/>
      <c r="W35" s="21"/>
      <c r="X35" s="44">
        <v>82686.17</v>
      </c>
      <c r="Y35" s="21" t="s">
        <v>19</v>
      </c>
      <c r="Z35" s="44"/>
      <c r="AA35" s="21"/>
      <c r="AB35" s="44"/>
      <c r="AC35" s="21"/>
      <c r="AD35" s="44"/>
      <c r="AE35" s="21"/>
      <c r="AF35" s="44"/>
      <c r="AG35" s="21"/>
    </row>
    <row r="36" spans="2:33" x14ac:dyDescent="0.3">
      <c r="B36" s="29">
        <f t="shared" si="0"/>
        <v>33</v>
      </c>
      <c r="C36" s="75">
        <v>46</v>
      </c>
      <c r="D36" s="12" t="s">
        <v>659</v>
      </c>
      <c r="E36" s="18">
        <v>2279.6799999999998</v>
      </c>
      <c r="F36" s="18">
        <f t="shared" si="4"/>
        <v>0</v>
      </c>
      <c r="G36" s="47">
        <f t="shared" si="5"/>
        <v>2279.6799999999998</v>
      </c>
      <c r="H36" s="46">
        <f t="shared" si="2"/>
        <v>0</v>
      </c>
      <c r="I36" s="78" t="str" cm="1">
        <f t="array" ref="I36">IFERROR(LOOKUP(2,1/((MOD(COLUMN($K36:$AG36),2)=1)*($K36:$AG36&lt;&gt;"-")*($K36:$AG36&lt;&gt;"")),$K36:$AG36),"-")</f>
        <v>Em elaboração</v>
      </c>
      <c r="J36" s="44"/>
      <c r="K36" s="21"/>
      <c r="L36" s="44"/>
      <c r="M36" s="21"/>
      <c r="N36" s="44"/>
      <c r="O36" s="21"/>
      <c r="P36" s="44"/>
      <c r="Q36" s="21"/>
      <c r="R36" s="44"/>
      <c r="S36" s="21"/>
      <c r="T36" s="44"/>
      <c r="U36" s="21"/>
      <c r="V36" s="44"/>
      <c r="W36" s="21"/>
      <c r="X36" s="44"/>
      <c r="Y36" s="21"/>
      <c r="Z36" s="44"/>
      <c r="AA36" s="21"/>
      <c r="AB36" s="44"/>
      <c r="AC36" s="21" t="s">
        <v>38</v>
      </c>
      <c r="AD36" s="44"/>
      <c r="AE36" s="21"/>
      <c r="AF36" s="44"/>
      <c r="AG36" s="21"/>
    </row>
    <row r="37" spans="2:33" x14ac:dyDescent="0.3">
      <c r="B37" s="29">
        <f t="shared" si="0"/>
        <v>34</v>
      </c>
      <c r="C37" s="75">
        <v>47</v>
      </c>
      <c r="D37" s="12" t="s">
        <v>646</v>
      </c>
      <c r="E37" s="18">
        <v>78662.67</v>
      </c>
      <c r="F37" s="18">
        <f t="shared" si="4"/>
        <v>0</v>
      </c>
      <c r="G37" s="47">
        <f t="shared" si="5"/>
        <v>78662.67</v>
      </c>
      <c r="H37" s="46">
        <f t="shared" si="2"/>
        <v>0</v>
      </c>
      <c r="I37" s="78" t="str" cm="1">
        <f t="array" ref="I37">IFERROR(LOOKUP(2,1/((MOD(COLUMN($K37:$AG37),2)=1)*($K37:$AG37&lt;&gt;"-")*($K37:$AG37&lt;&gt;"")),$K37:$AG37),"-")</f>
        <v>Em elaboração</v>
      </c>
      <c r="J37" s="44"/>
      <c r="K37" s="21"/>
      <c r="L37" s="44"/>
      <c r="M37" s="21"/>
      <c r="N37" s="44"/>
      <c r="O37" s="21"/>
      <c r="P37" s="44"/>
      <c r="Q37" s="21"/>
      <c r="R37" s="44"/>
      <c r="S37" s="21"/>
      <c r="T37" s="44"/>
      <c r="U37" s="21"/>
      <c r="V37" s="44"/>
      <c r="W37" s="21"/>
      <c r="X37" s="44"/>
      <c r="Y37" s="21"/>
      <c r="Z37" s="44"/>
      <c r="AA37" s="21"/>
      <c r="AB37" s="44"/>
      <c r="AC37" s="21" t="s">
        <v>38</v>
      </c>
      <c r="AD37" s="44"/>
      <c r="AE37" s="21"/>
      <c r="AF37" s="44"/>
      <c r="AG37" s="21"/>
    </row>
    <row r="38" spans="2:33" x14ac:dyDescent="0.3">
      <c r="B38" s="29">
        <f t="shared" si="0"/>
        <v>35</v>
      </c>
      <c r="C38" s="75">
        <v>48</v>
      </c>
      <c r="D38" s="12" t="s">
        <v>659</v>
      </c>
      <c r="E38" s="18">
        <v>2814.46</v>
      </c>
      <c r="F38" s="18">
        <f t="shared" si="4"/>
        <v>0</v>
      </c>
      <c r="G38" s="47">
        <f t="shared" si="5"/>
        <v>2814.46</v>
      </c>
      <c r="H38" s="46">
        <f t="shared" si="2"/>
        <v>0</v>
      </c>
      <c r="I38" s="78" t="str" cm="1">
        <f t="array" ref="I38">IFERROR(LOOKUP(2,1/((MOD(COLUMN($K38:$AG38),2)=1)*($K38:$AG38&lt;&gt;"-")*($K38:$AG38&lt;&gt;"")),$K38:$AG38),"-")</f>
        <v>Em elaboração</v>
      </c>
      <c r="J38" s="44"/>
      <c r="K38" s="21"/>
      <c r="L38" s="44"/>
      <c r="M38" s="21"/>
      <c r="N38" s="44"/>
      <c r="O38" s="21"/>
      <c r="P38" s="44"/>
      <c r="Q38" s="21"/>
      <c r="R38" s="44"/>
      <c r="S38" s="21"/>
      <c r="T38" s="44"/>
      <c r="U38" s="21"/>
      <c r="V38" s="44"/>
      <c r="W38" s="21"/>
      <c r="X38" s="44"/>
      <c r="Y38" s="21"/>
      <c r="Z38" s="44"/>
      <c r="AA38" s="21"/>
      <c r="AB38" s="44"/>
      <c r="AC38" s="21" t="s">
        <v>38</v>
      </c>
      <c r="AD38" s="44"/>
      <c r="AE38" s="21"/>
      <c r="AF38" s="44"/>
      <c r="AG38" s="21"/>
    </row>
    <row r="39" spans="2:33" x14ac:dyDescent="0.3">
      <c r="B39" s="29">
        <f t="shared" si="0"/>
        <v>36</v>
      </c>
      <c r="C39" s="75">
        <v>49</v>
      </c>
      <c r="D39" s="12" t="s">
        <v>659</v>
      </c>
      <c r="E39" s="18">
        <v>1154.46</v>
      </c>
      <c r="F39" s="18">
        <f t="shared" si="4"/>
        <v>0</v>
      </c>
      <c r="G39" s="47">
        <f t="shared" si="5"/>
        <v>1154.46</v>
      </c>
      <c r="H39" s="46">
        <f t="shared" si="2"/>
        <v>0</v>
      </c>
      <c r="I39" s="78" t="str" cm="1">
        <f t="array" ref="I39">IFERROR(LOOKUP(2,1/((MOD(COLUMN($K39:$AG39),2)=1)*($K39:$AG39&lt;&gt;"-")*($K39:$AG39&lt;&gt;"")),$K39:$AG39),"-")</f>
        <v>Em elaboração</v>
      </c>
      <c r="J39" s="44"/>
      <c r="K39" s="21"/>
      <c r="L39" s="44"/>
      <c r="M39" s="21"/>
      <c r="N39" s="44"/>
      <c r="O39" s="21"/>
      <c r="P39" s="44"/>
      <c r="Q39" s="21"/>
      <c r="R39" s="44"/>
      <c r="S39" s="21"/>
      <c r="T39" s="44"/>
      <c r="U39" s="21"/>
      <c r="V39" s="44"/>
      <c r="W39" s="21"/>
      <c r="X39" s="44"/>
      <c r="Y39" s="21"/>
      <c r="Z39" s="44"/>
      <c r="AA39" s="21"/>
      <c r="AB39" s="44"/>
      <c r="AC39" s="21" t="s">
        <v>38</v>
      </c>
      <c r="AD39" s="44"/>
      <c r="AE39" s="21"/>
      <c r="AF39" s="44"/>
      <c r="AG39" s="21"/>
    </row>
    <row r="40" spans="2:33" x14ac:dyDescent="0.3">
      <c r="B40" s="29">
        <f t="shared" si="0"/>
        <v>37</v>
      </c>
      <c r="C40" s="75">
        <v>50</v>
      </c>
      <c r="D40" s="12" t="s">
        <v>659</v>
      </c>
      <c r="E40" s="18">
        <v>1064.44</v>
      </c>
      <c r="F40" s="18">
        <f t="shared" si="4"/>
        <v>0</v>
      </c>
      <c r="G40" s="47">
        <f t="shared" si="5"/>
        <v>1064.44</v>
      </c>
      <c r="H40" s="46">
        <f t="shared" si="2"/>
        <v>0</v>
      </c>
      <c r="I40" s="78" t="str" cm="1">
        <f t="array" ref="I40">IFERROR(LOOKUP(2,1/((MOD(COLUMN($K40:$AG40),2)=1)*($K40:$AG40&lt;&gt;"-")*($K40:$AG40&lt;&gt;"")),$K40:$AG40),"-")</f>
        <v>Em elaboração</v>
      </c>
      <c r="J40" s="44"/>
      <c r="K40" s="21"/>
      <c r="L40" s="44"/>
      <c r="M40" s="21"/>
      <c r="N40" s="44"/>
      <c r="O40" s="21"/>
      <c r="P40" s="44"/>
      <c r="Q40" s="21"/>
      <c r="R40" s="44"/>
      <c r="S40" s="21"/>
      <c r="T40" s="44"/>
      <c r="U40" s="21"/>
      <c r="V40" s="44"/>
      <c r="W40" s="21"/>
      <c r="X40" s="44"/>
      <c r="Y40" s="21"/>
      <c r="Z40" s="44"/>
      <c r="AA40" s="21"/>
      <c r="AB40" s="44"/>
      <c r="AC40" s="21" t="s">
        <v>38</v>
      </c>
      <c r="AD40" s="44"/>
      <c r="AE40" s="21"/>
      <c r="AF40" s="44"/>
      <c r="AG40" s="21"/>
    </row>
    <row r="41" spans="2:33" x14ac:dyDescent="0.3">
      <c r="B41" s="29">
        <f t="shared" si="0"/>
        <v>38</v>
      </c>
      <c r="C41" s="75">
        <v>51</v>
      </c>
      <c r="D41" s="12" t="s">
        <v>646</v>
      </c>
      <c r="E41" s="18">
        <v>6823.93</v>
      </c>
      <c r="F41" s="18">
        <f t="shared" si="4"/>
        <v>0</v>
      </c>
      <c r="G41" s="47">
        <f t="shared" si="5"/>
        <v>6823.93</v>
      </c>
      <c r="H41" s="46">
        <f t="shared" si="2"/>
        <v>0</v>
      </c>
      <c r="I41" s="78" t="str" cm="1">
        <f t="array" ref="I41">IFERROR(LOOKUP(2,1/((MOD(COLUMN($K41:$AG41),2)=1)*($K41:$AG41&lt;&gt;"-")*($K41:$AG41&lt;&gt;"")),$K41:$AG41),"-")</f>
        <v>Em elaboração</v>
      </c>
      <c r="J41" s="44"/>
      <c r="K41" s="21"/>
      <c r="L41" s="44"/>
      <c r="M41" s="21"/>
      <c r="N41" s="44"/>
      <c r="O41" s="21"/>
      <c r="P41" s="44"/>
      <c r="Q41" s="21"/>
      <c r="R41" s="44"/>
      <c r="S41" s="21"/>
      <c r="T41" s="44"/>
      <c r="U41" s="21"/>
      <c r="V41" s="44"/>
      <c r="W41" s="21"/>
      <c r="X41" s="44"/>
      <c r="Y41" s="21"/>
      <c r="Z41" s="44"/>
      <c r="AA41" s="21"/>
      <c r="AB41" s="44"/>
      <c r="AC41" s="21" t="s">
        <v>38</v>
      </c>
      <c r="AD41" s="44"/>
      <c r="AE41" s="21"/>
      <c r="AF41" s="44"/>
      <c r="AG41" s="21"/>
    </row>
    <row r="42" spans="2:33" x14ac:dyDescent="0.3">
      <c r="B42" s="29">
        <f t="shared" si="0"/>
        <v>39</v>
      </c>
      <c r="C42" s="75">
        <v>52</v>
      </c>
      <c r="D42" s="12" t="s">
        <v>638</v>
      </c>
      <c r="E42" s="18">
        <v>0</v>
      </c>
      <c r="F42" s="18">
        <f t="shared" si="4"/>
        <v>0</v>
      </c>
      <c r="G42" s="47">
        <f t="shared" si="5"/>
        <v>0</v>
      </c>
      <c r="H42" s="46">
        <f t="shared" si="2"/>
        <v>0</v>
      </c>
      <c r="I42" s="78" t="str" cm="1">
        <f t="array" ref="I42">IFERROR(LOOKUP(2,1/((MOD(COLUMN($K42:$AG42),2)=1)*($K42:$AG42&lt;&gt;"-")*($K42:$AG42&lt;&gt;"")),$K42:$AG42),"-")</f>
        <v>Em elaboração</v>
      </c>
      <c r="J42" s="44"/>
      <c r="K42" s="21"/>
      <c r="L42" s="44"/>
      <c r="M42" s="21"/>
      <c r="N42" s="44"/>
      <c r="O42" s="21"/>
      <c r="P42" s="44"/>
      <c r="Q42" s="21"/>
      <c r="R42" s="44"/>
      <c r="S42" s="21"/>
      <c r="T42" s="44"/>
      <c r="U42" s="21"/>
      <c r="V42" s="44"/>
      <c r="W42" s="21"/>
      <c r="X42" s="44"/>
      <c r="Y42" s="21"/>
      <c r="Z42" s="44"/>
      <c r="AA42" s="21" t="s">
        <v>38</v>
      </c>
      <c r="AB42" s="44"/>
      <c r="AC42" s="21"/>
      <c r="AD42" s="44"/>
      <c r="AE42" s="21"/>
      <c r="AF42" s="44"/>
      <c r="AG42" s="21"/>
    </row>
    <row r="43" spans="2:33" x14ac:dyDescent="0.3">
      <c r="B43" s="29">
        <f t="shared" si="0"/>
        <v>40</v>
      </c>
      <c r="C43" s="75"/>
      <c r="D43" s="12"/>
      <c r="E43" s="18"/>
      <c r="F43" s="18"/>
      <c r="G43" s="47"/>
      <c r="H43" s="46"/>
      <c r="I43" s="78"/>
      <c r="J43" s="44"/>
      <c r="K43" s="21"/>
      <c r="L43" s="44"/>
      <c r="M43" s="21"/>
      <c r="N43" s="44"/>
      <c r="O43" s="21"/>
      <c r="P43" s="44"/>
      <c r="Q43" s="21"/>
      <c r="R43" s="44"/>
      <c r="S43" s="21"/>
      <c r="T43" s="44"/>
      <c r="U43" s="21"/>
      <c r="V43" s="44"/>
      <c r="W43" s="21"/>
      <c r="X43" s="44"/>
      <c r="Y43" s="21"/>
      <c r="Z43" s="44"/>
      <c r="AA43" s="21"/>
      <c r="AB43" s="44"/>
      <c r="AC43" s="21"/>
      <c r="AD43" s="44"/>
      <c r="AE43" s="21"/>
      <c r="AF43" s="44"/>
      <c r="AG43" s="21"/>
    </row>
    <row r="44" spans="2:33" x14ac:dyDescent="0.3">
      <c r="B44" s="29">
        <f t="shared" si="0"/>
        <v>41</v>
      </c>
      <c r="C44" s="75"/>
      <c r="D44" s="12"/>
      <c r="E44" s="18"/>
      <c r="F44" s="18"/>
      <c r="G44" s="47"/>
      <c r="H44" s="46"/>
      <c r="I44" s="78"/>
      <c r="J44" s="44"/>
      <c r="K44" s="21"/>
      <c r="L44" s="44"/>
      <c r="M44" s="21"/>
      <c r="N44" s="44"/>
      <c r="O44" s="21"/>
      <c r="P44" s="44"/>
      <c r="Q44" s="21"/>
      <c r="R44" s="44"/>
      <c r="S44" s="21"/>
      <c r="T44" s="44"/>
      <c r="U44" s="21"/>
      <c r="V44" s="44"/>
      <c r="W44" s="21"/>
      <c r="X44" s="44"/>
      <c r="Y44" s="21"/>
      <c r="Z44" s="44"/>
      <c r="AA44" s="21"/>
      <c r="AB44" s="44"/>
      <c r="AC44" s="21"/>
      <c r="AD44" s="44"/>
      <c r="AE44" s="21"/>
      <c r="AF44" s="44"/>
      <c r="AG44" s="21"/>
    </row>
    <row r="45" spans="2:33" x14ac:dyDescent="0.3">
      <c r="B45" s="29">
        <f t="shared" si="0"/>
        <v>42</v>
      </c>
      <c r="C45" s="75"/>
      <c r="D45" s="12"/>
      <c r="E45" s="18"/>
      <c r="F45" s="18"/>
      <c r="G45" s="47"/>
      <c r="H45" s="46"/>
      <c r="I45" s="78"/>
      <c r="J45" s="44"/>
      <c r="K45" s="21"/>
      <c r="L45" s="44"/>
      <c r="M45" s="21"/>
      <c r="N45" s="44"/>
      <c r="O45" s="21"/>
      <c r="P45" s="44"/>
      <c r="Q45" s="21"/>
      <c r="R45" s="44"/>
      <c r="S45" s="21"/>
      <c r="T45" s="44"/>
      <c r="U45" s="21"/>
      <c r="V45" s="44"/>
      <c r="W45" s="21"/>
      <c r="X45" s="44"/>
      <c r="Y45" s="21"/>
      <c r="Z45" s="44"/>
      <c r="AA45" s="21"/>
      <c r="AB45" s="44"/>
      <c r="AC45" s="21"/>
      <c r="AD45" s="44"/>
      <c r="AE45" s="21"/>
      <c r="AF45" s="44"/>
      <c r="AG45" s="21"/>
    </row>
    <row r="46" spans="2:33" x14ac:dyDescent="0.3">
      <c r="B46" s="29">
        <f t="shared" si="0"/>
        <v>43</v>
      </c>
      <c r="C46" s="75"/>
      <c r="D46" s="12"/>
      <c r="E46" s="18"/>
      <c r="F46" s="18"/>
      <c r="G46" s="47"/>
      <c r="H46" s="46"/>
      <c r="I46" s="78"/>
      <c r="J46" s="44"/>
      <c r="K46" s="21"/>
      <c r="L46" s="44"/>
      <c r="M46" s="21"/>
      <c r="N46" s="44"/>
      <c r="O46" s="21"/>
      <c r="P46" s="44"/>
      <c r="Q46" s="21"/>
      <c r="R46" s="44"/>
      <c r="S46" s="21"/>
      <c r="T46" s="44"/>
      <c r="U46" s="21"/>
      <c r="V46" s="44"/>
      <c r="W46" s="21"/>
      <c r="X46" s="44"/>
      <c r="Y46" s="21"/>
      <c r="Z46" s="44"/>
      <c r="AA46" s="21"/>
      <c r="AB46" s="44"/>
      <c r="AC46" s="21"/>
      <c r="AD46" s="44"/>
      <c r="AE46" s="21"/>
      <c r="AF46" s="44"/>
      <c r="AG46" s="21"/>
    </row>
    <row r="47" spans="2:33" x14ac:dyDescent="0.3">
      <c r="B47" s="29">
        <f t="shared" si="0"/>
        <v>44</v>
      </c>
      <c r="C47" s="75"/>
      <c r="D47" s="12"/>
      <c r="E47" s="18"/>
      <c r="F47" s="18"/>
      <c r="G47" s="47"/>
      <c r="H47" s="46"/>
      <c r="I47" s="78"/>
      <c r="J47" s="44"/>
      <c r="K47" s="21"/>
      <c r="L47" s="44"/>
      <c r="M47" s="21"/>
      <c r="N47" s="44"/>
      <c r="O47" s="21"/>
      <c r="P47" s="44"/>
      <c r="Q47" s="21"/>
      <c r="R47" s="44"/>
      <c r="S47" s="21"/>
      <c r="T47" s="44"/>
      <c r="U47" s="21"/>
      <c r="V47" s="44"/>
      <c r="W47" s="21"/>
      <c r="X47" s="44"/>
      <c r="Y47" s="21"/>
      <c r="Z47" s="44"/>
      <c r="AA47" s="21"/>
      <c r="AB47" s="44"/>
      <c r="AC47" s="21"/>
      <c r="AD47" s="44"/>
      <c r="AE47" s="21"/>
      <c r="AF47" s="44"/>
      <c r="AG47" s="21"/>
    </row>
    <row r="48" spans="2:33" x14ac:dyDescent="0.3">
      <c r="B48" s="29">
        <f t="shared" si="0"/>
        <v>45</v>
      </c>
      <c r="C48" s="75"/>
      <c r="D48" s="12"/>
      <c r="E48" s="18"/>
      <c r="F48" s="18"/>
      <c r="G48" s="47"/>
      <c r="H48" s="46"/>
      <c r="I48" s="78"/>
      <c r="J48" s="44"/>
      <c r="K48" s="21"/>
      <c r="L48" s="44"/>
      <c r="M48" s="21"/>
      <c r="N48" s="44"/>
      <c r="O48" s="21"/>
      <c r="P48" s="44"/>
      <c r="Q48" s="21"/>
      <c r="R48" s="44"/>
      <c r="S48" s="21"/>
      <c r="T48" s="44"/>
      <c r="U48" s="21"/>
      <c r="V48" s="44"/>
      <c r="W48" s="21"/>
      <c r="X48" s="44"/>
      <c r="Y48" s="21"/>
      <c r="Z48" s="44"/>
      <c r="AA48" s="21"/>
      <c r="AB48" s="44"/>
      <c r="AC48" s="21"/>
      <c r="AD48" s="44"/>
      <c r="AE48" s="21"/>
      <c r="AF48" s="44"/>
      <c r="AG48" s="21"/>
    </row>
    <row r="49" spans="2:33" x14ac:dyDescent="0.3">
      <c r="B49" s="29">
        <f t="shared" si="0"/>
        <v>46</v>
      </c>
      <c r="C49" s="75"/>
      <c r="D49" s="12"/>
      <c r="E49" s="18"/>
      <c r="F49" s="18"/>
      <c r="G49" s="47"/>
      <c r="H49" s="46"/>
      <c r="I49" s="78"/>
      <c r="J49" s="44"/>
      <c r="K49" s="21"/>
      <c r="L49" s="44"/>
      <c r="M49" s="21"/>
      <c r="N49" s="44"/>
      <c r="O49" s="21"/>
      <c r="P49" s="44"/>
      <c r="Q49" s="21"/>
      <c r="R49" s="44"/>
      <c r="S49" s="21"/>
      <c r="T49" s="44"/>
      <c r="U49" s="21"/>
      <c r="V49" s="44"/>
      <c r="W49" s="21"/>
      <c r="X49" s="44"/>
      <c r="Y49" s="21"/>
      <c r="Z49" s="44"/>
      <c r="AA49" s="21"/>
      <c r="AB49" s="44"/>
      <c r="AC49" s="21"/>
      <c r="AD49" s="44"/>
      <c r="AE49" s="21"/>
      <c r="AF49" s="44"/>
      <c r="AG49" s="21"/>
    </row>
    <row r="50" spans="2:33" x14ac:dyDescent="0.3">
      <c r="B50" s="29">
        <f t="shared" si="0"/>
        <v>47</v>
      </c>
      <c r="C50" s="75"/>
      <c r="D50" s="12"/>
      <c r="E50" s="18"/>
      <c r="F50" s="18"/>
      <c r="G50" s="47"/>
      <c r="H50" s="46"/>
      <c r="I50" s="78"/>
      <c r="J50" s="44"/>
      <c r="K50" s="21"/>
      <c r="L50" s="44"/>
      <c r="M50" s="21"/>
      <c r="N50" s="44"/>
      <c r="O50" s="21"/>
      <c r="P50" s="44"/>
      <c r="Q50" s="21"/>
      <c r="R50" s="44"/>
      <c r="S50" s="21"/>
      <c r="T50" s="44"/>
      <c r="U50" s="21"/>
      <c r="V50" s="44"/>
      <c r="W50" s="21"/>
      <c r="X50" s="44"/>
      <c r="Y50" s="21"/>
      <c r="Z50" s="44"/>
      <c r="AA50" s="21"/>
      <c r="AB50" s="44"/>
      <c r="AC50" s="21"/>
      <c r="AD50" s="44"/>
      <c r="AE50" s="21"/>
      <c r="AF50" s="44"/>
      <c r="AG50" s="21"/>
    </row>
    <row r="51" spans="2:33" x14ac:dyDescent="0.3">
      <c r="B51" s="29">
        <f t="shared" si="0"/>
        <v>48</v>
      </c>
      <c r="C51" s="75"/>
      <c r="D51" s="12"/>
      <c r="E51" s="18"/>
      <c r="F51" s="18"/>
      <c r="G51" s="47"/>
      <c r="H51" s="46"/>
      <c r="I51" s="78"/>
      <c r="J51" s="44"/>
      <c r="K51" s="21"/>
      <c r="L51" s="44"/>
      <c r="M51" s="21"/>
      <c r="N51" s="44"/>
      <c r="O51" s="21"/>
      <c r="P51" s="44"/>
      <c r="Q51" s="21"/>
      <c r="R51" s="44"/>
      <c r="S51" s="21"/>
      <c r="T51" s="44"/>
      <c r="U51" s="21"/>
      <c r="V51" s="44"/>
      <c r="W51" s="21"/>
      <c r="X51" s="44"/>
      <c r="Y51" s="21"/>
      <c r="Z51" s="44"/>
      <c r="AA51" s="21"/>
      <c r="AB51" s="44"/>
      <c r="AC51" s="21"/>
      <c r="AD51" s="44"/>
      <c r="AE51" s="21"/>
      <c r="AF51" s="44"/>
      <c r="AG51" s="21"/>
    </row>
    <row r="52" spans="2:33" x14ac:dyDescent="0.3">
      <c r="B52" s="29">
        <f t="shared" si="0"/>
        <v>49</v>
      </c>
      <c r="C52" s="75"/>
      <c r="D52" s="12"/>
      <c r="E52" s="18"/>
      <c r="F52" s="18"/>
      <c r="G52" s="47"/>
      <c r="H52" s="46"/>
      <c r="I52" s="78"/>
      <c r="J52" s="44"/>
      <c r="K52" s="21"/>
      <c r="L52" s="44"/>
      <c r="M52" s="21"/>
      <c r="N52" s="44"/>
      <c r="O52" s="21"/>
      <c r="P52" s="44"/>
      <c r="Q52" s="21"/>
      <c r="R52" s="44"/>
      <c r="S52" s="21"/>
      <c r="T52" s="44"/>
      <c r="U52" s="21"/>
      <c r="V52" s="44"/>
      <c r="W52" s="21"/>
      <c r="X52" s="44"/>
      <c r="Y52" s="21"/>
      <c r="Z52" s="44"/>
      <c r="AA52" s="21"/>
      <c r="AB52" s="44"/>
      <c r="AC52" s="21"/>
      <c r="AD52" s="44"/>
      <c r="AE52" s="21"/>
      <c r="AF52" s="44"/>
      <c r="AG52" s="21"/>
    </row>
    <row r="53" spans="2:33" x14ac:dyDescent="0.3">
      <c r="B53" s="29">
        <f t="shared" si="0"/>
        <v>50</v>
      </c>
      <c r="C53" s="75"/>
      <c r="D53" s="12"/>
      <c r="E53" s="18"/>
      <c r="F53" s="18"/>
      <c r="G53" s="47"/>
      <c r="H53" s="46"/>
      <c r="I53" s="78"/>
      <c r="J53" s="44"/>
      <c r="K53" s="21"/>
      <c r="L53" s="44"/>
      <c r="M53" s="21"/>
      <c r="N53" s="44"/>
      <c r="O53" s="21"/>
      <c r="P53" s="44"/>
      <c r="Q53" s="21"/>
      <c r="R53" s="44"/>
      <c r="S53" s="21"/>
      <c r="T53" s="44"/>
      <c r="U53" s="21"/>
      <c r="V53" s="44"/>
      <c r="W53" s="21"/>
      <c r="X53" s="44"/>
      <c r="Y53" s="21"/>
      <c r="Z53" s="44"/>
      <c r="AA53" s="21"/>
      <c r="AB53" s="44"/>
      <c r="AC53" s="21"/>
      <c r="AD53" s="44"/>
      <c r="AE53" s="21"/>
      <c r="AF53" s="44"/>
      <c r="AG53" s="21"/>
    </row>
    <row r="54" spans="2:33" x14ac:dyDescent="0.3">
      <c r="B54" s="29"/>
      <c r="C54" s="75"/>
      <c r="D54" s="12"/>
      <c r="E54" s="18"/>
      <c r="F54" s="18"/>
      <c r="G54" s="47"/>
      <c r="H54" s="46"/>
      <c r="I54" s="78"/>
      <c r="J54" s="44"/>
      <c r="K54" s="21"/>
      <c r="L54" s="44"/>
      <c r="M54" s="21"/>
      <c r="N54" s="44"/>
      <c r="O54" s="21"/>
      <c r="P54" s="44"/>
      <c r="Q54" s="21"/>
      <c r="R54" s="44"/>
      <c r="S54" s="21"/>
      <c r="T54" s="44"/>
      <c r="U54" s="21"/>
      <c r="V54" s="44"/>
      <c r="W54" s="21"/>
      <c r="X54" s="44"/>
      <c r="Y54" s="21"/>
      <c r="Z54" s="44"/>
      <c r="AA54" s="21"/>
      <c r="AB54" s="44"/>
      <c r="AC54" s="21"/>
      <c r="AD54" s="44"/>
      <c r="AE54" s="21"/>
      <c r="AF54" s="44"/>
      <c r="AG54" s="21"/>
    </row>
    <row r="55" spans="2:33" x14ac:dyDescent="0.3">
      <c r="B55" s="29"/>
      <c r="C55" s="75"/>
      <c r="D55" s="12"/>
      <c r="E55" s="18"/>
      <c r="F55" s="18"/>
      <c r="G55" s="47"/>
      <c r="H55" s="46"/>
      <c r="I55" s="78"/>
      <c r="J55" s="44"/>
      <c r="K55" s="21"/>
      <c r="L55" s="44"/>
      <c r="M55" s="21"/>
      <c r="N55" s="44"/>
      <c r="O55" s="21"/>
      <c r="P55" s="44"/>
      <c r="Q55" s="21"/>
      <c r="R55" s="44"/>
      <c r="S55" s="21"/>
      <c r="T55" s="44"/>
      <c r="U55" s="21"/>
      <c r="V55" s="44"/>
      <c r="W55" s="21"/>
      <c r="X55" s="44"/>
      <c r="Y55" s="21"/>
      <c r="Z55" s="44"/>
      <c r="AA55" s="21"/>
      <c r="AB55" s="44"/>
      <c r="AC55" s="21"/>
      <c r="AD55" s="44"/>
      <c r="AE55" s="21"/>
      <c r="AF55" s="44"/>
      <c r="AG55" s="21"/>
    </row>
    <row r="56" spans="2:33" x14ac:dyDescent="0.3">
      <c r="B56" s="17"/>
      <c r="C56" s="31"/>
      <c r="D56" s="12"/>
      <c r="E56" s="18"/>
      <c r="F56" s="18"/>
      <c r="G56" s="18"/>
      <c r="H56" s="34"/>
      <c r="I56" s="34"/>
      <c r="J56" s="44"/>
      <c r="K56" s="21"/>
      <c r="L56" s="44"/>
      <c r="M56" s="21"/>
      <c r="N56" s="19"/>
      <c r="O56" s="21"/>
      <c r="P56" s="19"/>
      <c r="Q56" s="21"/>
      <c r="R56" s="19"/>
      <c r="S56" s="21"/>
      <c r="T56" s="19"/>
      <c r="U56" s="20"/>
      <c r="V56" s="19"/>
      <c r="W56" s="20"/>
      <c r="X56" s="19"/>
      <c r="Y56" s="20"/>
      <c r="Z56" s="19"/>
      <c r="AA56" s="20"/>
      <c r="AB56" s="19"/>
      <c r="AC56" s="20"/>
      <c r="AD56" s="19"/>
      <c r="AE56" s="20"/>
      <c r="AF56" s="19"/>
      <c r="AG56" s="20"/>
    </row>
  </sheetData>
  <mergeCells count="13">
    <mergeCell ref="AD2:AE2"/>
    <mergeCell ref="AF2:AG2"/>
    <mergeCell ref="J2:K2"/>
    <mergeCell ref="L2:M2"/>
    <mergeCell ref="N2:O2"/>
    <mergeCell ref="P2:Q2"/>
    <mergeCell ref="R2:S2"/>
    <mergeCell ref="T2:U2"/>
    <mergeCell ref="B2:I2"/>
    <mergeCell ref="V2:W2"/>
    <mergeCell ref="X2:Y2"/>
    <mergeCell ref="Z2:AA2"/>
    <mergeCell ref="AB2:AC2"/>
  </mergeCells>
  <phoneticPr fontId="3" type="noConversion"/>
  <conditionalFormatting sqref="H4:H55">
    <cfRule type="colorScale" priority="6">
      <colorScale>
        <cfvo type="min"/>
        <cfvo type="percentile" val="50"/>
        <cfvo type="max"/>
        <color rgb="FFC00000"/>
        <color rgb="FFFFFF00"/>
        <color rgb="FF92D050"/>
      </colorScale>
    </cfRule>
  </conditionalFormatting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24F91A9-120B-4E3B-85AC-898561F4C4D5}">
            <xm:f>NOT(ISERROR(SEARCH('Tabelas Auxiliares'!$M$8,H56)))</xm:f>
            <xm:f>'Tabelas Auxiliares'!$M$8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2" operator="containsText" id="{62B82B4F-A9A1-48F5-A7CF-A6186C69D02D}">
            <xm:f>NOT(ISERROR(SEARCH('Tabelas Auxiliares'!$M$7,H56)))</xm:f>
            <xm:f>'Tabelas Auxiliares'!$M$7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3" operator="containsText" id="{04BED4D1-BB2B-42FA-8665-6C7C8D4CBCE8}">
            <xm:f>NOT(ISERROR(SEARCH('Tabelas Auxiliares'!$M$6,H56)))</xm:f>
            <xm:f>'Tabelas Auxiliares'!$M$6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4" operator="containsText" id="{8C8686E3-1130-44D4-954F-F9EF8992482B}">
            <xm:f>NOT(ISERROR(SEARCH('Tabelas Auxiliares'!$M$5,H56)))</xm:f>
            <xm:f>'Tabelas Auxiliares'!$M$5</xm:f>
            <x14:dxf>
              <fill>
                <patternFill>
                  <fgColor rgb="FF00B0F0"/>
                  <bgColor rgb="FF00B0F0"/>
                </patternFill>
              </fill>
            </x14:dxf>
          </x14:cfRule>
          <x14:cfRule type="containsText" priority="5" operator="containsText" id="{8EBEF732-42EC-4795-905D-D64BED56F2EC}">
            <xm:f>NOT(ISERROR(SEARCH('Tabelas Auxiliares'!$M$4,H56)))</xm:f>
            <xm:f>'Tabelas Auxiliares'!$M$4</xm:f>
            <x14:dxf>
              <fill>
                <patternFill patternType="solid">
                  <fgColor auto="1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containsText" priority="8" operator="containsText" id="{B7804F5D-A866-49F6-8E09-9836FB452FD9}">
            <xm:f>NOT(ISERROR(SEARCH('Tabelas Auxiliares'!$M$8,I4)))</xm:f>
            <xm:f>'Tabelas Auxiliares'!$M$8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9" operator="containsText" id="{74FFB630-7F3C-4338-BA1F-5208F7685D40}">
            <xm:f>NOT(ISERROR(SEARCH('Tabelas Auxiliares'!$M$7,I4)))</xm:f>
            <xm:f>'Tabelas Auxiliares'!$M$7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10" operator="containsText" id="{5D0D2778-116D-4100-BDD4-D4B5DC765710}">
            <xm:f>NOT(ISERROR(SEARCH('Tabelas Auxiliares'!$M$6,I4)))</xm:f>
            <xm:f>'Tabelas Auxiliares'!$M$6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11" operator="containsText" id="{0406A21D-9257-4597-97AC-1E814E48C4C6}">
            <xm:f>NOT(ISERROR(SEARCH('Tabelas Auxiliares'!$M$5,I4)))</xm:f>
            <xm:f>'Tabelas Auxiliares'!$M$5</xm:f>
            <x14:dxf>
              <fill>
                <patternFill>
                  <fgColor rgb="FF00B0F0"/>
                  <bgColor rgb="FF00B0F0"/>
                </patternFill>
              </fill>
            </x14:dxf>
          </x14:cfRule>
          <x14:cfRule type="containsText" priority="12" operator="containsText" id="{88E9ACFE-2301-4F88-94BC-4733A4CE8B2D}">
            <xm:f>NOT(ISERROR(SEARCH('Tabelas Auxiliares'!$M$4,I4)))</xm:f>
            <xm:f>'Tabelas Auxiliares'!$M$4</xm:f>
            <x14:dxf>
              <fill>
                <patternFill patternType="solid">
                  <fgColor auto="1"/>
                </patternFill>
              </fill>
            </x14:dxf>
          </x14:cfRule>
          <x14:cfRule type="containsText" priority="13" operator="containsText" id="{94DF1C83-04BA-41BA-AD82-DCD8BB884CC8}">
            <xm:f>NOT(ISERROR(SEARCH('Tabelas Auxiliares'!$M$10,I4)))</xm:f>
            <xm:f>'Tabelas Auxiliares'!$M$10</xm:f>
            <x14:dxf>
              <font>
                <color rgb="FFFFFFFF"/>
              </font>
              <fill>
                <patternFill patternType="solid">
                  <fgColor indexed="64"/>
                  <bgColor rgb="FFED7D31"/>
                </patternFill>
              </fill>
            </x14:dxf>
          </x14:cfRule>
          <xm:sqref>I4:I56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512FEA-4643-4486-807D-B91A93E02CE3}">
          <x14:formula1>
            <xm:f>'Tabelas Auxiliares'!$M$4:$M$11</xm:f>
          </x14:formula1>
          <xm:sqref>K4:K56 O4:O56 Q4:Q56 Y4:Y56 U4:U56 W4:W56 M4:M56 S4:S56 AC4:AC56 AE4:AE56 AG4:AG56 AA4:AA56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B09B-B789-426E-95BE-14A1C2F2176F}">
  <sheetPr codeName="Planilha4"/>
  <dimension ref="A1:N58"/>
  <sheetViews>
    <sheetView zoomScale="85" zoomScaleNormal="85" workbookViewId="0">
      <pane xSplit="1" ySplit="3" topLeftCell="B46" activePane="bottomRight" state="frozen"/>
      <selection pane="topRight" activeCell="B1" sqref="B1"/>
      <selection pane="bottomLeft" activeCell="A4" sqref="A4"/>
      <selection pane="bottomRight" activeCell="M53" sqref="M53"/>
    </sheetView>
  </sheetViews>
  <sheetFormatPr defaultRowHeight="15.6" x14ac:dyDescent="0.3"/>
  <cols>
    <col min="1" max="1" width="3.796875" customWidth="1"/>
    <col min="2" max="2" width="9.765625E-2" customWidth="1"/>
    <col min="3" max="3" width="10.19921875" customWidth="1"/>
    <col min="4" max="4" width="17.09765625" customWidth="1"/>
    <col min="5" max="5" width="9.3984375" customWidth="1"/>
    <col min="6" max="6" width="12.19921875" bestFit="1" customWidth="1"/>
    <col min="7" max="7" width="18.796875" customWidth="1"/>
    <col min="8" max="8" width="10.8984375" customWidth="1"/>
    <col min="9" max="9" width="53.69921875" customWidth="1"/>
    <col min="10" max="10" width="28.19921875" customWidth="1"/>
    <col min="11" max="11" width="17.5" bestFit="1" customWidth="1"/>
    <col min="12" max="12" width="16" bestFit="1" customWidth="1"/>
    <col min="13" max="13" width="68.59765625" customWidth="1"/>
  </cols>
  <sheetData>
    <row r="1" spans="1:14" ht="16.2" thickBot="1" x14ac:dyDescent="0.35"/>
    <row r="2" spans="1:14" ht="58.2" customHeight="1" thickBot="1" x14ac:dyDescent="0.35">
      <c r="B2" s="302" t="s">
        <v>182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1:14" ht="62.4" customHeight="1" thickBot="1" x14ac:dyDescent="0.4">
      <c r="A3" s="1"/>
      <c r="B3" s="23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24</v>
      </c>
      <c r="H3" s="24" t="s">
        <v>8</v>
      </c>
      <c r="I3" s="24" t="s">
        <v>0</v>
      </c>
      <c r="J3" s="24" t="s">
        <v>9</v>
      </c>
      <c r="K3" s="24" t="s">
        <v>1</v>
      </c>
      <c r="L3" s="24" t="s">
        <v>10</v>
      </c>
      <c r="M3" s="22" t="s">
        <v>29</v>
      </c>
      <c r="N3" s="2"/>
    </row>
    <row r="4" spans="1:14" ht="18" x14ac:dyDescent="0.35">
      <c r="A4" s="1"/>
      <c r="B4" s="28">
        <f>'REGIÃO 12 - HISTÓRICO'!B4</f>
        <v>1</v>
      </c>
      <c r="C4" s="76" t="s">
        <v>164</v>
      </c>
      <c r="D4" s="26" t="str">
        <f>_xlfn.XLOOKUP(tbResumoR12[[#This Row],[REGIÃO]],tbRegioes[Código Região],tbRegioes[Contrato],"")</f>
        <v>009.2025</v>
      </c>
      <c r="E4" s="25">
        <f>'REGIÃO 12 - HISTÓRICO'!C4</f>
        <v>65</v>
      </c>
      <c r="F4" s="77" t="s">
        <v>30</v>
      </c>
      <c r="G4" s="187" t="str">
        <f>'REGIÃO 12 - HISTÓRICO'!D4</f>
        <v>jan/fev</v>
      </c>
      <c r="H4" s="8">
        <v>225</v>
      </c>
      <c r="I4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NATIVIDADE - ALMAS</v>
      </c>
      <c r="J4" s="74" t="s">
        <v>17</v>
      </c>
      <c r="K4" s="9">
        <f>'REGIÃO 12 - HISTÓRICO'!E4</f>
        <v>27874.62</v>
      </c>
      <c r="L4" s="8" t="str">
        <f>'REGIÃO 12 - HISTÓRICO'!I4</f>
        <v>Concluída</v>
      </c>
      <c r="M4" s="33"/>
      <c r="N4" s="2"/>
    </row>
    <row r="5" spans="1:14" ht="31.2" x14ac:dyDescent="0.35">
      <c r="A5" s="1"/>
      <c r="B5" s="28">
        <f>'REGIÃO 12 - HISTÓRICO'!B5</f>
        <v>2</v>
      </c>
      <c r="C5" s="76" t="s">
        <v>164</v>
      </c>
      <c r="D5" s="26" t="str">
        <f>_xlfn.XLOOKUP(tbResumoR12[[#This Row],[REGIÃO]],tbRegioes[Código Região],tbRegioes[Contrato],"")</f>
        <v>009.2025</v>
      </c>
      <c r="E5" s="25">
        <f>'REGIÃO 12 - HISTÓRICO'!C5</f>
        <v>66</v>
      </c>
      <c r="F5" s="77" t="s">
        <v>30</v>
      </c>
      <c r="G5" s="187" t="str">
        <f>'REGIÃO 12 - HISTÓRICO'!D5</f>
        <v>jan/fev</v>
      </c>
      <c r="H5" s="8">
        <v>226</v>
      </c>
      <c r="I5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SÃO VALÉRIO DE NATIVIDADE - NATIVIDADE</v>
      </c>
      <c r="J5" s="74" t="s">
        <v>601</v>
      </c>
      <c r="K5" s="9">
        <f>'REGIÃO 12 - HISTÓRICO'!E5</f>
        <v>68235.11</v>
      </c>
      <c r="L5" s="8" t="str">
        <f>'REGIÃO 12 - HISTÓRICO'!I5</f>
        <v>Concluída</v>
      </c>
      <c r="M5" s="33"/>
      <c r="N5" s="2"/>
    </row>
    <row r="6" spans="1:14" ht="31.2" x14ac:dyDescent="0.35">
      <c r="A6" s="1"/>
      <c r="B6" s="32">
        <f>'REGIÃO 12 - HISTÓRICO'!B6</f>
        <v>3</v>
      </c>
      <c r="C6" s="76" t="s">
        <v>164</v>
      </c>
      <c r="D6" s="88" t="str">
        <f>_xlfn.XLOOKUP(tbResumoR12[[#This Row],[REGIÃO]],tbRegioes[Código Região],tbRegioes[Contrato],"")</f>
        <v>009.2025</v>
      </c>
      <c r="E6" s="25">
        <f>'REGIÃO 12 - HISTÓRICO'!C6</f>
        <v>67</v>
      </c>
      <c r="F6" s="77" t="s">
        <v>30</v>
      </c>
      <c r="G6" s="187" t="str">
        <f>'REGIÃO 12 - HISTÓRICO'!D6</f>
        <v>jan/fev</v>
      </c>
      <c r="H6" s="8">
        <v>227</v>
      </c>
      <c r="I6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ENTR. BR-242 - SÃO VALÉRIO DE NATIVIDADE</v>
      </c>
      <c r="J6" s="74" t="s">
        <v>17</v>
      </c>
      <c r="K6" s="9">
        <f>'REGIÃO 12 - HISTÓRICO'!E6</f>
        <v>15770.16</v>
      </c>
      <c r="L6" s="8" t="str">
        <f>'REGIÃO 12 - HISTÓRICO'!I6</f>
        <v>Concluída</v>
      </c>
      <c r="M6" s="89"/>
      <c r="N6" s="2"/>
    </row>
    <row r="7" spans="1:14" ht="46.8" x14ac:dyDescent="0.35">
      <c r="A7" s="1"/>
      <c r="B7" s="32">
        <f>'REGIÃO 12 - HISTÓRICO'!B7</f>
        <v>4</v>
      </c>
      <c r="C7" s="76" t="s">
        <v>164</v>
      </c>
      <c r="D7" s="88" t="str">
        <f>_xlfn.XLOOKUP(tbResumoR12[[#This Row],[REGIÃO]],tbRegioes[Código Região],tbRegioes[Contrato],"")</f>
        <v>009.2025</v>
      </c>
      <c r="E7" s="25">
        <f>'REGIÃO 12 - HISTÓRICO'!C7</f>
        <v>68</v>
      </c>
      <c r="F7" s="77" t="s">
        <v>30</v>
      </c>
      <c r="G7" s="187" t="str">
        <f>'REGIÃO 12 - HISTÓRICO'!D7</f>
        <v>jan/fev</v>
      </c>
      <c r="H7" s="8">
        <v>229</v>
      </c>
      <c r="I7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TO-296 - TRECHO JAÚ DO TOCANTINS - SÃO SALVADOR DO TOCANTINS</v>
      </c>
      <c r="J7" s="74" t="s">
        <v>606</v>
      </c>
      <c r="K7" s="9">
        <f>'REGIÃO 12 - HISTÓRICO'!E7</f>
        <v>364826.92</v>
      </c>
      <c r="L7" s="8" t="str">
        <f>'REGIÃO 12 - HISTÓRICO'!I7</f>
        <v>Concluída</v>
      </c>
      <c r="M7" s="89"/>
      <c r="N7" s="2"/>
    </row>
    <row r="8" spans="1:14" ht="46.8" x14ac:dyDescent="0.35">
      <c r="A8" s="1"/>
      <c r="B8" s="32">
        <f>'REGIÃO 12 - HISTÓRICO'!B8</f>
        <v>5</v>
      </c>
      <c r="C8" s="76" t="s">
        <v>164</v>
      </c>
      <c r="D8" s="88" t="str">
        <f>_xlfn.XLOOKUP(tbResumoR12[[#This Row],[REGIÃO]],tbRegioes[Código Região],tbRegioes[Contrato],"")</f>
        <v>009.2025</v>
      </c>
      <c r="E8" s="25">
        <f>'REGIÃO 12 - HISTÓRICO'!C8</f>
        <v>69</v>
      </c>
      <c r="F8" s="74" t="s">
        <v>31</v>
      </c>
      <c r="G8" s="187" t="str">
        <f>'REGIÃO 12 - HISTÓRICO'!D8</f>
        <v>fev</v>
      </c>
      <c r="H8" s="8">
        <v>241</v>
      </c>
      <c r="I8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TO-491 - TRECHO ENTR. BR-242 - ENTR. TO-296 (POVOADO RETIRO)</v>
      </c>
      <c r="J8" s="74" t="s">
        <v>100</v>
      </c>
      <c r="K8" s="9">
        <f>'REGIÃO 12 - HISTÓRICO'!E8</f>
        <v>241802.58</v>
      </c>
      <c r="L8" s="8" t="str">
        <f>'REGIÃO 12 - HISTÓRICO'!I8</f>
        <v>Concluída</v>
      </c>
      <c r="M8" s="89"/>
      <c r="N8" s="2"/>
    </row>
    <row r="9" spans="1:14" ht="18" x14ac:dyDescent="0.35">
      <c r="A9" s="1"/>
      <c r="B9" s="32">
        <f>'REGIÃO 12 - HISTÓRICO'!B9</f>
        <v>6</v>
      </c>
      <c r="C9" s="76" t="s">
        <v>164</v>
      </c>
      <c r="D9" s="88" t="str">
        <f>_xlfn.XLOOKUP(tbResumoR12[[#This Row],[REGIÃO]],tbRegioes[Código Região],tbRegioes[Contrato],"")</f>
        <v>009.2025</v>
      </c>
      <c r="E9" s="25">
        <f>'REGIÃO 12 - HISTÓRICO'!C9</f>
        <v>70</v>
      </c>
      <c r="F9" s="74" t="s">
        <v>31</v>
      </c>
      <c r="G9" s="187" t="str">
        <f>'REGIÃO 12 - HISTÓRICO'!D9</f>
        <v>fev</v>
      </c>
      <c r="H9" s="8">
        <v>233</v>
      </c>
      <c r="I9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TO-373 - TRECHO ALVORADA - ENTR. BR-242</v>
      </c>
      <c r="J9" s="74" t="s">
        <v>42</v>
      </c>
      <c r="K9" s="9">
        <f>'REGIÃO 12 - HISTÓRICO'!E9</f>
        <v>56412.28</v>
      </c>
      <c r="L9" s="8" t="str">
        <f>'REGIÃO 12 - HISTÓRICO'!I9</f>
        <v>Concluída</v>
      </c>
      <c r="M9" s="89"/>
      <c r="N9" s="2"/>
    </row>
    <row r="10" spans="1:14" ht="31.2" x14ac:dyDescent="0.35">
      <c r="A10" s="1"/>
      <c r="B10" s="32">
        <f>'REGIÃO 12 - HISTÓRICO'!B10</f>
        <v>7</v>
      </c>
      <c r="C10" s="76" t="s">
        <v>164</v>
      </c>
      <c r="D10" s="88" t="str">
        <f>_xlfn.XLOOKUP(tbResumoR12[[#This Row],[REGIÃO]],tbRegioes[Código Região],tbRegioes[Contrato],"")</f>
        <v>009.2025</v>
      </c>
      <c r="E10" s="25">
        <f>'REGIÃO 12 - HISTÓRICO'!C10</f>
        <v>71</v>
      </c>
      <c r="F10" s="74" t="s">
        <v>31</v>
      </c>
      <c r="G10" s="187" t="str">
        <f>'REGIÃO 12 - HISTÓRICO'!D10</f>
        <v>fev</v>
      </c>
      <c r="H10" s="8">
        <v>228</v>
      </c>
      <c r="I10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TO-296 - TRECHO SÃO SALVADOR DO TOCANTINS - PARANÃ</v>
      </c>
      <c r="J10" s="74" t="s">
        <v>93</v>
      </c>
      <c r="K10" s="9">
        <f>'REGIÃO 12 - HISTÓRICO'!E10</f>
        <v>37751.14</v>
      </c>
      <c r="L10" s="8" t="str">
        <f>'REGIÃO 12 - HISTÓRICO'!I10</f>
        <v>Concluída</v>
      </c>
      <c r="M10" s="89"/>
      <c r="N10" s="2"/>
    </row>
    <row r="11" spans="1:14" ht="46.8" x14ac:dyDescent="0.35">
      <c r="A11" s="1"/>
      <c r="B11" s="32">
        <f>'REGIÃO 12 - HISTÓRICO'!B11</f>
        <v>8</v>
      </c>
      <c r="C11" s="76" t="s">
        <v>164</v>
      </c>
      <c r="D11" s="88" t="str">
        <f>_xlfn.XLOOKUP(tbResumoR12[[#This Row],[REGIÃO]],tbRegioes[Código Região],tbRegioes[Contrato],"")</f>
        <v>009.2025</v>
      </c>
      <c r="E11" s="25">
        <f>'REGIÃO 12 - HISTÓRICO'!C11</f>
        <v>72</v>
      </c>
      <c r="F11" s="74" t="s">
        <v>31</v>
      </c>
      <c r="G11" s="187" t="str">
        <f>'REGIÃO 12 - HISTÓRICO'!D11</f>
        <v>fev</v>
      </c>
      <c r="H11" s="8">
        <v>229</v>
      </c>
      <c r="I11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TO-296 - TRECHO JAÚ DO TOCANTINS - SÃO SALVADOR DO TOCANTINS</v>
      </c>
      <c r="J11" s="74" t="s">
        <v>100</v>
      </c>
      <c r="K11" s="9">
        <f>'REGIÃO 12 - HISTÓRICO'!E11</f>
        <v>55856.27</v>
      </c>
      <c r="L11" s="8" t="str">
        <f>'REGIÃO 12 - HISTÓRICO'!I11</f>
        <v>Concluída</v>
      </c>
      <c r="M11" s="89"/>
      <c r="N11" s="2"/>
    </row>
    <row r="12" spans="1:14" ht="18" x14ac:dyDescent="0.35">
      <c r="A12" s="1"/>
      <c r="B12" s="32">
        <f>'REGIÃO 12 - HISTÓRICO'!B12</f>
        <v>9</v>
      </c>
      <c r="C12" s="76" t="s">
        <v>164</v>
      </c>
      <c r="D12" s="88" t="str">
        <f>_xlfn.XLOOKUP(tbResumoR12[[#This Row],[REGIÃO]],tbRegioes[Código Região],tbRegioes[Contrato],"")</f>
        <v>009.2025</v>
      </c>
      <c r="E12" s="25">
        <f>'REGIÃO 12 - HISTÓRICO'!C12</f>
        <v>73</v>
      </c>
      <c r="F12" s="74" t="s">
        <v>31</v>
      </c>
      <c r="G12" s="187" t="str">
        <f>'REGIÃO 12 - HISTÓRICO'!D12</f>
        <v>fev</v>
      </c>
      <c r="H12" s="8">
        <v>225</v>
      </c>
      <c r="I12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NATIVIDADE - ALMAS</v>
      </c>
      <c r="J12" s="74" t="s">
        <v>42</v>
      </c>
      <c r="K12" s="9">
        <f>'REGIÃO 12 - HISTÓRICO'!E12</f>
        <v>81113.55</v>
      </c>
      <c r="L12" s="8" t="str">
        <f>'REGIÃO 12 - HISTÓRICO'!I12</f>
        <v>Concluída</v>
      </c>
      <c r="M12" s="89"/>
      <c r="N12" s="2"/>
    </row>
    <row r="13" spans="1:14" ht="46.8" x14ac:dyDescent="0.3">
      <c r="B13" s="32">
        <f>'REGIÃO 12 - HISTÓRICO'!B13</f>
        <v>10</v>
      </c>
      <c r="C13" s="76" t="s">
        <v>164</v>
      </c>
      <c r="D13" s="88" t="str">
        <f>_xlfn.XLOOKUP(tbResumoR12[[#This Row],[REGIÃO]],tbRegioes[Código Região],tbRegioes[Contrato],"")</f>
        <v>009.2025</v>
      </c>
      <c r="E13" s="25">
        <f>'REGIÃO 12 - HISTÓRICO'!C13</f>
        <v>74</v>
      </c>
      <c r="F13" s="74" t="s">
        <v>31</v>
      </c>
      <c r="G13" s="187" t="str">
        <f>'REGIÃO 12 - HISTÓRICO'!D13</f>
        <v>fev</v>
      </c>
      <c r="H13" s="8">
        <v>229</v>
      </c>
      <c r="I13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TO-296 - TRECHO JAÚ DO TOCANTINS - SÃO SALVADOR DO TOCANTINS</v>
      </c>
      <c r="J13" s="74" t="s">
        <v>100</v>
      </c>
      <c r="K13" s="9">
        <f>'REGIÃO 12 - HISTÓRICO'!E13</f>
        <v>57943.33</v>
      </c>
      <c r="L13" s="8" t="str">
        <f>'REGIÃO 12 - HISTÓRICO'!I13</f>
        <v>Concluída</v>
      </c>
      <c r="M13" s="89"/>
    </row>
    <row r="14" spans="1:14" ht="46.8" x14ac:dyDescent="0.3">
      <c r="B14" s="32">
        <f>'REGIÃO 12 - HISTÓRICO'!B14</f>
        <v>11</v>
      </c>
      <c r="C14" s="76" t="s">
        <v>164</v>
      </c>
      <c r="D14" s="88" t="str">
        <f>_xlfn.XLOOKUP(tbResumoR12[[#This Row],[REGIÃO]],tbRegioes[Código Região],tbRegioes[Contrato],"")</f>
        <v>009.2025</v>
      </c>
      <c r="E14" s="25">
        <f>'REGIÃO 12 - HISTÓRICO'!C14</f>
        <v>75</v>
      </c>
      <c r="F14" s="74" t="s">
        <v>31</v>
      </c>
      <c r="G14" s="187" t="str">
        <f>'REGIÃO 12 - HISTÓRICO'!D14</f>
        <v>fev</v>
      </c>
      <c r="H14" s="8">
        <v>232</v>
      </c>
      <c r="I14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TO-373 - TRECHO ENTR. TO-365 (BALSA) - SÃO MIGUEL - LAGOA DO ROMÃO -ENTR. TO-280</v>
      </c>
      <c r="J14" s="74" t="s">
        <v>100</v>
      </c>
      <c r="K14" s="9">
        <f>'REGIÃO 12 - HISTÓRICO'!E14</f>
        <v>295343.5</v>
      </c>
      <c r="L14" s="8" t="str">
        <f>'REGIÃO 12 - HISTÓRICO'!I14</f>
        <v>Concluída</v>
      </c>
      <c r="M14" s="89"/>
    </row>
    <row r="15" spans="1:14" ht="46.8" x14ac:dyDescent="0.3">
      <c r="B15" s="32">
        <f>'REGIÃO 12 - HISTÓRICO'!B15</f>
        <v>12</v>
      </c>
      <c r="C15" s="76" t="s">
        <v>164</v>
      </c>
      <c r="D15" s="88" t="str">
        <f>_xlfn.XLOOKUP(tbResumoR12[[#This Row],[REGIÃO]],tbRegioes[Código Região],tbRegioes[Contrato],"")</f>
        <v>009.2025</v>
      </c>
      <c r="E15" s="25">
        <f>'REGIÃO 12 - HISTÓRICO'!C15</f>
        <v>76</v>
      </c>
      <c r="F15" s="74" t="s">
        <v>31</v>
      </c>
      <c r="G15" s="187" t="str">
        <f>'REGIÃO 12 - HISTÓRICO'!D15</f>
        <v>fev</v>
      </c>
      <c r="H15" s="8">
        <v>238</v>
      </c>
      <c r="I15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TO-482 - TRECHO: ENTR. TO-280 (SÃO VALÉRIO DE NATIVIDADE) / ENTR. TO-458</v>
      </c>
      <c r="J15" s="74" t="s">
        <v>100</v>
      </c>
      <c r="K15" s="9">
        <f>'REGIÃO 12 - HISTÓRICO'!E15</f>
        <v>615457.46</v>
      </c>
      <c r="L15" s="8" t="str">
        <f>'REGIÃO 12 - HISTÓRICO'!I15</f>
        <v>Concluída</v>
      </c>
      <c r="M15" s="89"/>
    </row>
    <row r="16" spans="1:14" ht="31.2" x14ac:dyDescent="0.3">
      <c r="B16" s="32">
        <f>'REGIÃO 12 - HISTÓRICO'!B16</f>
        <v>13</v>
      </c>
      <c r="C16" s="76" t="s">
        <v>164</v>
      </c>
      <c r="D16" s="88" t="str">
        <f>_xlfn.XLOOKUP(tbResumoR12[[#This Row],[REGIÃO]],tbRegioes[Código Região],tbRegioes[Contrato],"")</f>
        <v>009.2025</v>
      </c>
      <c r="E16" s="25">
        <f>'REGIÃO 12 - HISTÓRICO'!C16</f>
        <v>77</v>
      </c>
      <c r="F16" s="191" t="s">
        <v>32</v>
      </c>
      <c r="G16" s="187" t="str">
        <f>'REGIÃO 12 - HISTÓRICO'!D16</f>
        <v>mar/abr/mai</v>
      </c>
      <c r="H16" s="8">
        <v>233</v>
      </c>
      <c r="I16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TO-373 - TRECHO ALVORADA - ENTR. BR-242</v>
      </c>
      <c r="J16" s="74" t="s">
        <v>104</v>
      </c>
      <c r="K16" s="9">
        <f>'REGIÃO 12 - HISTÓRICO'!E16</f>
        <v>133710.57999999999</v>
      </c>
      <c r="L16" s="8" t="str">
        <f>'REGIÃO 12 - HISTÓRICO'!I16</f>
        <v>Concluída</v>
      </c>
      <c r="M16" s="89"/>
    </row>
    <row r="17" spans="2:13" ht="31.2" x14ac:dyDescent="0.3">
      <c r="B17" s="32">
        <f>'REGIÃO 12 - HISTÓRICO'!B17</f>
        <v>14</v>
      </c>
      <c r="C17" s="76" t="s">
        <v>164</v>
      </c>
      <c r="D17" s="88" t="str">
        <f>_xlfn.XLOOKUP(tbResumoR12[[#This Row],[REGIÃO]],tbRegioes[Código Região],tbRegioes[Contrato],"")</f>
        <v>009.2025</v>
      </c>
      <c r="E17" s="25">
        <f>'REGIÃO 12 - HISTÓRICO'!C17</f>
        <v>78</v>
      </c>
      <c r="F17" s="191" t="s">
        <v>32</v>
      </c>
      <c r="G17" s="187" t="str">
        <f>'REGIÃO 12 - HISTÓRICO'!D17</f>
        <v>mar/abr/mai</v>
      </c>
      <c r="H17" s="8">
        <v>244</v>
      </c>
      <c r="I17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TO-498 - TRECHO JAÚ DO TOCANTINS - ENTR. TO-387</v>
      </c>
      <c r="J17" s="74" t="s">
        <v>104</v>
      </c>
      <c r="K17" s="9">
        <f>'REGIÃO 12 - HISTÓRICO'!E17</f>
        <v>78688.490000000005</v>
      </c>
      <c r="L17" s="8" t="str">
        <f>'REGIÃO 12 - HISTÓRICO'!I17</f>
        <v>Concluída</v>
      </c>
      <c r="M17" s="89"/>
    </row>
    <row r="18" spans="2:13" ht="31.2" x14ac:dyDescent="0.3">
      <c r="B18" s="32">
        <f>'REGIÃO 12 - HISTÓRICO'!B18</f>
        <v>15</v>
      </c>
      <c r="C18" s="76" t="s">
        <v>164</v>
      </c>
      <c r="D18" s="88" t="str">
        <f>_xlfn.XLOOKUP(tbResumoR12[[#This Row],[REGIÃO]],tbRegioes[Código Região],tbRegioes[Contrato],"")</f>
        <v>009.2025</v>
      </c>
      <c r="E18" s="25">
        <f>'REGIÃO 12 - HISTÓRICO'!C18</f>
        <v>79</v>
      </c>
      <c r="F18" s="191" t="s">
        <v>32</v>
      </c>
      <c r="G18" s="187" t="str">
        <f>'REGIÃO 12 - HISTÓRICO'!D18</f>
        <v>mar/abr/mai</v>
      </c>
      <c r="H18" s="8">
        <v>243</v>
      </c>
      <c r="I18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TO-498 - TRECHO JAÚ DO TOCANTINS - ENTR. TO-373 (SANTA CRUZ)</v>
      </c>
      <c r="J18" s="74" t="s">
        <v>104</v>
      </c>
      <c r="K18" s="9">
        <f>'REGIÃO 12 - HISTÓRICO'!E18</f>
        <v>103566.69</v>
      </c>
      <c r="L18" s="8" t="str">
        <f>'REGIÃO 12 - HISTÓRICO'!I18</f>
        <v>Concluída</v>
      </c>
      <c r="M18" s="90"/>
    </row>
    <row r="19" spans="2:13" ht="31.2" x14ac:dyDescent="0.3">
      <c r="B19" s="32">
        <f>'REGIÃO 12 - HISTÓRICO'!B19</f>
        <v>16</v>
      </c>
      <c r="C19" s="76" t="s">
        <v>164</v>
      </c>
      <c r="D19" s="88" t="str">
        <f>_xlfn.XLOOKUP(tbResumoR12[[#This Row],[REGIÃO]],tbRegioes[Código Região],tbRegioes[Contrato],"")</f>
        <v>009.2025</v>
      </c>
      <c r="E19" s="25">
        <f>'REGIÃO 12 - HISTÓRICO'!C19</f>
        <v>80</v>
      </c>
      <c r="F19" s="191" t="s">
        <v>32</v>
      </c>
      <c r="G19" s="187" t="str">
        <f>'REGIÃO 12 - HISTÓRICO'!D19</f>
        <v>mar/abr</v>
      </c>
      <c r="H19" s="8">
        <v>238</v>
      </c>
      <c r="I19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TO-482 - TRECHO: ENTR. TO-280 (SÃO VALÉRIO DE NATIVIDADE) / ENTR. TO-458</v>
      </c>
      <c r="J19" s="74" t="s">
        <v>64</v>
      </c>
      <c r="K19" s="9">
        <f>'REGIÃO 12 - HISTÓRICO'!E19</f>
        <v>79753.460000000006</v>
      </c>
      <c r="L19" s="8" t="str">
        <f>'REGIÃO 12 - HISTÓRICO'!I19</f>
        <v>Concluída</v>
      </c>
      <c r="M19" s="90"/>
    </row>
    <row r="20" spans="2:13" ht="31.2" x14ac:dyDescent="0.3">
      <c r="B20" s="32">
        <f>'REGIÃO 12 - HISTÓRICO'!B20</f>
        <v>17</v>
      </c>
      <c r="C20" s="76" t="s">
        <v>164</v>
      </c>
      <c r="D20" s="88" t="str">
        <f>_xlfn.XLOOKUP(tbResumoR12[[#This Row],[REGIÃO]],tbRegioes[Código Região],tbRegioes[Contrato],"")</f>
        <v>009.2025</v>
      </c>
      <c r="E20" s="25">
        <f>'REGIÃO 12 - HISTÓRICO'!C20</f>
        <v>81</v>
      </c>
      <c r="F20" s="191" t="s">
        <v>32</v>
      </c>
      <c r="G20" s="187" t="str">
        <f>'REGIÃO 12 - HISTÓRICO'!D20</f>
        <v>mar/abr/mai</v>
      </c>
      <c r="H20" s="8">
        <v>225</v>
      </c>
      <c r="I20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NATIVIDADE - ALMAS</v>
      </c>
      <c r="J20" s="74" t="s">
        <v>93</v>
      </c>
      <c r="K20" s="9">
        <f>'REGIÃO 12 - HISTÓRICO'!E20</f>
        <v>284302.32</v>
      </c>
      <c r="L20" s="8" t="str">
        <f>'REGIÃO 12 - HISTÓRICO'!I20</f>
        <v>Concluída</v>
      </c>
      <c r="M20" s="89"/>
    </row>
    <row r="21" spans="2:13" ht="31.2" x14ac:dyDescent="0.3">
      <c r="B21" s="32">
        <f>'REGIÃO 12 - HISTÓRICO'!B21</f>
        <v>18</v>
      </c>
      <c r="C21" s="76" t="s">
        <v>164</v>
      </c>
      <c r="D21" s="88" t="str">
        <f>_xlfn.XLOOKUP(tbResumoR12[[#This Row],[REGIÃO]],tbRegioes[Código Região],tbRegioes[Contrato],"")</f>
        <v>009.2025</v>
      </c>
      <c r="E21" s="25">
        <f>'REGIÃO 12 - HISTÓRICO'!C21</f>
        <v>82</v>
      </c>
      <c r="F21" s="191" t="s">
        <v>33</v>
      </c>
      <c r="G21" s="187" t="str">
        <f>'REGIÃO 12 - HISTÓRICO'!D21</f>
        <v>abr/mai</v>
      </c>
      <c r="H21" s="8">
        <v>232</v>
      </c>
      <c r="I21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TO-373 - TRECHO ENTR. TO-365 (BALSA) - SÃO MIGUEL - LAGOA DO ROMÃO -ENTR. TO-280</v>
      </c>
      <c r="J21" s="74" t="s">
        <v>64</v>
      </c>
      <c r="K21" s="9">
        <f>'REGIÃO 12 - HISTÓRICO'!E21</f>
        <v>84903.98</v>
      </c>
      <c r="L21" s="8" t="str">
        <f>'REGIÃO 12 - HISTÓRICO'!I21</f>
        <v>Concluída</v>
      </c>
      <c r="M21" s="89"/>
    </row>
    <row r="22" spans="2:13" ht="46.8" x14ac:dyDescent="0.3">
      <c r="B22" s="32">
        <f>'REGIÃO 12 - HISTÓRICO'!B22</f>
        <v>19</v>
      </c>
      <c r="C22" s="76" t="s">
        <v>164</v>
      </c>
      <c r="D22" s="88" t="str">
        <f>_xlfn.XLOOKUP(tbResumoR12[[#This Row],[REGIÃO]],tbRegioes[Código Região],tbRegioes[Contrato],"")</f>
        <v>009.2025</v>
      </c>
      <c r="E22" s="25">
        <f>'REGIÃO 12 - HISTÓRICO'!C22</f>
        <v>83</v>
      </c>
      <c r="F22" s="191" t="s">
        <v>33</v>
      </c>
      <c r="G22" s="187" t="str">
        <f>'REGIÃO 12 - HISTÓRICO'!D22</f>
        <v>abr/mai/jun</v>
      </c>
      <c r="H22" s="8">
        <v>236</v>
      </c>
      <c r="I22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TO-458 - TRECHO ENTR. TO-365 (IPUEIRAS) - ENTR. BR-010</v>
      </c>
      <c r="J22" s="74" t="s">
        <v>100</v>
      </c>
      <c r="K22" s="9">
        <f>'REGIÃO 12 - HISTÓRICO'!E22</f>
        <v>461352.19</v>
      </c>
      <c r="L22" s="8" t="str">
        <f>'REGIÃO 12 - HISTÓRICO'!I22</f>
        <v>Concluída</v>
      </c>
      <c r="M22" s="89"/>
    </row>
    <row r="23" spans="2:13" ht="46.8" x14ac:dyDescent="0.3">
      <c r="B23" s="32">
        <f>'REGIÃO 12 - HISTÓRICO'!B23</f>
        <v>20</v>
      </c>
      <c r="C23" s="76" t="s">
        <v>164</v>
      </c>
      <c r="D23" s="88" t="str">
        <f>_xlfn.XLOOKUP(tbResumoR12[[#This Row],[REGIÃO]],tbRegioes[Código Região],tbRegioes[Contrato],"")</f>
        <v>009.2025</v>
      </c>
      <c r="E23" s="25">
        <f>'REGIÃO 12 - HISTÓRICO'!C23</f>
        <v>84</v>
      </c>
      <c r="F23" s="191" t="s">
        <v>33</v>
      </c>
      <c r="G23" s="187" t="str">
        <f>'REGIÃO 12 - HISTÓRICO'!D23</f>
        <v>abr/mai/jun</v>
      </c>
      <c r="H23" s="8">
        <v>231</v>
      </c>
      <c r="I23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TO-365 - TRECHO IPUEIRAS - SILVANÓPOLIS</v>
      </c>
      <c r="J23" s="74" t="s">
        <v>100</v>
      </c>
      <c r="K23" s="9">
        <f>'REGIÃO 12 - HISTÓRICO'!E23</f>
        <v>664951.82999999996</v>
      </c>
      <c r="L23" s="8" t="str">
        <f>'REGIÃO 12 - HISTÓRICO'!I23</f>
        <v>Concluída</v>
      </c>
      <c r="M23" s="90"/>
    </row>
    <row r="24" spans="2:13" ht="46.8" x14ac:dyDescent="0.3">
      <c r="B24" s="32">
        <f>'REGIÃO 12 - HISTÓRICO'!B24</f>
        <v>21</v>
      </c>
      <c r="C24" s="76" t="s">
        <v>164</v>
      </c>
      <c r="D24" s="88" t="str">
        <f>_xlfn.XLOOKUP(tbResumoR12[[#This Row],[REGIÃO]],tbRegioes[Código Região],tbRegioes[Contrato],"")</f>
        <v>009.2025</v>
      </c>
      <c r="E24" s="25">
        <f>'REGIÃO 12 - HISTÓRICO'!C24</f>
        <v>85</v>
      </c>
      <c r="F24" s="191" t="s">
        <v>34</v>
      </c>
      <c r="G24" s="187" t="str">
        <f>'REGIÃO 12 - HISTÓRICO'!D24</f>
        <v>mai/jun/jul</v>
      </c>
      <c r="H24" s="8">
        <v>239</v>
      </c>
      <c r="I24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TO-486 - TRECHO SANTA ROSA DO TOCANTINS - ENTR. TO-280 (NATIVIDADE)</v>
      </c>
      <c r="J24" s="74" t="s">
        <v>100</v>
      </c>
      <c r="K24" s="9">
        <f>'REGIÃO 12 - HISTÓRICO'!E24</f>
        <v>1159513.57</v>
      </c>
      <c r="L24" s="8" t="str">
        <f>'REGIÃO 12 - HISTÓRICO'!I24</f>
        <v>Concluída</v>
      </c>
      <c r="M24" s="89"/>
    </row>
    <row r="25" spans="2:13" ht="31.2" x14ac:dyDescent="0.3">
      <c r="B25" s="32">
        <f>'REGIÃO 12 - HISTÓRICO'!B25</f>
        <v>22</v>
      </c>
      <c r="C25" s="76" t="s">
        <v>164</v>
      </c>
      <c r="D25" s="88" t="str">
        <f>_xlfn.XLOOKUP(tbResumoR12[[#This Row],[REGIÃO]],tbRegioes[Código Região],tbRegioes[Contrato],"")</f>
        <v>009.2025</v>
      </c>
      <c r="E25" s="25">
        <f>'REGIÃO 12 - HISTÓRICO'!C25</f>
        <v>86</v>
      </c>
      <c r="F25" s="191" t="s">
        <v>34</v>
      </c>
      <c r="G25" s="187" t="str">
        <f>'REGIÃO 12 - HISTÓRICO'!D25</f>
        <v>mai/jun/jul</v>
      </c>
      <c r="H25" s="8">
        <v>225</v>
      </c>
      <c r="I25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NATIVIDADE - ALMAS</v>
      </c>
      <c r="J25" s="74" t="s">
        <v>648</v>
      </c>
      <c r="K25" s="9">
        <f>'REGIÃO 12 - HISTÓRICO'!E25</f>
        <v>435739.41</v>
      </c>
      <c r="L25" s="8" t="str">
        <f>'REGIÃO 12 - HISTÓRICO'!I25</f>
        <v>Concluída</v>
      </c>
      <c r="M25" s="89"/>
    </row>
    <row r="26" spans="2:13" ht="31.2" x14ac:dyDescent="0.3">
      <c r="B26" s="32">
        <f>'REGIÃO 12 - HISTÓRICO'!B26</f>
        <v>23</v>
      </c>
      <c r="C26" s="76" t="s">
        <v>164</v>
      </c>
      <c r="D26" s="88" t="str">
        <f>_xlfn.XLOOKUP(tbResumoR12[[#This Row],[REGIÃO]],tbRegioes[Código Região],tbRegioes[Contrato],"")</f>
        <v>009.2025</v>
      </c>
      <c r="E26" s="25">
        <f>'REGIÃO 12 - HISTÓRICO'!C26</f>
        <v>87</v>
      </c>
      <c r="F26" s="191" t="s">
        <v>35</v>
      </c>
      <c r="G26" s="187" t="str">
        <f>'REGIÃO 12 - HISTÓRICO'!D26</f>
        <v>jun/jul</v>
      </c>
      <c r="H26" s="8">
        <v>227</v>
      </c>
      <c r="I26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ENTR. BR-242 - SÃO VALÉRIO DE NATIVIDADE</v>
      </c>
      <c r="J26" s="74" t="s">
        <v>17</v>
      </c>
      <c r="K26" s="9">
        <f>'REGIÃO 12 - HISTÓRICO'!E26</f>
        <v>10833.42</v>
      </c>
      <c r="L26" s="8" t="str">
        <f>'REGIÃO 12 - HISTÓRICO'!I26</f>
        <v>Concluída</v>
      </c>
      <c r="M26" s="89"/>
    </row>
    <row r="27" spans="2:13" ht="31.2" x14ac:dyDescent="0.3">
      <c r="B27" s="32">
        <f>'REGIÃO 12 - HISTÓRICO'!B27</f>
        <v>24</v>
      </c>
      <c r="C27" s="76" t="s">
        <v>164</v>
      </c>
      <c r="D27" s="88" t="str">
        <f>_xlfn.XLOOKUP(tbResumoR12[[#This Row],[REGIÃO]],tbRegioes[Código Região],tbRegioes[Contrato],"")</f>
        <v>009.2025</v>
      </c>
      <c r="E27" s="25">
        <f>'REGIÃO 12 - HISTÓRICO'!C27</f>
        <v>88</v>
      </c>
      <c r="F27" s="191" t="s">
        <v>35</v>
      </c>
      <c r="G27" s="187" t="str">
        <f>'REGIÃO 12 - HISTÓRICO'!D27</f>
        <v>jun/jul</v>
      </c>
      <c r="H27" s="8">
        <v>226</v>
      </c>
      <c r="I27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SÃO VALÉRIO DE NATIVIDADE - NATIVIDADE</v>
      </c>
      <c r="J27" s="74" t="s">
        <v>17</v>
      </c>
      <c r="K27" s="9">
        <f>'REGIÃO 12 - HISTÓRICO'!E27</f>
        <v>16063.71</v>
      </c>
      <c r="L27" s="8" t="str">
        <f>'REGIÃO 12 - HISTÓRICO'!I27</f>
        <v>Concluída</v>
      </c>
      <c r="M27" s="89"/>
    </row>
    <row r="28" spans="2:13" ht="31.2" x14ac:dyDescent="0.3">
      <c r="B28" s="28">
        <f>'REGIÃO 12 - HISTÓRICO'!B28</f>
        <v>25</v>
      </c>
      <c r="C28" s="76" t="s">
        <v>164</v>
      </c>
      <c r="D28" s="26" t="str">
        <f>_xlfn.XLOOKUP(tbResumoR12[[#This Row],[REGIÃO]],tbRegioes[Código Região],tbRegioes[Contrato],"")</f>
        <v>009.2025</v>
      </c>
      <c r="E28" s="25">
        <f>'REGIÃO 12 - HISTÓRICO'!C28</f>
        <v>89</v>
      </c>
      <c r="F28" s="191" t="s">
        <v>35</v>
      </c>
      <c r="G28" s="187" t="str">
        <f>'REGIÃO 12 - HISTÓRICO'!D28</f>
        <v>jun/jul</v>
      </c>
      <c r="H28" s="8">
        <v>240</v>
      </c>
      <c r="I28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TO-490 - TRECHO SÃO VALÉRIO DE NATIVIDADE - ENTR. BR-242</v>
      </c>
      <c r="J28" s="74" t="s">
        <v>64</v>
      </c>
      <c r="K28" s="9">
        <f>'REGIÃO 12 - HISTÓRICO'!E28</f>
        <v>78099.460000000006</v>
      </c>
      <c r="L28" s="8" t="str">
        <f>'REGIÃO 12 - HISTÓRICO'!I28</f>
        <v>Concluída</v>
      </c>
      <c r="M28" s="33"/>
    </row>
    <row r="29" spans="2:13" ht="46.8" x14ac:dyDescent="0.3">
      <c r="B29" s="28">
        <f>'REGIÃO 12 - HISTÓRICO'!B29</f>
        <v>26</v>
      </c>
      <c r="C29" s="76" t="s">
        <v>164</v>
      </c>
      <c r="D29" s="26" t="str">
        <f>_xlfn.XLOOKUP(tbResumoR12[[#This Row],[REGIÃO]],tbRegioes[Código Região],tbRegioes[Contrato],"")</f>
        <v>009.2025</v>
      </c>
      <c r="E29" s="25">
        <f>'REGIÃO 12 - HISTÓRICO'!C29</f>
        <v>90</v>
      </c>
      <c r="F29" s="191" t="s">
        <v>35</v>
      </c>
      <c r="G29" s="187" t="str">
        <f>'REGIÃO 12 - HISTÓRICO'!D29</f>
        <v>jun/jul/ago</v>
      </c>
      <c r="H29" s="8">
        <v>229</v>
      </c>
      <c r="I29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TO-296 - TRECHO JAÚ DO TOCANTINS - SÃO SALVADOR DO TOCANTINS</v>
      </c>
      <c r="J29" s="74" t="s">
        <v>100</v>
      </c>
      <c r="K29" s="9">
        <f>'REGIÃO 12 - HISTÓRICO'!E29</f>
        <v>257593.60000000001</v>
      </c>
      <c r="L29" s="8" t="str">
        <f>'REGIÃO 12 - HISTÓRICO'!I29</f>
        <v>Concluída</v>
      </c>
      <c r="M29" s="33"/>
    </row>
    <row r="30" spans="2:13" ht="31.2" x14ac:dyDescent="0.3">
      <c r="B30" s="28">
        <f>'REGIÃO 12 - HISTÓRICO'!B30</f>
        <v>27</v>
      </c>
      <c r="C30" s="76" t="s">
        <v>164</v>
      </c>
      <c r="D30" s="26" t="str">
        <f>_xlfn.XLOOKUP(tbResumoR12[[#This Row],[REGIÃO]],tbRegioes[Código Região],tbRegioes[Contrato],"")</f>
        <v>009.2025</v>
      </c>
      <c r="E30" s="25">
        <f>'REGIÃO 12 - HISTÓRICO'!C30</f>
        <v>91</v>
      </c>
      <c r="F30" s="191" t="s">
        <v>35</v>
      </c>
      <c r="G30" s="187" t="str">
        <f>'REGIÃO 12 - HISTÓRICO'!D30</f>
        <v>jun/jul/ago</v>
      </c>
      <c r="H30" s="8">
        <v>230</v>
      </c>
      <c r="I30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TO-296 - TALISMÃ - ENTR. TO-498 (JAÚ DO TOCANTINS)</v>
      </c>
      <c r="J30" s="74" t="s">
        <v>601</v>
      </c>
      <c r="K30" s="9">
        <f>'REGIÃO 12 - HISTÓRICO'!E30</f>
        <v>116002.57</v>
      </c>
      <c r="L30" s="8" t="str">
        <f>'REGIÃO 12 - HISTÓRICO'!I30</f>
        <v>Concluída</v>
      </c>
      <c r="M30" s="33"/>
    </row>
    <row r="31" spans="2:13" x14ac:dyDescent="0.3">
      <c r="B31" s="28">
        <f>'REGIÃO 12 - HISTÓRICO'!B31</f>
        <v>28</v>
      </c>
      <c r="C31" s="76" t="s">
        <v>164</v>
      </c>
      <c r="D31" s="26" t="str">
        <f>_xlfn.XLOOKUP(tbResumoR12[[#This Row],[REGIÃO]],tbRegioes[Código Região],tbRegioes[Contrato],"")</f>
        <v>009.2025</v>
      </c>
      <c r="E31" s="25">
        <f>'REGIÃO 12 - HISTÓRICO'!C31</f>
        <v>92</v>
      </c>
      <c r="F31" s="191" t="s">
        <v>35</v>
      </c>
      <c r="G31" s="187" t="str">
        <f>'REGIÃO 12 - HISTÓRICO'!D31</f>
        <v>jun/jul/ago</v>
      </c>
      <c r="H31" s="8">
        <v>225</v>
      </c>
      <c r="I31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NATIVIDADE - ALMAS</v>
      </c>
      <c r="J31" s="74" t="s">
        <v>42</v>
      </c>
      <c r="K31" s="9">
        <f>'REGIÃO 12 - HISTÓRICO'!E31</f>
        <v>205865.44</v>
      </c>
      <c r="L31" s="8" t="str">
        <f>'REGIÃO 12 - HISTÓRICO'!I31</f>
        <v>Concluída</v>
      </c>
      <c r="M31" s="33"/>
    </row>
    <row r="32" spans="2:13" ht="31.2" x14ac:dyDescent="0.3">
      <c r="B32" s="28">
        <f>'REGIÃO 12 - HISTÓRICO'!B32</f>
        <v>29</v>
      </c>
      <c r="C32" s="76" t="s">
        <v>164</v>
      </c>
      <c r="D32" s="26" t="str">
        <f>_xlfn.XLOOKUP(tbResumoR12[[#This Row],[REGIÃO]],tbRegioes[Código Região],tbRegioes[Contrato],"")</f>
        <v>009.2025</v>
      </c>
      <c r="E32" s="25">
        <f>'REGIÃO 12 - HISTÓRICO'!C32</f>
        <v>93</v>
      </c>
      <c r="F32" s="191" t="s">
        <v>35</v>
      </c>
      <c r="G32" s="187" t="str">
        <f>'REGIÃO 12 - HISTÓRICO'!D32</f>
        <v>jun/jul/ago</v>
      </c>
      <c r="H32" s="8">
        <v>228</v>
      </c>
      <c r="I32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TO-296 - TRECHO SÃO SALVADOR DO TOCANTINS - PARANÃ</v>
      </c>
      <c r="J32" s="74" t="s">
        <v>17</v>
      </c>
      <c r="K32" s="9">
        <f>'REGIÃO 12 - HISTÓRICO'!E32</f>
        <v>16594.349999999999</v>
      </c>
      <c r="L32" s="8" t="str">
        <f>'REGIÃO 12 - HISTÓRICO'!I32</f>
        <v>Concluída</v>
      </c>
      <c r="M32" s="33"/>
    </row>
    <row r="33" spans="2:13" x14ac:dyDescent="0.3">
      <c r="B33" s="28">
        <f>'REGIÃO 12 - HISTÓRICO'!B33</f>
        <v>30</v>
      </c>
      <c r="C33" s="76" t="s">
        <v>164</v>
      </c>
      <c r="D33" s="26" t="str">
        <f>_xlfn.XLOOKUP(tbResumoR12[[#This Row],[REGIÃO]],tbRegioes[Código Região],tbRegioes[Contrato],"")</f>
        <v>009.2025</v>
      </c>
      <c r="E33" s="25">
        <f>'REGIÃO 12 - HISTÓRICO'!C33</f>
        <v>94</v>
      </c>
      <c r="F33" s="191" t="s">
        <v>35</v>
      </c>
      <c r="G33" s="187" t="str">
        <f>'REGIÃO 12 - HISTÓRICO'!D33</f>
        <v>jun/jul/ago</v>
      </c>
      <c r="H33" s="8">
        <v>233</v>
      </c>
      <c r="I33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TO-373 - TRECHO ALVORADA - ENTR. BR-242</v>
      </c>
      <c r="J33" s="74" t="s">
        <v>41</v>
      </c>
      <c r="K33" s="9">
        <f>'REGIÃO 12 - HISTÓRICO'!E33</f>
        <v>150080.57</v>
      </c>
      <c r="L33" s="8" t="str">
        <f>'REGIÃO 12 - HISTÓRICO'!I33</f>
        <v>Concluída</v>
      </c>
      <c r="M33" s="33"/>
    </row>
    <row r="34" spans="2:13" ht="31.2" x14ac:dyDescent="0.3">
      <c r="B34" s="28">
        <f>'REGIÃO 12 - HISTÓRICO'!B34</f>
        <v>31</v>
      </c>
      <c r="C34" s="76" t="s">
        <v>164</v>
      </c>
      <c r="D34" s="26" t="str">
        <f>_xlfn.XLOOKUP(tbResumoR12[[#This Row],[REGIÃO]],tbRegioes[Código Região],tbRegioes[Contrato],"")</f>
        <v>009.2025</v>
      </c>
      <c r="E34" s="25">
        <f>'REGIÃO 12 - HISTÓRICO'!C34</f>
        <v>95</v>
      </c>
      <c r="F34" s="191" t="s">
        <v>35</v>
      </c>
      <c r="G34" s="187" t="str">
        <f>'REGIÃO 12 - HISTÓRICO'!D34</f>
        <v>jun/jul/ago</v>
      </c>
      <c r="H34" s="8">
        <v>243</v>
      </c>
      <c r="I34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TO-498 - TRECHO JAÚ DO TOCANTINS - ENTR. TO-373 (SANTA CRUZ)</v>
      </c>
      <c r="J34" s="74" t="s">
        <v>41</v>
      </c>
      <c r="K34" s="9">
        <f>'REGIÃO 12 - HISTÓRICO'!E34</f>
        <v>61911.775000000001</v>
      </c>
      <c r="L34" s="8" t="str">
        <f>'REGIÃO 12 - HISTÓRICO'!I34</f>
        <v>Concluída</v>
      </c>
      <c r="M34" s="33"/>
    </row>
    <row r="35" spans="2:13" ht="31.2" x14ac:dyDescent="0.3">
      <c r="B35" s="30">
        <f>'REGIÃO 12 - HISTÓRICO'!B35</f>
        <v>32</v>
      </c>
      <c r="C35" s="76" t="s">
        <v>164</v>
      </c>
      <c r="D35" s="26" t="str">
        <f>_xlfn.XLOOKUP(tbResumoR12[[#This Row],[REGIÃO]],tbRegioes[Código Região],tbRegioes[Contrato],"")</f>
        <v>009.2025</v>
      </c>
      <c r="E35" s="25">
        <f>'REGIÃO 12 - HISTÓRICO'!C35</f>
        <v>96</v>
      </c>
      <c r="F35" s="74" t="s">
        <v>621</v>
      </c>
      <c r="G35" s="187" t="str">
        <f>'REGIÃO 12 - HISTÓRICO'!D35</f>
        <v>jul/ago</v>
      </c>
      <c r="H35" s="8">
        <v>244</v>
      </c>
      <c r="I35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TO-498 - TRECHO JAÚ DO TOCANTINS - ENTR. TO-387</v>
      </c>
      <c r="J35" s="74" t="s">
        <v>41</v>
      </c>
      <c r="K35" s="9">
        <f>'REGIÃO 12 - HISTÓRICO'!E35</f>
        <v>79783.75</v>
      </c>
      <c r="L35" s="8" t="str">
        <f>'REGIÃO 12 - HISTÓRICO'!I35</f>
        <v>Concluída</v>
      </c>
      <c r="M35" s="33"/>
    </row>
    <row r="36" spans="2:13" ht="46.8" x14ac:dyDescent="0.3">
      <c r="B36" s="30">
        <f>'REGIÃO 12 - HISTÓRICO'!B36</f>
        <v>33</v>
      </c>
      <c r="C36" s="76" t="s">
        <v>164</v>
      </c>
      <c r="D36" s="26" t="str">
        <f>_xlfn.XLOOKUP(tbResumoR12[[#This Row],[REGIÃO]],tbRegioes[Código Região],tbRegioes[Contrato],"")</f>
        <v>009.2025</v>
      </c>
      <c r="E36" s="25">
        <f>'REGIÃO 12 - HISTÓRICO'!C36</f>
        <v>97</v>
      </c>
      <c r="F36" s="191" t="s">
        <v>35</v>
      </c>
      <c r="G36" s="187" t="str">
        <f>'REGIÃO 12 - HISTÓRICO'!D36</f>
        <v>jun/jul/ago</v>
      </c>
      <c r="H36" s="8">
        <v>241</v>
      </c>
      <c r="I36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TO-491 - TRECHO ENTR. BR-242 - ENTR. TO-296 (POVOADO RETIRO)</v>
      </c>
      <c r="J36" s="74" t="s">
        <v>100</v>
      </c>
      <c r="K36" s="9">
        <f>'REGIÃO 12 - HISTÓRICO'!E36</f>
        <v>674926.63</v>
      </c>
      <c r="L36" s="8" t="str">
        <f>'REGIÃO 12 - HISTÓRICO'!I36</f>
        <v>Concluída</v>
      </c>
      <c r="M36" s="33"/>
    </row>
    <row r="37" spans="2:13" ht="31.2" x14ac:dyDescent="0.3">
      <c r="B37" s="32">
        <f>'REGIÃO 12 - HISTÓRICO'!B37</f>
        <v>34</v>
      </c>
      <c r="C37" s="76" t="s">
        <v>164</v>
      </c>
      <c r="D37" s="26" t="str">
        <f>_xlfn.XLOOKUP(tbResumoR12[[#This Row],[REGIÃO]],tbRegioes[Código Região],tbRegioes[Contrato],"")</f>
        <v>009.2025</v>
      </c>
      <c r="E37" s="25">
        <f>'REGIÃO 12 - HISTÓRICO'!C37</f>
        <v>98</v>
      </c>
      <c r="F37" s="74" t="s">
        <v>620</v>
      </c>
      <c r="G37" s="187" t="str">
        <f>'REGIÃO 12 - HISTÓRICO'!D37</f>
        <v>ago/set</v>
      </c>
      <c r="H37" s="8">
        <v>242</v>
      </c>
      <c r="I37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TO-495 - TRECHO DIVISA TO-GO - LOURENÇO BORGES - ENTR. TO-296</v>
      </c>
      <c r="J37" s="74" t="s">
        <v>64</v>
      </c>
      <c r="K37" s="9">
        <f>'REGIÃO 12 - HISTÓRICO'!E37</f>
        <v>26754.1</v>
      </c>
      <c r="L37" s="8" t="str">
        <f>'REGIÃO 12 - HISTÓRICO'!I37</f>
        <v>Concluída</v>
      </c>
      <c r="M37" s="33"/>
    </row>
    <row r="38" spans="2:13" ht="31.2" x14ac:dyDescent="0.3">
      <c r="B38" s="32">
        <f>'REGIÃO 12 - HISTÓRICO'!B38</f>
        <v>35</v>
      </c>
      <c r="C38" s="76" t="s">
        <v>164</v>
      </c>
      <c r="D38" s="26" t="str">
        <f>_xlfn.XLOOKUP(tbResumoR12[[#This Row],[REGIÃO]],tbRegioes[Código Região],tbRegioes[Contrato],"")</f>
        <v>009.2025</v>
      </c>
      <c r="E38" s="25">
        <f>'REGIÃO 12 - HISTÓRICO'!C38</f>
        <v>99</v>
      </c>
      <c r="F38" s="74" t="s">
        <v>621</v>
      </c>
      <c r="G38" s="187" t="str">
        <f>'REGIÃO 12 - HISTÓRICO'!D38</f>
        <v>jul/ago/set</v>
      </c>
      <c r="H38" s="8">
        <v>224</v>
      </c>
      <c r="I38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TO-141 - TRECHO PALMEIRÓPOLIS - DIVISA TO-GO</v>
      </c>
      <c r="J38" s="74" t="s">
        <v>648</v>
      </c>
      <c r="K38" s="9">
        <f>'REGIÃO 12 - HISTÓRICO'!E38</f>
        <v>69999.89</v>
      </c>
      <c r="L38" s="8" t="str">
        <f>'REGIÃO 12 - HISTÓRICO'!I38</f>
        <v>Em andamento</v>
      </c>
      <c r="M38" s="33"/>
    </row>
    <row r="39" spans="2:13" ht="31.2" x14ac:dyDescent="0.3">
      <c r="B39" s="32">
        <f>'REGIÃO 12 - HISTÓRICO'!B39</f>
        <v>36</v>
      </c>
      <c r="C39" s="76" t="s">
        <v>164</v>
      </c>
      <c r="D39" s="26" t="str">
        <f>_xlfn.XLOOKUP(tbResumoR12[[#This Row],[REGIÃO]],tbRegioes[Código Região],tbRegioes[Contrato],"")</f>
        <v>009.2025</v>
      </c>
      <c r="E39" s="25">
        <f>'REGIÃO 12 - HISTÓRICO'!C39</f>
        <v>100</v>
      </c>
      <c r="F39" s="74" t="s">
        <v>621</v>
      </c>
      <c r="G39" s="187" t="str">
        <f>'REGIÃO 12 - HISTÓRICO'!D39</f>
        <v>jul/ago</v>
      </c>
      <c r="H39" s="8">
        <v>234</v>
      </c>
      <c r="I39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TO-387 - TRECHO PALMEIRÓPOLIS - SÃO SALVADOR DO TOCANTINS</v>
      </c>
      <c r="J39" s="74" t="s">
        <v>17</v>
      </c>
      <c r="K39" s="9">
        <f>'REGIÃO 12 - HISTÓRICO'!E39</f>
        <v>12558.11</v>
      </c>
      <c r="L39" s="8" t="str">
        <f>'REGIÃO 12 - HISTÓRICO'!I39</f>
        <v>Concluída</v>
      </c>
      <c r="M39" s="33"/>
    </row>
    <row r="40" spans="2:13" ht="31.2" x14ac:dyDescent="0.3">
      <c r="B40" s="32">
        <f>'REGIÃO 12 - HISTÓRICO'!B40</f>
        <v>37</v>
      </c>
      <c r="C40" s="76" t="s">
        <v>164</v>
      </c>
      <c r="D40" s="26" t="str">
        <f>_xlfn.XLOOKUP(tbResumoR12[[#This Row],[REGIÃO]],tbRegioes[Código Região],tbRegioes[Contrato],"")</f>
        <v>009.2025</v>
      </c>
      <c r="E40" s="25">
        <f>'REGIÃO 12 - HISTÓRICO'!C40</f>
        <v>101</v>
      </c>
      <c r="F40" s="74" t="s">
        <v>621</v>
      </c>
      <c r="G40" s="187" t="str">
        <f>'REGIÃO 12 - HISTÓRICO'!D40</f>
        <v>jul/ago/set</v>
      </c>
      <c r="H40" s="8">
        <v>235</v>
      </c>
      <c r="I40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TO-387 - TRECHO PALMEIRÓPOLIS - DIVISA TO-GO</v>
      </c>
      <c r="J40" s="74" t="s">
        <v>648</v>
      </c>
      <c r="K40" s="9">
        <f>'REGIÃO 12 - HISTÓRICO'!E40</f>
        <v>84263.47</v>
      </c>
      <c r="L40" s="8" t="str">
        <f>'REGIÃO 12 - HISTÓRICO'!I40</f>
        <v>Concluída</v>
      </c>
      <c r="M40" s="33"/>
    </row>
    <row r="41" spans="2:13" ht="46.8" x14ac:dyDescent="0.3">
      <c r="B41" s="32">
        <f>'REGIÃO 12 - HISTÓRICO'!B41</f>
        <v>38</v>
      </c>
      <c r="C41" s="76" t="s">
        <v>164</v>
      </c>
      <c r="D41" s="26" t="str">
        <f>_xlfn.XLOOKUP(tbResumoR12[[#This Row],[REGIÃO]],tbRegioes[Código Região],tbRegioes[Contrato],"")</f>
        <v>009.2025</v>
      </c>
      <c r="E41" s="25">
        <f>'REGIÃO 12 - HISTÓRICO'!C41</f>
        <v>102</v>
      </c>
      <c r="F41" s="74" t="s">
        <v>621</v>
      </c>
      <c r="G41" s="187" t="str">
        <f>'REGIÃO 12 - HISTÓRICO'!D41</f>
        <v>jul/ago/set</v>
      </c>
      <c r="H41" s="8">
        <v>238</v>
      </c>
      <c r="I41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TO-482 - TRECHO: ENTR. TO-280 (SÃO VALÉRIO DE NATIVIDADE) / ENTR. TO-458</v>
      </c>
      <c r="J41" s="74" t="s">
        <v>100</v>
      </c>
      <c r="K41" s="9">
        <f>'REGIÃO 12 - HISTÓRICO'!E41</f>
        <v>1847366.52</v>
      </c>
      <c r="L41" s="8" t="str">
        <f>'REGIÃO 12 - HISTÓRICO'!I41</f>
        <v>Concluída</v>
      </c>
      <c r="M41" s="33"/>
    </row>
    <row r="42" spans="2:13" x14ac:dyDescent="0.3">
      <c r="B42" s="32">
        <f>'REGIÃO 12 - HISTÓRICO'!B42</f>
        <v>39</v>
      </c>
      <c r="C42" s="76" t="s">
        <v>164</v>
      </c>
      <c r="D42" s="26" t="str">
        <f>_xlfn.XLOOKUP(tbResumoR12[[#This Row],[REGIÃO]],tbRegioes[Código Região],tbRegioes[Contrato],"")</f>
        <v>009.2025</v>
      </c>
      <c r="E42" s="25">
        <f>'REGIÃO 12 - HISTÓRICO'!C42</f>
        <v>103</v>
      </c>
      <c r="F42" s="74" t="s">
        <v>621</v>
      </c>
      <c r="G42" s="187" t="str">
        <f>'REGIÃO 12 - HISTÓRICO'!D42</f>
        <v>jul/ago/set</v>
      </c>
      <c r="H42" s="8">
        <v>225</v>
      </c>
      <c r="I42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NATIVIDADE - ALMAS</v>
      </c>
      <c r="J42" s="74" t="s">
        <v>41</v>
      </c>
      <c r="K42" s="9">
        <f>'REGIÃO 12 - HISTÓRICO'!E42</f>
        <v>168629.48</v>
      </c>
      <c r="L42" s="8" t="str">
        <f>'REGIÃO 12 - HISTÓRICO'!I42</f>
        <v>Concluída</v>
      </c>
      <c r="M42" s="33"/>
    </row>
    <row r="43" spans="2:13" ht="31.2" x14ac:dyDescent="0.3">
      <c r="B43" s="32">
        <f>'REGIÃO 12 - HISTÓRICO'!B43</f>
        <v>40</v>
      </c>
      <c r="C43" s="76" t="s">
        <v>164</v>
      </c>
      <c r="D43" s="26" t="str">
        <f>_xlfn.XLOOKUP(tbResumoR12[[#This Row],[REGIÃO]],tbRegioes[Código Região],tbRegioes[Contrato],"")</f>
        <v>009.2025</v>
      </c>
      <c r="E43" s="25">
        <f>'REGIÃO 12 - HISTÓRICO'!C43</f>
        <v>104</v>
      </c>
      <c r="F43" s="74" t="s">
        <v>620</v>
      </c>
      <c r="G43" s="187" t="str">
        <f>'REGIÃO 12 - HISTÓRICO'!D43</f>
        <v>ago/set/out</v>
      </c>
      <c r="H43" s="8">
        <v>227</v>
      </c>
      <c r="I43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ENTR. BR-242 - SÃO VALÉRIO DE NATIVIDADE</v>
      </c>
      <c r="J43" s="74" t="s">
        <v>601</v>
      </c>
      <c r="K43" s="9">
        <f>'REGIÃO 12 - HISTÓRICO'!E43</f>
        <v>16764.61</v>
      </c>
      <c r="L43" s="8" t="str">
        <f>'REGIÃO 12 - HISTÓRICO'!I43</f>
        <v>Concluída</v>
      </c>
      <c r="M43" s="33"/>
    </row>
    <row r="44" spans="2:13" x14ac:dyDescent="0.3">
      <c r="B44" s="32">
        <f>'REGIÃO 12 - HISTÓRICO'!B44</f>
        <v>41</v>
      </c>
      <c r="C44" s="76" t="s">
        <v>164</v>
      </c>
      <c r="D44" s="26" t="str">
        <f>_xlfn.XLOOKUP(tbResumoR12[[#This Row],[REGIÃO]],tbRegioes[Código Região],tbRegioes[Contrato],"")</f>
        <v>009.2025</v>
      </c>
      <c r="E44" s="25">
        <f>'REGIÃO 12 - HISTÓRICO'!C44</f>
        <v>105</v>
      </c>
      <c r="F44" s="74" t="s">
        <v>620</v>
      </c>
      <c r="G44" s="187" t="str">
        <f>'REGIÃO 12 - HISTÓRICO'!D44</f>
        <v>ago/set/out</v>
      </c>
      <c r="H44" s="8">
        <v>225</v>
      </c>
      <c r="I44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NATIVIDADE - ALMAS</v>
      </c>
      <c r="J44" s="74" t="s">
        <v>17</v>
      </c>
      <c r="K44" s="9">
        <f>'REGIÃO 12 - HISTÓRICO'!E44</f>
        <v>29400.94</v>
      </c>
      <c r="L44" s="8" t="str">
        <f>'REGIÃO 12 - HISTÓRICO'!I44</f>
        <v>Concluída</v>
      </c>
      <c r="M44" s="33"/>
    </row>
    <row r="45" spans="2:13" ht="31.2" x14ac:dyDescent="0.3">
      <c r="B45" s="32">
        <f>'REGIÃO 12 - HISTÓRICO'!B45</f>
        <v>42</v>
      </c>
      <c r="C45" s="76" t="s">
        <v>164</v>
      </c>
      <c r="D45" s="203" t="str">
        <f>_xlfn.XLOOKUP(tbResumoR12[[#This Row],[REGIÃO]],tbRegioes[Código Região],tbRegioes[Contrato],"")</f>
        <v>009.2025</v>
      </c>
      <c r="E45" s="25">
        <f>'REGIÃO 12 - HISTÓRICO'!C45</f>
        <v>106</v>
      </c>
      <c r="F45" s="74" t="s">
        <v>620</v>
      </c>
      <c r="G45" s="187" t="str">
        <f>'REGIÃO 12 - HISTÓRICO'!D45</f>
        <v>ago/set/out</v>
      </c>
      <c r="H45" s="8">
        <v>226</v>
      </c>
      <c r="I45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TO-280 - TRECHO SÃO VALÉRIO DE NATIVIDADE - NATIVIDADE</v>
      </c>
      <c r="J45" s="74" t="s">
        <v>17</v>
      </c>
      <c r="K45" s="9">
        <f>'REGIÃO 12 - HISTÓRICO'!E45</f>
        <v>22005.58</v>
      </c>
      <c r="L45" s="8" t="str">
        <f>'REGIÃO 12 - HISTÓRICO'!I45</f>
        <v>Concluída</v>
      </c>
      <c r="M45" s="194"/>
    </row>
    <row r="46" spans="2:13" ht="31.2" x14ac:dyDescent="0.3">
      <c r="B46" s="32">
        <f>'REGIÃO 12 - HISTÓRICO'!B46</f>
        <v>43</v>
      </c>
      <c r="C46" s="76" t="s">
        <v>164</v>
      </c>
      <c r="D46" s="203" t="str">
        <f>_xlfn.XLOOKUP(tbResumoR12[[#This Row],[REGIÃO]],tbRegioes[Código Região],tbRegioes[Contrato],"")</f>
        <v>009.2025</v>
      </c>
      <c r="E46" s="25">
        <f>'REGIÃO 12 - HISTÓRICO'!C46</f>
        <v>107</v>
      </c>
      <c r="F46" s="74" t="s">
        <v>620</v>
      </c>
      <c r="G46" s="187" t="str">
        <f>'REGIÃO 12 - HISTÓRICO'!D46</f>
        <v>ago/set/out</v>
      </c>
      <c r="H46" s="8">
        <v>232</v>
      </c>
      <c r="I46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TO-373 - TRECHO ENTR. TO-365 (BALSA) - SÃO MIGUEL - LAGOA DO ROMÃO -ENTR. TO-280</v>
      </c>
      <c r="J46" s="74" t="s">
        <v>64</v>
      </c>
      <c r="K46" s="9">
        <f>'REGIÃO 12 - HISTÓRICO'!E46</f>
        <v>108635.52</v>
      </c>
      <c r="L46" s="8" t="str">
        <f>'REGIÃO 12 - HISTÓRICO'!I46</f>
        <v>Concluída</v>
      </c>
      <c r="M46" s="194"/>
    </row>
    <row r="47" spans="2:13" ht="31.2" x14ac:dyDescent="0.3">
      <c r="B47" s="32">
        <f>'REGIÃO 12 - HISTÓRICO'!B47</f>
        <v>44</v>
      </c>
      <c r="C47" s="76" t="s">
        <v>164</v>
      </c>
      <c r="D47" s="203" t="str">
        <f>_xlfn.XLOOKUP(tbResumoR12[[#This Row],[REGIÃO]],tbRegioes[Código Região],tbRegioes[Contrato],"")</f>
        <v>009.2025</v>
      </c>
      <c r="E47" s="25">
        <f>'REGIÃO 12 - HISTÓRICO'!C47</f>
        <v>108</v>
      </c>
      <c r="F47" s="74" t="s">
        <v>620</v>
      </c>
      <c r="G47" s="187" t="str">
        <f>'REGIÃO 12 - HISTÓRICO'!D47</f>
        <v>ago/set/out</v>
      </c>
      <c r="H47" s="8">
        <v>237</v>
      </c>
      <c r="I47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TO-479 - TRECHO PEIXE - POVOADO LAGOA DO ROMÃO (ENTR. TO-373)</v>
      </c>
      <c r="J47" s="74" t="s">
        <v>64</v>
      </c>
      <c r="K47" s="9">
        <f>'REGIÃO 12 - HISTÓRICO'!E47</f>
        <v>32452.15</v>
      </c>
      <c r="L47" s="8" t="str">
        <f>'REGIÃO 12 - HISTÓRICO'!I47</f>
        <v>Concluída</v>
      </c>
      <c r="M47" s="194"/>
    </row>
    <row r="48" spans="2:13" x14ac:dyDescent="0.3">
      <c r="B48" s="32">
        <f>'REGIÃO 12 - HISTÓRICO'!B48</f>
        <v>45</v>
      </c>
      <c r="C48" s="76" t="s">
        <v>164</v>
      </c>
      <c r="D48" s="203" t="str">
        <f>_xlfn.XLOOKUP(tbResumoR12[[#This Row],[REGIÃO]],tbRegioes[Código Região],tbRegioes[Contrato],"")</f>
        <v>009.2025</v>
      </c>
      <c r="E48" s="25">
        <f>'REGIÃO 12 - HISTÓRICO'!C48</f>
        <v>109</v>
      </c>
      <c r="F48" s="74" t="s">
        <v>620</v>
      </c>
      <c r="G48" s="187" t="str">
        <f>'REGIÃO 12 - HISTÓRICO'!D48</f>
        <v>ago/set</v>
      </c>
      <c r="H48" s="8">
        <v>233</v>
      </c>
      <c r="I48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TO-373 - TRECHO ALVORADA - ENTR. BR-242</v>
      </c>
      <c r="J48" s="74" t="s">
        <v>17</v>
      </c>
      <c r="K48" s="9">
        <f>'REGIÃO 12 - HISTÓRICO'!E48</f>
        <v>29068.799999999999</v>
      </c>
      <c r="L48" s="8" t="str">
        <f>'REGIÃO 12 - HISTÓRICO'!I48</f>
        <v>Concluída</v>
      </c>
      <c r="M48" s="194"/>
    </row>
    <row r="49" spans="2:13" ht="31.2" x14ac:dyDescent="0.3">
      <c r="B49" s="32">
        <f>'REGIÃO 12 - HISTÓRICO'!B49</f>
        <v>46</v>
      </c>
      <c r="C49" s="76" t="s">
        <v>164</v>
      </c>
      <c r="D49" s="203" t="str">
        <f>_xlfn.XLOOKUP(tbResumoR12[[#This Row],[REGIÃO]],tbRegioes[Código Região],tbRegioes[Contrato],"")</f>
        <v>009.2025</v>
      </c>
      <c r="E49" s="25">
        <f>'REGIÃO 12 - HISTÓRICO'!C49</f>
        <v>110</v>
      </c>
      <c r="F49" s="204" t="s">
        <v>647</v>
      </c>
      <c r="G49" s="187" t="str">
        <f>'REGIÃO 12 - HISTÓRICO'!D49</f>
        <v>out/nov</v>
      </c>
      <c r="H49" s="8">
        <v>229</v>
      </c>
      <c r="I49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TO-296 - TRECHO JAÚ DO TOCANTINS - SÃO SALVADOR DO TOCANTINS</v>
      </c>
      <c r="J49" s="74" t="s">
        <v>67</v>
      </c>
      <c r="K49" s="9">
        <f>'REGIÃO 12 - HISTÓRICO'!E49</f>
        <v>44770.43</v>
      </c>
      <c r="L49" s="8" t="str">
        <f>'REGIÃO 12 - HISTÓRICO'!I49</f>
        <v>Em elaboração</v>
      </c>
      <c r="M49" s="194"/>
    </row>
    <row r="50" spans="2:13" ht="31.2" x14ac:dyDescent="0.3">
      <c r="B50" s="32">
        <f>'REGIÃO 12 - HISTÓRICO'!B50</f>
        <v>47</v>
      </c>
      <c r="C50" s="76" t="s">
        <v>164</v>
      </c>
      <c r="D50" s="203" t="str">
        <f>_xlfn.XLOOKUP(tbResumoR12[[#This Row],[REGIÃO]],tbRegioes[Código Região],tbRegioes[Contrato],"")</f>
        <v>009.2025</v>
      </c>
      <c r="E50" s="25">
        <f>'REGIÃO 12 - HISTÓRICO'!C50</f>
        <v>111</v>
      </c>
      <c r="F50" s="204" t="s">
        <v>622</v>
      </c>
      <c r="G50" s="187" t="str">
        <f>'REGIÃO 12 - HISTÓRICO'!D50</f>
        <v>set/out</v>
      </c>
      <c r="H50" s="8">
        <v>243</v>
      </c>
      <c r="I50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TO-498 - TRECHO JAÚ DO TOCANTINS - ENTR. TO-373 (SANTA CRUZ)</v>
      </c>
      <c r="J50" s="74" t="s">
        <v>17</v>
      </c>
      <c r="K50" s="9">
        <f>'REGIÃO 12 - HISTÓRICO'!E50</f>
        <v>13059.73</v>
      </c>
      <c r="L50" s="8" t="str">
        <f>'REGIÃO 12 - HISTÓRICO'!I50</f>
        <v>Em elaboração</v>
      </c>
      <c r="M50" s="194"/>
    </row>
    <row r="51" spans="2:13" ht="37.200000000000003" customHeight="1" x14ac:dyDescent="0.3">
      <c r="B51" s="32">
        <f>'REGIÃO 12 - HISTÓRICO'!B51</f>
        <v>48</v>
      </c>
      <c r="C51" s="76" t="s">
        <v>164</v>
      </c>
      <c r="D51" s="203" t="str">
        <f>_xlfn.XLOOKUP(tbResumoR12[[#This Row],[REGIÃO]],tbRegioes[Código Região],tbRegioes[Contrato],"")</f>
        <v>009.2025</v>
      </c>
      <c r="E51" s="25">
        <f>'REGIÃO 12 - HISTÓRICO'!C51</f>
        <v>112</v>
      </c>
      <c r="F51" s="204" t="s">
        <v>622</v>
      </c>
      <c r="G51" s="187" t="str">
        <f>'REGIÃO 12 - HISTÓRICO'!D51</f>
        <v>set/out</v>
      </c>
      <c r="H51" s="8">
        <v>233</v>
      </c>
      <c r="I51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TO-373 - TRECHO ALVORADA - ENTR. BR-242</v>
      </c>
      <c r="J51" s="74" t="s">
        <v>601</v>
      </c>
      <c r="K51" s="9">
        <f>'REGIÃO 12 - HISTÓRICO'!E51</f>
        <v>7335.76</v>
      </c>
      <c r="L51" s="8" t="str">
        <f>'REGIÃO 12 - HISTÓRICO'!I51</f>
        <v>Em elaboração</v>
      </c>
      <c r="M51" s="194"/>
    </row>
    <row r="52" spans="2:13" ht="31.2" x14ac:dyDescent="0.3">
      <c r="B52" s="32">
        <f>'REGIÃO 12 - HISTÓRICO'!B52</f>
        <v>49</v>
      </c>
      <c r="C52" s="76" t="s">
        <v>164</v>
      </c>
      <c r="D52" s="203" t="str">
        <f>_xlfn.XLOOKUP(tbResumoR12[[#This Row],[REGIÃO]],tbRegioes[Código Região],tbRegioes[Contrato],"")</f>
        <v>009.2025</v>
      </c>
      <c r="E52" s="25">
        <f>'REGIÃO 12 - HISTÓRICO'!C52</f>
        <v>113</v>
      </c>
      <c r="F52" s="204" t="s">
        <v>622</v>
      </c>
      <c r="G52" s="187" t="str">
        <f>'REGIÃO 12 - HISTÓRICO'!D52</f>
        <v>set/out</v>
      </c>
      <c r="H52" s="8">
        <v>244</v>
      </c>
      <c r="I52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TO-498 - TRECHO JAÚ DO TOCANTINS - ENTR. TO-387</v>
      </c>
      <c r="J52" s="74" t="s">
        <v>17</v>
      </c>
      <c r="K52" s="9">
        <f>'REGIÃO 12 - HISTÓRICO'!E52</f>
        <v>15187.11</v>
      </c>
      <c r="L52" s="8" t="str">
        <f>'REGIÃO 12 - HISTÓRICO'!I52</f>
        <v>Em elaboração</v>
      </c>
      <c r="M52" s="194"/>
    </row>
    <row r="53" spans="2:13" ht="31.2" x14ac:dyDescent="0.3">
      <c r="B53" s="32">
        <f>'REGIÃO 12 - HISTÓRICO'!B53</f>
        <v>50</v>
      </c>
      <c r="C53" s="76" t="s">
        <v>164</v>
      </c>
      <c r="D53" s="203" t="str">
        <f>_xlfn.XLOOKUP(tbResumoR12[[#This Row],[REGIÃO]],tbRegioes[Código Região],tbRegioes[Contrato],"")</f>
        <v>009.2025</v>
      </c>
      <c r="E53" s="25">
        <f>'REGIÃO 12 - HISTÓRICO'!C53</f>
        <v>114</v>
      </c>
      <c r="F53" s="204" t="s">
        <v>622</v>
      </c>
      <c r="G53" s="187" t="str">
        <f>'REGIÃO 12 - HISTÓRICO'!D53</f>
        <v>set/out</v>
      </c>
      <c r="H53" s="8">
        <v>236</v>
      </c>
      <c r="I53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TO-458 - TRECHO ENTR. TO-365 (IPUEIRAS) - ENTR. BR-010</v>
      </c>
      <c r="J53" s="74" t="s">
        <v>64</v>
      </c>
      <c r="K53" s="9">
        <f>'REGIÃO 12 - HISTÓRICO'!E53</f>
        <v>42221.21</v>
      </c>
      <c r="L53" s="8" t="str">
        <f>'REGIÃO 12 - HISTÓRICO'!I53</f>
        <v>Em elaboração</v>
      </c>
      <c r="M53" s="194"/>
    </row>
    <row r="54" spans="2:13" ht="31.2" x14ac:dyDescent="0.3">
      <c r="B54" s="32">
        <f>'REGIÃO 12 - HISTÓRICO'!B54</f>
        <v>51</v>
      </c>
      <c r="C54" s="76" t="s">
        <v>164</v>
      </c>
      <c r="D54" s="203" t="str">
        <f>_xlfn.XLOOKUP(tbResumoR12[[#This Row],[REGIÃO]],tbRegioes[Código Região],tbRegioes[Contrato],"")</f>
        <v>009.2025</v>
      </c>
      <c r="E54" s="25">
        <f>'REGIÃO 12 - HISTÓRICO'!C54</f>
        <v>115</v>
      </c>
      <c r="F54" s="204" t="s">
        <v>622</v>
      </c>
      <c r="G54" s="187" t="str">
        <f>'REGIÃO 12 - HISTÓRICO'!D54</f>
        <v>set/out/nov</v>
      </c>
      <c r="H54" s="8">
        <v>244</v>
      </c>
      <c r="I54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TO-498 - TRECHO JAÚ DO TOCANTINS - ENTR. TO-387</v>
      </c>
      <c r="J54" s="74" t="s">
        <v>661</v>
      </c>
      <c r="K54" s="9">
        <f>'REGIÃO 12 - HISTÓRICO'!E54</f>
        <v>205865.44</v>
      </c>
      <c r="L54" s="8" t="str">
        <f>'REGIÃO 12 - HISTÓRICO'!I54</f>
        <v>Em elaboração</v>
      </c>
      <c r="M54" s="194"/>
    </row>
    <row r="55" spans="2:13" x14ac:dyDescent="0.3">
      <c r="B55" s="32">
        <f>'REGIÃO 12 - HISTÓRICO'!B55</f>
        <v>52</v>
      </c>
      <c r="C55" s="76" t="s">
        <v>164</v>
      </c>
      <c r="D55" s="203" t="str">
        <f>_xlfn.XLOOKUP(tbResumoR12[[#This Row],[REGIÃO]],tbRegioes[Código Região],tbRegioes[Contrato],"")</f>
        <v>009.2025</v>
      </c>
      <c r="E55" s="25">
        <f>'REGIÃO 12 - HISTÓRICO'!C55</f>
        <v>116</v>
      </c>
      <c r="F55" s="204" t="s">
        <v>622</v>
      </c>
      <c r="G55" s="187" t="str">
        <f>'REGIÃO 12 - HISTÓRICO'!D55</f>
        <v>set/out</v>
      </c>
      <c r="H55" s="8">
        <v>231</v>
      </c>
      <c r="I55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TO-365 - TRECHO IPUEIRAS - SILVANÓPOLIS</v>
      </c>
      <c r="J55" s="74" t="s">
        <v>64</v>
      </c>
      <c r="K55" s="9">
        <f>'REGIÃO 12 - HISTÓRICO'!E55</f>
        <v>43963.44</v>
      </c>
      <c r="L55" s="8" t="str">
        <f>'REGIÃO 12 - HISTÓRICO'!I55</f>
        <v>Em elaboração</v>
      </c>
      <c r="M55" s="194"/>
    </row>
    <row r="56" spans="2:13" ht="31.2" x14ac:dyDescent="0.3">
      <c r="B56" s="32">
        <f>'REGIÃO 12 - HISTÓRICO'!B56</f>
        <v>53</v>
      </c>
      <c r="C56" s="76" t="s">
        <v>164</v>
      </c>
      <c r="D56" s="203" t="str">
        <f>_xlfn.XLOOKUP(tbResumoR12[[#This Row],[REGIÃO]],tbRegioes[Código Região],tbRegioes[Contrato],"")</f>
        <v>009.2025</v>
      </c>
      <c r="E56" s="25">
        <f>'REGIÃO 12 - HISTÓRICO'!C56</f>
        <v>117</v>
      </c>
      <c r="F56" s="204" t="s">
        <v>647</v>
      </c>
      <c r="G56" s="187" t="str">
        <f>'REGIÃO 12 - HISTÓRICO'!D56</f>
        <v>out/nov</v>
      </c>
      <c r="H56" s="8">
        <v>238</v>
      </c>
      <c r="I56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>RODOVIA TO-482 - TRECHO: ENTR. TO-280 (SÃO VALÉRIO DE NATIVIDADE) / ENTR. TO-458</v>
      </c>
      <c r="J56" s="74" t="s">
        <v>591</v>
      </c>
      <c r="K56" s="9">
        <f>'REGIÃO 12 - HISTÓRICO'!E56</f>
        <v>0</v>
      </c>
      <c r="L56" s="8" t="str">
        <f>'REGIÃO 12 - HISTÓRICO'!I56</f>
        <v>-</v>
      </c>
      <c r="M56" s="194"/>
    </row>
    <row r="57" spans="2:13" x14ac:dyDescent="0.3">
      <c r="B57" s="30">
        <f>'REGIÃO 12 - HISTÓRICO'!B57</f>
        <v>0</v>
      </c>
      <c r="C57" s="76"/>
      <c r="D57" s="26" t="str">
        <f>_xlfn.XLOOKUP(tbResumoR12[[#This Row],[REGIÃO]],tbRegioes[Código Região],tbRegioes[Contrato],"")</f>
        <v/>
      </c>
      <c r="E57" s="8"/>
      <c r="F57" s="77"/>
      <c r="G57" s="187"/>
      <c r="H57" s="8"/>
      <c r="I57" s="72" t="str">
        <f>IF(tbResumoR12[[#This Row],[N° TRECHO]]="","",IFERROR(INDEX('REGIÃO 11 - TRECHOS'!$F$4:$F$119,MATCH(tbResumoR12[[#This Row],[N° TRECHO]],'REGIÃO 11 - TRECHOS'!$E$4:$E$119,0)),IFERROR(INDEX('REGIÃO 12 - TRECHOS'!$F$4:$F$76,MATCH(tbResumoR12[[#This Row],[N° TRECHO]],'REGIÃO 12 - TRECHOS'!$E$4:$E$76,0)),IFERROR(INDEX('REGIÃO 13 - TRECHOS'!$F$4:$F$53,MATCH(tbResumoR12[[#This Row],[N° TRECHO]],'REGIÃO 13 - TRECHOS'!$E$4:$E$53,0)),"Trecho não cadastrado"))))</f>
        <v/>
      </c>
      <c r="J57" s="74"/>
      <c r="K57" s="8"/>
      <c r="L57" s="8"/>
      <c r="M57" s="33"/>
    </row>
    <row r="58" spans="2:13" x14ac:dyDescent="0.3">
      <c r="B58" s="32"/>
      <c r="C58" s="305"/>
      <c r="D58" s="306"/>
      <c r="E58" s="307"/>
      <c r="F58" s="308"/>
      <c r="G58" s="309"/>
      <c r="H58" s="310"/>
      <c r="I58" s="311"/>
      <c r="J58" s="312"/>
      <c r="K58" s="313"/>
      <c r="L58" s="314"/>
      <c r="M58" s="315"/>
    </row>
  </sheetData>
  <sheetProtection formatCells="0" formatColumns="0" formatRows="0" insertColumns="0" insertRows="0" insertHyperlinks="0" deleteColumns="0" deleteRows="0" sort="0" autoFilter="0" pivotTables="0"/>
  <mergeCells count="2">
    <mergeCell ref="B2:M2"/>
    <mergeCell ref="C58:M58"/>
  </mergeCells>
  <phoneticPr fontId="3" type="noConversion"/>
  <dataValidations count="1">
    <dataValidation allowBlank="1" showInputMessage="1" showErrorMessage="1" sqref="D4:D57" xr:uid="{516F99AD-5A29-4EF8-88E7-51F0773A5B75}"/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4:K39 E4:E44 E45:E54 K40:K45 E55:E56 K46:K56" calculatedColumn="1"/>
  </ignoredErrors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9E986A7-0E9C-45C2-BDD9-56C1A6A73179}">
          <x14:formula1>
            <xm:f>'Tabelas Auxiliares'!$H$4:$H$60</xm:f>
          </x14:formula1>
          <xm:sqref>J57</xm:sqref>
        </x14:dataValidation>
        <x14:dataValidation type="list" allowBlank="1" showInputMessage="1" showErrorMessage="1" xr:uid="{14138AAE-AFC0-4C13-8455-06AE7570A5D5}">
          <x14:formula1>
            <xm:f>'Tabelas Auxiliares'!$M$4:$M$11</xm:f>
          </x14:formula1>
          <xm:sqref>L4:L56</xm:sqref>
        </x14:dataValidation>
        <x14:dataValidation type="list" allowBlank="1" showInputMessage="1" showErrorMessage="1" xr:uid="{8BE51CB5-0A6B-48C4-A595-283BF01CA4EF}">
          <x14:formula1>
            <xm:f>'Tabelas Auxiliares'!$H$3:$H$85</xm:f>
          </x14:formula1>
          <xm:sqref>J4:J56</xm:sqref>
        </x14:dataValidation>
        <x14:dataValidation type="list" allowBlank="1" showInputMessage="1" showErrorMessage="1" xr:uid="{EB4BF8F0-1324-464A-925B-852E3AB216D6}">
          <x14:formula1>
            <xm:f>'Tabelas Auxiliares'!$B$4:$B$9</xm:f>
          </x14:formula1>
          <xm:sqref>C4:C57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70A6-5551-48C3-AFCF-262A6B040AC0}">
  <sheetPr codeName="Planilha5"/>
  <dimension ref="B2:AG58"/>
  <sheetViews>
    <sheetView zoomScale="85" zoomScaleNormal="85" workbookViewId="0">
      <pane xSplit="9" ySplit="3" topLeftCell="W28" activePane="bottomRight" state="frozen"/>
      <selection pane="topRight" activeCell="J1" sqref="J1"/>
      <selection pane="bottomLeft" activeCell="A4" sqref="A4"/>
      <selection pane="bottomRight" activeCell="Z58" sqref="Z58"/>
    </sheetView>
  </sheetViews>
  <sheetFormatPr defaultRowHeight="15.6" x14ac:dyDescent="0.3"/>
  <cols>
    <col min="1" max="1" width="3" customWidth="1"/>
    <col min="2" max="2" width="4.19921875" style="10" hidden="1" customWidth="1"/>
    <col min="3" max="3" width="11.69921875" style="10" customWidth="1"/>
    <col min="4" max="4" width="20" style="10" customWidth="1"/>
    <col min="5" max="7" width="22.5" customWidth="1"/>
    <col min="8" max="8" width="14.8984375" customWidth="1"/>
    <col min="9" max="9" width="22.5" style="35" customWidth="1"/>
    <col min="10" max="10" width="15.8984375" style="45" customWidth="1"/>
    <col min="11" max="11" width="14.69921875" style="10" customWidth="1"/>
    <col min="12" max="12" width="15.5" style="45" customWidth="1"/>
    <col min="13" max="13" width="14.796875" style="10" customWidth="1"/>
    <col min="14" max="14" width="15.59765625" customWidth="1"/>
    <col min="15" max="15" width="14.69921875" style="10" customWidth="1"/>
    <col min="16" max="16" width="15.59765625" customWidth="1"/>
    <col min="17" max="17" width="14.69921875" customWidth="1"/>
    <col min="18" max="18" width="15.59765625" customWidth="1"/>
    <col min="19" max="19" width="14.69921875" customWidth="1"/>
    <col min="20" max="20" width="15.59765625" customWidth="1"/>
    <col min="21" max="21" width="14.69921875" customWidth="1"/>
    <col min="22" max="22" width="15.59765625" customWidth="1"/>
    <col min="23" max="23" width="14.69921875" customWidth="1"/>
    <col min="24" max="24" width="15.59765625" customWidth="1"/>
    <col min="25" max="25" width="14.69921875" customWidth="1"/>
    <col min="26" max="26" width="15.59765625" customWidth="1"/>
    <col min="27" max="27" width="14.69921875" customWidth="1"/>
    <col min="28" max="28" width="15.59765625" customWidth="1"/>
    <col min="29" max="29" width="14.69921875" customWidth="1"/>
    <col min="30" max="30" width="15.59765625" customWidth="1"/>
    <col min="31" max="31" width="14.69921875" customWidth="1"/>
    <col min="32" max="32" width="15.59765625" customWidth="1"/>
    <col min="33" max="33" width="14.69921875" customWidth="1"/>
  </cols>
  <sheetData>
    <row r="2" spans="2:33" ht="30.6" customHeight="1" x14ac:dyDescent="0.3">
      <c r="B2" s="215" t="s">
        <v>182</v>
      </c>
      <c r="C2" s="216"/>
      <c r="D2" s="216"/>
      <c r="E2" s="216"/>
      <c r="F2" s="216"/>
      <c r="G2" s="216"/>
      <c r="H2" s="216"/>
      <c r="I2" s="216"/>
      <c r="J2" s="221">
        <v>46023</v>
      </c>
      <c r="K2" s="222"/>
      <c r="L2" s="223">
        <v>46054</v>
      </c>
      <c r="M2" s="224"/>
      <c r="N2" s="217">
        <v>46082</v>
      </c>
      <c r="O2" s="218"/>
      <c r="P2" s="219">
        <v>46113</v>
      </c>
      <c r="Q2" s="220"/>
      <c r="R2" s="221">
        <v>46143</v>
      </c>
      <c r="S2" s="222"/>
      <c r="T2" s="223">
        <v>46174</v>
      </c>
      <c r="U2" s="224"/>
      <c r="V2" s="217">
        <v>46204</v>
      </c>
      <c r="W2" s="218"/>
      <c r="X2" s="219">
        <v>46235</v>
      </c>
      <c r="Y2" s="220"/>
      <c r="Z2" s="221">
        <v>46266</v>
      </c>
      <c r="AA2" s="222"/>
      <c r="AB2" s="223">
        <v>46296</v>
      </c>
      <c r="AC2" s="224"/>
      <c r="AD2" s="217">
        <v>46327</v>
      </c>
      <c r="AE2" s="218"/>
      <c r="AF2" s="219">
        <v>46357</v>
      </c>
      <c r="AG2" s="220"/>
    </row>
    <row r="3" spans="2:33" ht="31.2" x14ac:dyDescent="0.3">
      <c r="B3" s="16" t="s">
        <v>3</v>
      </c>
      <c r="C3" s="16" t="s">
        <v>6</v>
      </c>
      <c r="D3" s="16" t="s">
        <v>24</v>
      </c>
      <c r="E3" s="16" t="s">
        <v>1</v>
      </c>
      <c r="F3" s="16" t="s">
        <v>25</v>
      </c>
      <c r="G3" s="16" t="s">
        <v>26</v>
      </c>
      <c r="H3" s="16" t="s">
        <v>28</v>
      </c>
      <c r="I3" s="48" t="s">
        <v>27</v>
      </c>
      <c r="J3" s="49" t="s">
        <v>23</v>
      </c>
      <c r="K3" s="13" t="s">
        <v>10</v>
      </c>
      <c r="L3" s="11" t="s">
        <v>23</v>
      </c>
      <c r="M3" s="11" t="s">
        <v>10</v>
      </c>
      <c r="N3" s="14" t="s">
        <v>23</v>
      </c>
      <c r="O3" s="14" t="s">
        <v>10</v>
      </c>
      <c r="P3" s="15" t="s">
        <v>23</v>
      </c>
      <c r="Q3" s="15" t="s">
        <v>10</v>
      </c>
      <c r="R3" s="13" t="s">
        <v>23</v>
      </c>
      <c r="S3" s="13" t="s">
        <v>10</v>
      </c>
      <c r="T3" s="11" t="s">
        <v>23</v>
      </c>
      <c r="U3" s="11" t="s">
        <v>10</v>
      </c>
      <c r="V3" s="14" t="s">
        <v>23</v>
      </c>
      <c r="W3" s="14" t="s">
        <v>10</v>
      </c>
      <c r="X3" s="15" t="s">
        <v>23</v>
      </c>
      <c r="Y3" s="15" t="s">
        <v>10</v>
      </c>
      <c r="Z3" s="13" t="s">
        <v>23</v>
      </c>
      <c r="AA3" s="13" t="s">
        <v>10</v>
      </c>
      <c r="AB3" s="11" t="s">
        <v>23</v>
      </c>
      <c r="AC3" s="11" t="s">
        <v>10</v>
      </c>
      <c r="AD3" s="14" t="s">
        <v>23</v>
      </c>
      <c r="AE3" s="14" t="s">
        <v>10</v>
      </c>
      <c r="AF3" s="15" t="s">
        <v>23</v>
      </c>
      <c r="AG3" s="15" t="s">
        <v>10</v>
      </c>
    </row>
    <row r="4" spans="2:33" x14ac:dyDescent="0.3">
      <c r="B4" s="29">
        <f t="shared" ref="B4:B49" si="0">ROW()-ROW($B$3)</f>
        <v>1</v>
      </c>
      <c r="C4" s="31">
        <v>65</v>
      </c>
      <c r="D4" s="12" t="s">
        <v>22</v>
      </c>
      <c r="E4" s="18">
        <v>27874.62</v>
      </c>
      <c r="F4" s="18">
        <f>SUM(J4,L4,N4,P4,R4,T4,V4,X4,Z4,AB4,AD4,AF4)</f>
        <v>27874.62</v>
      </c>
      <c r="G4" s="47">
        <f t="shared" ref="G4:G56" si="1">E4-F4</f>
        <v>0</v>
      </c>
      <c r="H4" s="46">
        <f t="shared" ref="H4:H56" si="2">IFERROR(F4/E4,0)</f>
        <v>1</v>
      </c>
      <c r="I4" s="78" t="str" cm="1">
        <f t="array" ref="I4">IFERROR(LOOKUP(2,1/((MOD(COLUMN($K4:$AG4),2)=1)*($K4:$AG4&lt;&gt;"-")*($K4:$AG4&lt;&gt;"")),$K4:$AG4),"-")</f>
        <v>Concluída</v>
      </c>
      <c r="J4" s="44">
        <v>27874.62</v>
      </c>
      <c r="K4" s="21" t="s">
        <v>19</v>
      </c>
      <c r="L4" s="44"/>
      <c r="M4" s="21"/>
      <c r="N4" s="44"/>
      <c r="O4" s="21"/>
      <c r="P4" s="44"/>
      <c r="Q4" s="21"/>
      <c r="R4" s="44"/>
      <c r="S4" s="21"/>
      <c r="T4" s="44"/>
      <c r="U4" s="21"/>
      <c r="V4" s="44"/>
      <c r="W4" s="21"/>
      <c r="X4" s="44"/>
      <c r="Y4" s="21"/>
      <c r="Z4" s="44"/>
      <c r="AA4" s="21"/>
      <c r="AB4" s="44"/>
      <c r="AC4" s="21"/>
      <c r="AD4" s="44"/>
      <c r="AE4" s="21"/>
      <c r="AF4" s="44"/>
      <c r="AG4" s="21"/>
    </row>
    <row r="5" spans="2:33" x14ac:dyDescent="0.3">
      <c r="B5" s="29">
        <f>ROW()-ROW($B$3)</f>
        <v>2</v>
      </c>
      <c r="C5" s="31">
        <v>66</v>
      </c>
      <c r="D5" s="12" t="s">
        <v>22</v>
      </c>
      <c r="E5" s="18">
        <v>68235.11</v>
      </c>
      <c r="F5" s="18">
        <f>SUM(J5,L5,N5,P5,R5,T5,V5,X5,Z5,AB5,AD5,AF5)</f>
        <v>45019.74</v>
      </c>
      <c r="G5" s="47">
        <f t="shared" si="1"/>
        <v>23215.370000000003</v>
      </c>
      <c r="H5" s="46">
        <f t="shared" si="2"/>
        <v>0.65977383197594319</v>
      </c>
      <c r="I5" s="78" t="str" cm="1">
        <f t="array" ref="I5">IFERROR(LOOKUP(2,1/((MOD(COLUMN($K5:$AG5),2)=1)*($K5:$AG5&lt;&gt;"-")*($K5:$AG5&lt;&gt;"")),$K5:$AG5),"-")</f>
        <v>Concluída</v>
      </c>
      <c r="J5" s="44">
        <v>0</v>
      </c>
      <c r="K5" s="21" t="s">
        <v>20</v>
      </c>
      <c r="L5" s="44">
        <v>45019.74</v>
      </c>
      <c r="M5" s="21" t="s">
        <v>19</v>
      </c>
      <c r="N5" s="44"/>
      <c r="O5" s="21"/>
      <c r="P5" s="44"/>
      <c r="Q5" s="21"/>
      <c r="R5" s="44"/>
      <c r="S5" s="21"/>
      <c r="T5" s="44"/>
      <c r="U5" s="21"/>
      <c r="V5" s="44"/>
      <c r="W5" s="21"/>
      <c r="X5" s="44"/>
      <c r="Y5" s="21"/>
      <c r="Z5" s="44"/>
      <c r="AA5" s="21"/>
      <c r="AB5" s="44"/>
      <c r="AC5" s="21"/>
      <c r="AD5" s="44"/>
      <c r="AE5" s="21"/>
      <c r="AF5" s="44"/>
      <c r="AG5" s="21"/>
    </row>
    <row r="6" spans="2:33" x14ac:dyDescent="0.3">
      <c r="B6" s="29">
        <f>ROW()-ROW($B$3)</f>
        <v>3</v>
      </c>
      <c r="C6" s="31">
        <v>67</v>
      </c>
      <c r="D6" s="12" t="s">
        <v>22</v>
      </c>
      <c r="E6" s="18">
        <v>15770.16</v>
      </c>
      <c r="F6" s="18">
        <f t="shared" ref="F6:F56" si="3">SUM(J6,L6,N6,P6,R6,T6,V6,X6,Z6,AB6,AD6,AF6)</f>
        <v>15770</v>
      </c>
      <c r="G6" s="47">
        <f t="shared" si="1"/>
        <v>0.15999999999985448</v>
      </c>
      <c r="H6" s="46">
        <f t="shared" si="2"/>
        <v>0.99998985425639308</v>
      </c>
      <c r="I6" s="78" t="str" cm="1">
        <f t="array" ref="I6">IFERROR(LOOKUP(2,1/((MOD(COLUMN($K6:$AG6),2)=1)*($K6:$AG6&lt;&gt;"-")*($K6:$AG6&lt;&gt;"")),$K6:$AG6),"-")</f>
        <v>Concluída</v>
      </c>
      <c r="J6" s="44">
        <v>0</v>
      </c>
      <c r="K6" s="21" t="s">
        <v>20</v>
      </c>
      <c r="L6" s="44">
        <v>15770</v>
      </c>
      <c r="M6" s="21" t="s">
        <v>19</v>
      </c>
      <c r="N6" s="44"/>
      <c r="O6" s="21"/>
      <c r="P6" s="44"/>
      <c r="Q6" s="21"/>
      <c r="R6" s="44"/>
      <c r="S6" s="21"/>
      <c r="T6" s="44"/>
      <c r="U6" s="21"/>
      <c r="V6" s="44"/>
      <c r="W6" s="21"/>
      <c r="X6" s="44"/>
      <c r="Y6" s="21"/>
      <c r="Z6" s="44"/>
      <c r="AA6" s="21"/>
      <c r="AB6" s="44"/>
      <c r="AC6" s="21"/>
      <c r="AD6" s="44"/>
      <c r="AE6" s="21"/>
      <c r="AF6" s="44"/>
      <c r="AG6" s="21"/>
    </row>
    <row r="7" spans="2:33" x14ac:dyDescent="0.3">
      <c r="B7" s="29">
        <f>ROW()-ROW($B$3)</f>
        <v>4</v>
      </c>
      <c r="C7" s="31">
        <v>68</v>
      </c>
      <c r="D7" s="12" t="s">
        <v>22</v>
      </c>
      <c r="E7" s="18">
        <v>364826.92</v>
      </c>
      <c r="F7" s="18">
        <f t="shared" si="3"/>
        <v>364507.05</v>
      </c>
      <c r="G7" s="47">
        <f t="shared" si="1"/>
        <v>319.86999999999534</v>
      </c>
      <c r="H7" s="46">
        <f t="shared" si="2"/>
        <v>0.99912322807757714</v>
      </c>
      <c r="I7" s="78" t="str" cm="1">
        <f t="array" ref="I7">IFERROR(LOOKUP(2,1/((MOD(COLUMN($K7:$AG7),2)=1)*($K7:$AG7&lt;&gt;"-")*($K7:$AG7&lt;&gt;"")),$K7:$AG7),"-")</f>
        <v>Concluída</v>
      </c>
      <c r="J7" s="44">
        <v>364507.05</v>
      </c>
      <c r="K7" s="21" t="s">
        <v>19</v>
      </c>
      <c r="L7" s="44"/>
      <c r="M7" s="21"/>
      <c r="N7" s="44"/>
      <c r="O7" s="21"/>
      <c r="P7" s="44"/>
      <c r="Q7" s="21"/>
      <c r="R7" s="44"/>
      <c r="S7" s="21"/>
      <c r="T7" s="44"/>
      <c r="U7" s="21"/>
      <c r="V7" s="44"/>
      <c r="W7" s="21"/>
      <c r="X7" s="44"/>
      <c r="Y7" s="21"/>
      <c r="Z7" s="44"/>
      <c r="AA7" s="21"/>
      <c r="AB7" s="44"/>
      <c r="AC7" s="21"/>
      <c r="AD7" s="44"/>
      <c r="AE7" s="21"/>
      <c r="AF7" s="44"/>
      <c r="AG7" s="21"/>
    </row>
    <row r="8" spans="2:33" x14ac:dyDescent="0.3">
      <c r="B8" s="29">
        <f>ROW()-ROW($B$3)</f>
        <v>5</v>
      </c>
      <c r="C8" s="31">
        <v>69</v>
      </c>
      <c r="D8" s="12" t="s">
        <v>616</v>
      </c>
      <c r="E8" s="18">
        <v>241802.58</v>
      </c>
      <c r="F8" s="18">
        <f t="shared" si="3"/>
        <v>226279.84</v>
      </c>
      <c r="G8" s="47">
        <f t="shared" si="1"/>
        <v>15522.739999999991</v>
      </c>
      <c r="H8" s="46">
        <f t="shared" si="2"/>
        <v>0.93580407620133754</v>
      </c>
      <c r="I8" s="78" t="str" cm="1">
        <f t="array" ref="I8">IFERROR(LOOKUP(2,1/((MOD(COLUMN($K8:$AG8),2)=1)*($K8:$AG8&lt;&gt;"-")*($K8:$AG8&lt;&gt;"")),$K8:$AG8),"-")</f>
        <v>Concluída</v>
      </c>
      <c r="J8" s="44"/>
      <c r="K8" s="21"/>
      <c r="L8" s="44">
        <v>226279.84</v>
      </c>
      <c r="M8" s="21" t="s">
        <v>19</v>
      </c>
      <c r="N8" s="44"/>
      <c r="O8" s="21"/>
      <c r="P8" s="44"/>
      <c r="Q8" s="21"/>
      <c r="R8" s="44"/>
      <c r="S8" s="21"/>
      <c r="T8" s="44"/>
      <c r="U8" s="21"/>
      <c r="V8" s="44"/>
      <c r="W8" s="21"/>
      <c r="X8" s="44"/>
      <c r="Y8" s="21"/>
      <c r="Z8" s="44"/>
      <c r="AA8" s="21"/>
      <c r="AB8" s="44"/>
      <c r="AC8" s="21"/>
      <c r="AD8" s="44"/>
      <c r="AE8" s="21"/>
      <c r="AF8" s="44"/>
      <c r="AG8" s="21"/>
    </row>
    <row r="9" spans="2:33" x14ac:dyDescent="0.3">
      <c r="B9" s="29">
        <f>ROW()-ROW($B$3)</f>
        <v>6</v>
      </c>
      <c r="C9" s="31">
        <v>70</v>
      </c>
      <c r="D9" s="12" t="s">
        <v>616</v>
      </c>
      <c r="E9" s="18">
        <v>56412.28</v>
      </c>
      <c r="F9" s="18">
        <f t="shared" si="3"/>
        <v>32653.1</v>
      </c>
      <c r="G9" s="47">
        <f t="shared" si="1"/>
        <v>23759.18</v>
      </c>
      <c r="H9" s="46">
        <f t="shared" si="2"/>
        <v>0.57882964489292044</v>
      </c>
      <c r="I9" s="78" t="str" cm="1">
        <f t="array" ref="I9">IFERROR(LOOKUP(2,1/((MOD(COLUMN($K9:$AG9),2)=1)*($K9:$AG9&lt;&gt;"-")*($K9:$AG9&lt;&gt;"")),$K9:$AG9),"-")</f>
        <v>Concluída</v>
      </c>
      <c r="J9" s="44"/>
      <c r="K9" s="21"/>
      <c r="L9" s="44">
        <v>32653.1</v>
      </c>
      <c r="M9" s="21" t="s">
        <v>19</v>
      </c>
      <c r="N9" s="44"/>
      <c r="O9" s="21"/>
      <c r="P9" s="44"/>
      <c r="Q9" s="21"/>
      <c r="R9" s="44"/>
      <c r="S9" s="21"/>
      <c r="T9" s="44"/>
      <c r="U9" s="21"/>
      <c r="V9" s="44"/>
      <c r="W9" s="21"/>
      <c r="X9" s="44"/>
      <c r="Y9" s="21"/>
      <c r="Z9" s="44"/>
      <c r="AA9" s="21"/>
      <c r="AB9" s="44"/>
      <c r="AC9" s="21"/>
      <c r="AD9" s="44"/>
      <c r="AE9" s="21"/>
      <c r="AF9" s="44"/>
      <c r="AG9" s="21"/>
    </row>
    <row r="10" spans="2:33" x14ac:dyDescent="0.3">
      <c r="B10" s="29">
        <f>ROW()-ROW($B$3)</f>
        <v>7</v>
      </c>
      <c r="C10" s="31">
        <v>71</v>
      </c>
      <c r="D10" s="12" t="s">
        <v>616</v>
      </c>
      <c r="E10" s="18">
        <v>37751.14</v>
      </c>
      <c r="F10" s="18">
        <f t="shared" si="3"/>
        <v>37751.14</v>
      </c>
      <c r="G10" s="47">
        <f t="shared" si="1"/>
        <v>0</v>
      </c>
      <c r="H10" s="46">
        <f t="shared" si="2"/>
        <v>1</v>
      </c>
      <c r="I10" s="78" t="str" cm="1">
        <f t="array" ref="I10">IFERROR(LOOKUP(2,1/((MOD(COLUMN($K10:$AG10),2)=1)*($K10:$AG10&lt;&gt;"-")*($K10:$AG10&lt;&gt;"")),$K10:$AG10),"-")</f>
        <v>Concluída</v>
      </c>
      <c r="J10" s="44"/>
      <c r="K10" s="21"/>
      <c r="L10" s="44">
        <v>37751.14</v>
      </c>
      <c r="M10" s="21" t="s">
        <v>19</v>
      </c>
      <c r="N10" s="44"/>
      <c r="O10" s="21"/>
      <c r="P10" s="44"/>
      <c r="Q10" s="21"/>
      <c r="R10" s="44"/>
      <c r="S10" s="21"/>
      <c r="T10" s="44"/>
      <c r="U10" s="21"/>
      <c r="V10" s="44"/>
      <c r="W10" s="21"/>
      <c r="X10" s="44"/>
      <c r="Y10" s="21"/>
      <c r="Z10" s="44"/>
      <c r="AA10" s="21"/>
      <c r="AB10" s="44"/>
      <c r="AC10" s="21"/>
      <c r="AD10" s="44"/>
      <c r="AE10" s="21"/>
      <c r="AF10" s="44"/>
      <c r="AG10" s="21"/>
    </row>
    <row r="11" spans="2:33" x14ac:dyDescent="0.3">
      <c r="B11" s="29">
        <f>ROW()-ROW($B$3)</f>
        <v>8</v>
      </c>
      <c r="C11" s="31">
        <v>72</v>
      </c>
      <c r="D11" s="12" t="s">
        <v>616</v>
      </c>
      <c r="E11" s="18">
        <v>55856.27</v>
      </c>
      <c r="F11" s="18">
        <f t="shared" si="3"/>
        <v>54206.239999999998</v>
      </c>
      <c r="G11" s="47">
        <f t="shared" si="1"/>
        <v>1650.0299999999988</v>
      </c>
      <c r="H11" s="46">
        <f t="shared" si="2"/>
        <v>0.97045935935213723</v>
      </c>
      <c r="I11" s="78" t="str" cm="1">
        <f t="array" ref="I11">IFERROR(LOOKUP(2,1/((MOD(COLUMN($K11:$AG11),2)=1)*($K11:$AG11&lt;&gt;"-")*($K11:$AG11&lt;&gt;"")),$K11:$AG11),"-")</f>
        <v>Concluída</v>
      </c>
      <c r="J11" s="44"/>
      <c r="K11" s="21"/>
      <c r="L11" s="44">
        <v>54206.239999999998</v>
      </c>
      <c r="M11" s="21" t="s">
        <v>19</v>
      </c>
      <c r="N11" s="44"/>
      <c r="O11" s="21"/>
      <c r="P11" s="44"/>
      <c r="Q11" s="21"/>
      <c r="R11" s="44"/>
      <c r="S11" s="21"/>
      <c r="T11" s="44"/>
      <c r="U11" s="21"/>
      <c r="V11" s="44"/>
      <c r="W11" s="21"/>
      <c r="X11" s="44"/>
      <c r="Y11" s="21"/>
      <c r="Z11" s="44"/>
      <c r="AA11" s="21"/>
      <c r="AB11" s="44"/>
      <c r="AC11" s="21"/>
      <c r="AD11" s="44"/>
      <c r="AE11" s="21"/>
      <c r="AF11" s="44"/>
      <c r="AG11" s="21"/>
    </row>
    <row r="12" spans="2:33" x14ac:dyDescent="0.3">
      <c r="B12" s="29">
        <f>ROW()-ROW($B$3)</f>
        <v>9</v>
      </c>
      <c r="C12" s="31">
        <v>73</v>
      </c>
      <c r="D12" s="12" t="s">
        <v>616</v>
      </c>
      <c r="E12" s="18">
        <v>81113.55</v>
      </c>
      <c r="F12" s="18">
        <f t="shared" si="3"/>
        <v>75878.570000000007</v>
      </c>
      <c r="G12" s="47">
        <f t="shared" si="1"/>
        <v>5234.9799999999959</v>
      </c>
      <c r="H12" s="46">
        <f t="shared" si="2"/>
        <v>0.93546109127266663</v>
      </c>
      <c r="I12" s="78" t="str" cm="1">
        <f t="array" ref="I12">IFERROR(LOOKUP(2,1/((MOD(COLUMN($K12:$AG12),2)=1)*($K12:$AG12&lt;&gt;"-")*($K12:$AG12&lt;&gt;"")),$K12:$AG12),"-")</f>
        <v>Concluída</v>
      </c>
      <c r="J12" s="44"/>
      <c r="K12" s="21"/>
      <c r="L12" s="44">
        <v>75878.570000000007</v>
      </c>
      <c r="M12" s="21" t="s">
        <v>19</v>
      </c>
      <c r="N12" s="44"/>
      <c r="O12" s="21"/>
      <c r="P12" s="44"/>
      <c r="Q12" s="21"/>
      <c r="R12" s="44"/>
      <c r="S12" s="21"/>
      <c r="T12" s="44"/>
      <c r="U12" s="21"/>
      <c r="V12" s="44"/>
      <c r="W12" s="21"/>
      <c r="X12" s="44"/>
      <c r="Y12" s="21"/>
      <c r="Z12" s="44"/>
      <c r="AA12" s="21"/>
      <c r="AB12" s="44"/>
      <c r="AC12" s="21"/>
      <c r="AD12" s="44"/>
      <c r="AE12" s="21"/>
      <c r="AF12" s="44"/>
      <c r="AG12" s="21"/>
    </row>
    <row r="13" spans="2:33" x14ac:dyDescent="0.3">
      <c r="B13" s="29">
        <f>ROW()-ROW($B$3)</f>
        <v>10</v>
      </c>
      <c r="C13" s="31">
        <v>74</v>
      </c>
      <c r="D13" s="12" t="s">
        <v>616</v>
      </c>
      <c r="E13" s="18">
        <v>57943.33</v>
      </c>
      <c r="F13" s="18">
        <f t="shared" si="3"/>
        <v>57943.33</v>
      </c>
      <c r="G13" s="47">
        <f t="shared" si="1"/>
        <v>0</v>
      </c>
      <c r="H13" s="46">
        <f t="shared" si="2"/>
        <v>1</v>
      </c>
      <c r="I13" s="78" t="str" cm="1">
        <f t="array" ref="I13">IFERROR(LOOKUP(2,1/((MOD(COLUMN($K13:$AG13),2)=1)*($K13:$AG13&lt;&gt;"-")*($K13:$AG13&lt;&gt;"")),$K13:$AG13),"-")</f>
        <v>Concluída</v>
      </c>
      <c r="J13" s="44"/>
      <c r="K13" s="21"/>
      <c r="L13" s="44">
        <v>57943.33</v>
      </c>
      <c r="M13" s="21" t="s">
        <v>19</v>
      </c>
      <c r="N13" s="44"/>
      <c r="O13" s="21"/>
      <c r="P13" s="44"/>
      <c r="Q13" s="21"/>
      <c r="R13" s="44"/>
      <c r="S13" s="21"/>
      <c r="T13" s="44"/>
      <c r="U13" s="21"/>
      <c r="V13" s="44"/>
      <c r="W13" s="21"/>
      <c r="X13" s="44"/>
      <c r="Y13" s="21"/>
      <c r="Z13" s="44"/>
      <c r="AA13" s="21"/>
      <c r="AB13" s="44"/>
      <c r="AC13" s="21"/>
      <c r="AD13" s="44"/>
      <c r="AE13" s="21"/>
      <c r="AF13" s="44"/>
      <c r="AG13" s="21"/>
    </row>
    <row r="14" spans="2:33" x14ac:dyDescent="0.3">
      <c r="B14" s="29">
        <f>ROW()-ROW($B$3)</f>
        <v>11</v>
      </c>
      <c r="C14" s="31">
        <v>75</v>
      </c>
      <c r="D14" s="12" t="s">
        <v>616</v>
      </c>
      <c r="E14" s="18">
        <v>295343.5</v>
      </c>
      <c r="F14" s="18">
        <f t="shared" si="3"/>
        <v>217242.54</v>
      </c>
      <c r="G14" s="47">
        <f t="shared" si="1"/>
        <v>78100.959999999992</v>
      </c>
      <c r="H14" s="46">
        <f t="shared" si="2"/>
        <v>0.73555890006043811</v>
      </c>
      <c r="I14" s="78" t="str" cm="1">
        <f t="array" ref="I14">IFERROR(LOOKUP(2,1/((MOD(COLUMN($K14:$AG14),2)=1)*($K14:$AG14&lt;&gt;"-")*($K14:$AG14&lt;&gt;"")),$K14:$AG14),"-")</f>
        <v>Concluída</v>
      </c>
      <c r="J14" s="44"/>
      <c r="K14" s="21"/>
      <c r="L14" s="44">
        <v>217242.54</v>
      </c>
      <c r="M14" s="21" t="s">
        <v>19</v>
      </c>
      <c r="N14" s="44"/>
      <c r="O14" s="21"/>
      <c r="P14" s="44"/>
      <c r="Q14" s="21"/>
      <c r="R14" s="44"/>
      <c r="S14" s="21"/>
      <c r="T14" s="44"/>
      <c r="U14" s="21"/>
      <c r="V14" s="44"/>
      <c r="W14" s="21"/>
      <c r="X14" s="44"/>
      <c r="Y14" s="21"/>
      <c r="Z14" s="44"/>
      <c r="AA14" s="21"/>
      <c r="AB14" s="44"/>
      <c r="AC14" s="21"/>
      <c r="AD14" s="44"/>
      <c r="AE14" s="21"/>
      <c r="AF14" s="44"/>
      <c r="AG14" s="21"/>
    </row>
    <row r="15" spans="2:33" x14ac:dyDescent="0.3">
      <c r="B15" s="29">
        <f>ROW()-ROW($B$3)</f>
        <v>12</v>
      </c>
      <c r="C15" s="31">
        <v>76</v>
      </c>
      <c r="D15" s="12" t="s">
        <v>616</v>
      </c>
      <c r="E15" s="18">
        <v>615457.46</v>
      </c>
      <c r="F15" s="18">
        <f t="shared" si="3"/>
        <v>536383.80000000005</v>
      </c>
      <c r="G15" s="47">
        <f t="shared" si="1"/>
        <v>79073.659999999916</v>
      </c>
      <c r="H15" s="46">
        <f t="shared" si="2"/>
        <v>0.87152051093831906</v>
      </c>
      <c r="I15" s="78" t="str" cm="1">
        <f t="array" ref="I15">IFERROR(LOOKUP(2,1/((MOD(COLUMN($K15:$AG15),2)=1)*($K15:$AG15&lt;&gt;"-")*($K15:$AG15&lt;&gt;"")),$K15:$AG15),"-")</f>
        <v>Concluída</v>
      </c>
      <c r="J15" s="44"/>
      <c r="K15" s="21"/>
      <c r="L15" s="44">
        <v>536383.80000000005</v>
      </c>
      <c r="M15" s="21" t="s">
        <v>19</v>
      </c>
      <c r="N15" s="44"/>
      <c r="O15" s="21"/>
      <c r="P15" s="44"/>
      <c r="Q15" s="21"/>
      <c r="R15" s="44"/>
      <c r="S15" s="21"/>
      <c r="T15" s="44"/>
      <c r="U15" s="21"/>
      <c r="V15" s="44"/>
      <c r="W15" s="21"/>
      <c r="X15" s="44"/>
      <c r="Y15" s="21"/>
      <c r="Z15" s="44"/>
      <c r="AA15" s="21"/>
      <c r="AB15" s="44"/>
      <c r="AC15" s="21"/>
      <c r="AD15" s="44"/>
      <c r="AE15" s="21"/>
      <c r="AF15" s="44"/>
      <c r="AG15" s="21"/>
    </row>
    <row r="16" spans="2:33" x14ac:dyDescent="0.3">
      <c r="B16" s="29">
        <f>ROW()-ROW($B$3)</f>
        <v>13</v>
      </c>
      <c r="C16" s="31">
        <v>77</v>
      </c>
      <c r="D16" s="12" t="s">
        <v>610</v>
      </c>
      <c r="E16" s="18">
        <v>133710.57999999999</v>
      </c>
      <c r="F16" s="18">
        <f t="shared" si="3"/>
        <v>27644.120000000003</v>
      </c>
      <c r="G16" s="47">
        <f t="shared" si="1"/>
        <v>106066.45999999999</v>
      </c>
      <c r="H16" s="46">
        <f t="shared" si="2"/>
        <v>0.20674594336513988</v>
      </c>
      <c r="I16" s="78" t="str" cm="1">
        <f t="array" ref="I16">IFERROR(LOOKUP(2,1/((MOD(COLUMN($K16:$AG16),2)=1)*($K16:$AG16&lt;&gt;"-")*($K16:$AG16&lt;&gt;"")),$K16:$AG16),"-")</f>
        <v>Concluída</v>
      </c>
      <c r="J16" s="44"/>
      <c r="K16" s="21"/>
      <c r="L16" s="44"/>
      <c r="M16" s="21"/>
      <c r="N16" s="44">
        <v>7686.15</v>
      </c>
      <c r="O16" s="21" t="s">
        <v>20</v>
      </c>
      <c r="P16" s="44"/>
      <c r="Q16" s="21" t="s">
        <v>20</v>
      </c>
      <c r="R16" s="44">
        <v>19957.97</v>
      </c>
      <c r="S16" s="21" t="s">
        <v>19</v>
      </c>
      <c r="T16" s="44"/>
      <c r="U16" s="21"/>
      <c r="V16" s="44"/>
      <c r="W16" s="21"/>
      <c r="X16" s="44"/>
      <c r="Y16" s="21"/>
      <c r="Z16" s="44"/>
      <c r="AA16" s="21"/>
      <c r="AB16" s="44"/>
      <c r="AC16" s="21"/>
      <c r="AD16" s="44"/>
      <c r="AE16" s="21"/>
      <c r="AF16" s="44"/>
      <c r="AG16" s="21"/>
    </row>
    <row r="17" spans="2:33" x14ac:dyDescent="0.3">
      <c r="B17" s="29">
        <f>ROW()-ROW($B$3)</f>
        <v>14</v>
      </c>
      <c r="C17" s="31">
        <v>78</v>
      </c>
      <c r="D17" s="12" t="s">
        <v>610</v>
      </c>
      <c r="E17" s="18">
        <v>78688.490000000005</v>
      </c>
      <c r="F17" s="18">
        <f t="shared" si="3"/>
        <v>15187.11</v>
      </c>
      <c r="G17" s="47">
        <f t="shared" si="1"/>
        <v>63501.380000000005</v>
      </c>
      <c r="H17" s="46">
        <f t="shared" si="2"/>
        <v>0.19300294109087618</v>
      </c>
      <c r="I17" s="78" t="str" cm="1">
        <f t="array" ref="I17">IFERROR(LOOKUP(2,1/((MOD(COLUMN($K17:$AG17),2)=1)*($K17:$AG17&lt;&gt;"-")*($K17:$AG17&lt;&gt;"")),$K17:$AG17),"-")</f>
        <v>Concluída</v>
      </c>
      <c r="J17" s="44"/>
      <c r="K17" s="21"/>
      <c r="L17" s="44"/>
      <c r="M17" s="21"/>
      <c r="N17" s="44"/>
      <c r="O17" s="21" t="s">
        <v>20</v>
      </c>
      <c r="P17" s="44">
        <v>15187.11</v>
      </c>
      <c r="Q17" s="21" t="s">
        <v>19</v>
      </c>
      <c r="R17" s="44"/>
      <c r="S17" s="21"/>
      <c r="T17" s="44"/>
      <c r="U17" s="21"/>
      <c r="V17" s="44"/>
      <c r="W17" s="21"/>
      <c r="X17" s="44"/>
      <c r="Y17" s="21"/>
      <c r="Z17" s="44"/>
      <c r="AA17" s="21"/>
      <c r="AB17" s="44"/>
      <c r="AC17" s="21"/>
      <c r="AD17" s="44"/>
      <c r="AE17" s="21"/>
      <c r="AF17" s="44"/>
      <c r="AG17" s="21"/>
    </row>
    <row r="18" spans="2:33" x14ac:dyDescent="0.3">
      <c r="B18" s="29">
        <f>ROW()-ROW($B$3)</f>
        <v>15</v>
      </c>
      <c r="C18" s="31">
        <v>79</v>
      </c>
      <c r="D18" s="12" t="s">
        <v>610</v>
      </c>
      <c r="E18" s="18">
        <v>103566.69</v>
      </c>
      <c r="F18" s="18">
        <f t="shared" si="3"/>
        <v>13059.73</v>
      </c>
      <c r="G18" s="47">
        <f t="shared" si="1"/>
        <v>90506.96</v>
      </c>
      <c r="H18" s="46">
        <f t="shared" si="2"/>
        <v>0.12609971410691989</v>
      </c>
      <c r="I18" s="78" t="str" cm="1">
        <f t="array" ref="I18">IFERROR(LOOKUP(2,1/((MOD(COLUMN($K18:$AG18),2)=1)*($K18:$AG18&lt;&gt;"-")*($K18:$AG18&lt;&gt;"")),$K18:$AG18),"-")</f>
        <v>Concluída</v>
      </c>
      <c r="J18" s="44"/>
      <c r="K18" s="21"/>
      <c r="L18" s="44"/>
      <c r="M18" s="21"/>
      <c r="N18" s="44"/>
      <c r="O18" s="21" t="s">
        <v>20</v>
      </c>
      <c r="P18" s="44">
        <v>13059.73</v>
      </c>
      <c r="Q18" s="21" t="s">
        <v>19</v>
      </c>
      <c r="R18" s="44"/>
      <c r="S18" s="21"/>
      <c r="T18" s="44"/>
      <c r="U18" s="21"/>
      <c r="V18" s="44"/>
      <c r="W18" s="21"/>
      <c r="X18" s="44"/>
      <c r="Y18" s="21"/>
      <c r="Z18" s="44"/>
      <c r="AA18" s="21"/>
      <c r="AB18" s="44"/>
      <c r="AC18" s="21"/>
      <c r="AD18" s="44"/>
      <c r="AE18" s="21"/>
      <c r="AF18" s="44"/>
      <c r="AG18" s="21"/>
    </row>
    <row r="19" spans="2:33" x14ac:dyDescent="0.3">
      <c r="B19" s="29">
        <f>ROW()-ROW($B$3)</f>
        <v>16</v>
      </c>
      <c r="C19" s="31">
        <v>80</v>
      </c>
      <c r="D19" s="12" t="s">
        <v>642</v>
      </c>
      <c r="E19" s="18">
        <v>79753.460000000006</v>
      </c>
      <c r="F19" s="18">
        <f t="shared" si="3"/>
        <v>79753.459999999992</v>
      </c>
      <c r="G19" s="47">
        <f t="shared" si="1"/>
        <v>0</v>
      </c>
      <c r="H19" s="46">
        <f t="shared" si="2"/>
        <v>0.99999999999999978</v>
      </c>
      <c r="I19" s="78" t="str" cm="1">
        <f t="array" ref="I19">IFERROR(LOOKUP(2,1/((MOD(COLUMN($K19:$AG19),2)=1)*($K19:$AG19&lt;&gt;"-")*($K19:$AG19&lt;&gt;"")),$K19:$AG19),"-")</f>
        <v>Concluída</v>
      </c>
      <c r="J19" s="44"/>
      <c r="K19" s="21"/>
      <c r="L19" s="44"/>
      <c r="M19" s="21"/>
      <c r="N19" s="44">
        <v>56219.25</v>
      </c>
      <c r="O19" s="21" t="s">
        <v>20</v>
      </c>
      <c r="P19" s="44">
        <v>23534.21</v>
      </c>
      <c r="Q19" s="21" t="s">
        <v>19</v>
      </c>
      <c r="R19" s="44"/>
      <c r="S19" s="21"/>
      <c r="T19" s="44"/>
      <c r="U19" s="21"/>
      <c r="V19" s="44"/>
      <c r="W19" s="21"/>
      <c r="X19" s="44"/>
      <c r="Y19" s="21"/>
      <c r="Z19" s="44"/>
      <c r="AA19" s="21"/>
      <c r="AB19" s="44"/>
      <c r="AC19" s="21"/>
      <c r="AD19" s="44"/>
      <c r="AE19" s="21"/>
      <c r="AF19" s="44"/>
      <c r="AG19" s="21"/>
    </row>
    <row r="20" spans="2:33" x14ac:dyDescent="0.3">
      <c r="B20" s="29">
        <f>ROW()-ROW($B$3)</f>
        <v>17</v>
      </c>
      <c r="C20" s="31">
        <v>81</v>
      </c>
      <c r="D20" s="12" t="s">
        <v>610</v>
      </c>
      <c r="E20" s="18">
        <v>284302.32</v>
      </c>
      <c r="F20" s="18">
        <f t="shared" si="3"/>
        <v>201106.42</v>
      </c>
      <c r="G20" s="47">
        <f t="shared" si="1"/>
        <v>83195.899999999994</v>
      </c>
      <c r="H20" s="46">
        <f t="shared" si="2"/>
        <v>0.70736819875405876</v>
      </c>
      <c r="I20" s="78" t="str" cm="1">
        <f t="array" ref="I20">IFERROR(LOOKUP(2,1/((MOD(COLUMN($K20:$AG20),2)=1)*($K20:$AG20&lt;&gt;"-")*($K20:$AG20&lt;&gt;"")),$K20:$AG20),"-")</f>
        <v>Concluída</v>
      </c>
      <c r="J20" s="44"/>
      <c r="K20" s="21"/>
      <c r="L20" s="44"/>
      <c r="M20" s="21"/>
      <c r="N20" s="44">
        <v>114672.07</v>
      </c>
      <c r="O20" s="21" t="s">
        <v>20</v>
      </c>
      <c r="P20" s="44">
        <v>86434.35</v>
      </c>
      <c r="Q20" s="21" t="s">
        <v>19</v>
      </c>
      <c r="R20" s="44"/>
      <c r="S20" s="21"/>
      <c r="T20" s="44"/>
      <c r="U20" s="21"/>
      <c r="V20" s="44"/>
      <c r="W20" s="21"/>
      <c r="X20" s="44"/>
      <c r="Y20" s="21"/>
      <c r="Z20" s="44"/>
      <c r="AA20" s="21"/>
      <c r="AB20" s="44"/>
      <c r="AC20" s="21"/>
      <c r="AD20" s="44"/>
      <c r="AE20" s="21"/>
      <c r="AF20" s="44"/>
      <c r="AG20" s="21"/>
    </row>
    <row r="21" spans="2:33" x14ac:dyDescent="0.3">
      <c r="B21" s="29">
        <f>ROW()-ROW($B$3)</f>
        <v>18</v>
      </c>
      <c r="C21" s="31">
        <v>82</v>
      </c>
      <c r="D21" s="12" t="s">
        <v>623</v>
      </c>
      <c r="E21" s="18">
        <v>84903.98</v>
      </c>
      <c r="F21" s="18">
        <f t="shared" si="3"/>
        <v>78780.759999999995</v>
      </c>
      <c r="G21" s="47">
        <f t="shared" si="1"/>
        <v>6123.2200000000012</v>
      </c>
      <c r="H21" s="46">
        <f t="shared" si="2"/>
        <v>0.92788064823345151</v>
      </c>
      <c r="I21" s="78" t="str" cm="1">
        <f t="array" ref="I21">IFERROR(LOOKUP(2,1/((MOD(COLUMN($K21:$AG21),2)=1)*($K21:$AG21&lt;&gt;"-")*($K21:$AG21&lt;&gt;"")),$K21:$AG21),"-")</f>
        <v>Concluída</v>
      </c>
      <c r="J21" s="44"/>
      <c r="K21" s="21"/>
      <c r="L21" s="44"/>
      <c r="M21" s="21"/>
      <c r="N21" s="44"/>
      <c r="O21" s="21"/>
      <c r="P21" s="44">
        <v>78780.759999999995</v>
      </c>
      <c r="Q21" s="21" t="s">
        <v>19</v>
      </c>
      <c r="R21" s="44"/>
      <c r="S21" s="21"/>
      <c r="T21" s="44"/>
      <c r="U21" s="21"/>
      <c r="V21" s="44"/>
      <c r="W21" s="21"/>
      <c r="X21" s="44"/>
      <c r="Y21" s="21"/>
      <c r="Z21" s="44"/>
      <c r="AA21" s="21"/>
      <c r="AB21" s="44"/>
      <c r="AC21" s="21"/>
      <c r="AD21" s="44"/>
      <c r="AE21" s="21"/>
      <c r="AF21" s="44"/>
      <c r="AG21" s="21"/>
    </row>
    <row r="22" spans="2:33" x14ac:dyDescent="0.3">
      <c r="B22" s="29">
        <f>ROW()-ROW($B$3)</f>
        <v>19</v>
      </c>
      <c r="C22" s="31">
        <v>83</v>
      </c>
      <c r="D22" s="12" t="s">
        <v>643</v>
      </c>
      <c r="E22" s="18">
        <v>461352.19</v>
      </c>
      <c r="F22" s="18">
        <f t="shared" si="3"/>
        <v>461335.76</v>
      </c>
      <c r="G22" s="47">
        <f t="shared" si="1"/>
        <v>16.429999999993015</v>
      </c>
      <c r="H22" s="46">
        <f t="shared" si="2"/>
        <v>0.99996438729379389</v>
      </c>
      <c r="I22" s="78" t="str" cm="1">
        <f t="array" ref="I22">IFERROR(LOOKUP(2,1/((MOD(COLUMN($K22:$AG22),2)=1)*($K22:$AG22&lt;&gt;"-")*($K22:$AG22&lt;&gt;"")),$K22:$AG22),"-")</f>
        <v>Concluída</v>
      </c>
      <c r="J22" s="44"/>
      <c r="K22" s="21"/>
      <c r="L22" s="44"/>
      <c r="M22" s="21"/>
      <c r="N22" s="44"/>
      <c r="O22" s="21"/>
      <c r="P22" s="44">
        <v>461335.76</v>
      </c>
      <c r="Q22" s="21" t="s">
        <v>19</v>
      </c>
      <c r="R22" s="44"/>
      <c r="S22" s="21"/>
      <c r="T22" s="44"/>
      <c r="U22" s="21"/>
      <c r="V22" s="44"/>
      <c r="W22" s="21"/>
      <c r="X22" s="44"/>
      <c r="Y22" s="21"/>
      <c r="Z22" s="44"/>
      <c r="AA22" s="21"/>
      <c r="AB22" s="44"/>
      <c r="AC22" s="21"/>
      <c r="AD22" s="44"/>
      <c r="AE22" s="21"/>
      <c r="AF22" s="44"/>
      <c r="AG22" s="21"/>
    </row>
    <row r="23" spans="2:33" x14ac:dyDescent="0.3">
      <c r="B23" s="29">
        <f>ROW()-ROW($B$3)</f>
        <v>20</v>
      </c>
      <c r="C23" s="31">
        <v>84</v>
      </c>
      <c r="D23" s="12" t="s">
        <v>643</v>
      </c>
      <c r="E23" s="18">
        <v>664951.82999999996</v>
      </c>
      <c r="F23" s="18">
        <f t="shared" si="3"/>
        <v>664951.81999999995</v>
      </c>
      <c r="G23" s="47">
        <f t="shared" si="1"/>
        <v>1.0000000009313226E-2</v>
      </c>
      <c r="H23" s="46">
        <f t="shared" si="2"/>
        <v>0.9999999849613167</v>
      </c>
      <c r="I23" s="78" t="str" cm="1">
        <f t="array" ref="I23">IFERROR(LOOKUP(2,1/((MOD(COLUMN($K23:$AG23),2)=1)*($K23:$AG23&lt;&gt;"-")*($K23:$AG23&lt;&gt;"")),$K23:$AG23),"-")</f>
        <v>Concluída</v>
      </c>
      <c r="J23" s="44"/>
      <c r="K23" s="21"/>
      <c r="L23" s="44"/>
      <c r="M23" s="21"/>
      <c r="N23" s="44"/>
      <c r="O23" s="21"/>
      <c r="P23" s="44">
        <v>664951.81999999995</v>
      </c>
      <c r="Q23" s="21" t="s">
        <v>19</v>
      </c>
      <c r="R23" s="44"/>
      <c r="S23" s="21"/>
      <c r="T23" s="44"/>
      <c r="U23" s="21"/>
      <c r="V23" s="44"/>
      <c r="W23" s="21"/>
      <c r="X23" s="44"/>
      <c r="Y23" s="21"/>
      <c r="Z23" s="44"/>
      <c r="AA23" s="21"/>
      <c r="AB23" s="44"/>
      <c r="AC23" s="21"/>
      <c r="AD23" s="44"/>
      <c r="AE23" s="21"/>
      <c r="AF23" s="44"/>
      <c r="AG23" s="21"/>
    </row>
    <row r="24" spans="2:33" x14ac:dyDescent="0.3">
      <c r="B24" s="29">
        <f>ROW()-ROW($B$3)</f>
        <v>21</v>
      </c>
      <c r="C24" s="31">
        <v>85</v>
      </c>
      <c r="D24" s="12" t="s">
        <v>613</v>
      </c>
      <c r="E24" s="18">
        <v>1159513.57</v>
      </c>
      <c r="F24" s="18">
        <f t="shared" si="3"/>
        <v>1158114.0900000001</v>
      </c>
      <c r="G24" s="47">
        <f t="shared" si="1"/>
        <v>1399.4799999999814</v>
      </c>
      <c r="H24" s="46">
        <f t="shared" si="2"/>
        <v>0.99879304560445981</v>
      </c>
      <c r="I24" s="78" t="str" cm="1">
        <f t="array" ref="I24">IFERROR(LOOKUP(2,1/((MOD(COLUMN($K24:$AG24),2)=1)*($K24:$AG24&lt;&gt;"-")*($K24:$AG24&lt;&gt;"")),$K24:$AG24),"-")</f>
        <v>Concluída</v>
      </c>
      <c r="J24" s="44"/>
      <c r="K24" s="21"/>
      <c r="L24" s="44"/>
      <c r="M24" s="21"/>
      <c r="N24" s="44"/>
      <c r="O24" s="21"/>
      <c r="P24" s="44"/>
      <c r="Q24" s="21"/>
      <c r="R24" s="44">
        <v>1158114.0900000001</v>
      </c>
      <c r="S24" s="21" t="s">
        <v>19</v>
      </c>
      <c r="T24" s="44"/>
      <c r="U24" s="21"/>
      <c r="V24" s="44"/>
      <c r="W24" s="21"/>
      <c r="X24" s="44"/>
      <c r="Y24" s="21"/>
      <c r="Z24" s="44"/>
      <c r="AA24" s="21"/>
      <c r="AB24" s="44"/>
      <c r="AC24" s="21"/>
      <c r="AD24" s="44"/>
      <c r="AE24" s="21"/>
      <c r="AF24" s="44"/>
      <c r="AG24" s="21"/>
    </row>
    <row r="25" spans="2:33" x14ac:dyDescent="0.3">
      <c r="B25" s="29">
        <f>ROW()-ROW($B$3)</f>
        <v>22</v>
      </c>
      <c r="C25" s="31">
        <v>86</v>
      </c>
      <c r="D25" s="12" t="s">
        <v>613</v>
      </c>
      <c r="E25" s="18">
        <v>435739.41</v>
      </c>
      <c r="F25" s="18">
        <f t="shared" si="3"/>
        <v>403397.26</v>
      </c>
      <c r="G25" s="47">
        <f t="shared" si="1"/>
        <v>32342.149999999965</v>
      </c>
      <c r="H25" s="46">
        <f t="shared" si="2"/>
        <v>0.9257763946575317</v>
      </c>
      <c r="I25" s="78" t="str" cm="1">
        <f t="array" ref="I25">IFERROR(LOOKUP(2,1/((MOD(COLUMN($K25:$AG25),2)=1)*($K25:$AG25&lt;&gt;"-")*($K25:$AG25&lt;&gt;"")),$K25:$AG25),"-")</f>
        <v>Concluída</v>
      </c>
      <c r="J25" s="44"/>
      <c r="K25" s="21"/>
      <c r="L25" s="44"/>
      <c r="M25" s="21"/>
      <c r="N25" s="44"/>
      <c r="O25" s="21"/>
      <c r="P25" s="44"/>
      <c r="Q25" s="21"/>
      <c r="R25" s="44">
        <v>385167.96</v>
      </c>
      <c r="S25" s="21" t="s">
        <v>18</v>
      </c>
      <c r="T25" s="44">
        <v>18229.3</v>
      </c>
      <c r="U25" s="21" t="s">
        <v>19</v>
      </c>
      <c r="V25" s="44"/>
      <c r="W25" s="21"/>
      <c r="X25" s="44"/>
      <c r="Y25" s="21"/>
      <c r="Z25" s="44"/>
      <c r="AA25" s="21"/>
      <c r="AB25" s="44"/>
      <c r="AC25" s="21"/>
      <c r="AD25" s="44"/>
      <c r="AE25" s="21"/>
      <c r="AF25" s="44"/>
      <c r="AG25" s="21"/>
    </row>
    <row r="26" spans="2:33" x14ac:dyDescent="0.3">
      <c r="B26" s="29">
        <f>ROW()-ROW($B$3)</f>
        <v>23</v>
      </c>
      <c r="C26" s="31">
        <v>87</v>
      </c>
      <c r="D26" s="12" t="s">
        <v>614</v>
      </c>
      <c r="E26" s="18">
        <v>10833.42</v>
      </c>
      <c r="F26" s="18">
        <f t="shared" si="3"/>
        <v>10833.42</v>
      </c>
      <c r="G26" s="47">
        <f t="shared" si="1"/>
        <v>0</v>
      </c>
      <c r="H26" s="46">
        <f t="shared" si="2"/>
        <v>1</v>
      </c>
      <c r="I26" s="78" t="str" cm="1">
        <f t="array" ref="I26">IFERROR(LOOKUP(2,1/((MOD(COLUMN($K26:$AG26),2)=1)*($K26:$AG26&lt;&gt;"-")*($K26:$AG26&lt;&gt;"")),$K26:$AG26),"-")</f>
        <v>Concluída</v>
      </c>
      <c r="J26" s="44"/>
      <c r="K26" s="21"/>
      <c r="L26" s="44"/>
      <c r="M26" s="21"/>
      <c r="N26" s="44"/>
      <c r="O26" s="21"/>
      <c r="P26" s="44"/>
      <c r="Q26" s="21"/>
      <c r="R26" s="44"/>
      <c r="S26" s="21"/>
      <c r="T26" s="44">
        <v>10833.42</v>
      </c>
      <c r="U26" s="21" t="s">
        <v>19</v>
      </c>
      <c r="V26" s="44"/>
      <c r="W26" s="21"/>
      <c r="X26" s="44"/>
      <c r="Y26" s="21"/>
      <c r="Z26" s="44"/>
      <c r="AA26" s="21"/>
      <c r="AB26" s="44"/>
      <c r="AC26" s="21"/>
      <c r="AD26" s="44"/>
      <c r="AE26" s="21"/>
      <c r="AF26" s="44"/>
      <c r="AG26" s="21"/>
    </row>
    <row r="27" spans="2:33" x14ac:dyDescent="0.3">
      <c r="B27" s="29">
        <f t="shared" si="0"/>
        <v>24</v>
      </c>
      <c r="C27" s="31">
        <v>88</v>
      </c>
      <c r="D27" s="12" t="s">
        <v>614</v>
      </c>
      <c r="E27" s="18">
        <v>16063.71</v>
      </c>
      <c r="F27" s="18">
        <f t="shared" si="3"/>
        <v>16063.71</v>
      </c>
      <c r="G27" s="47">
        <f t="shared" si="1"/>
        <v>0</v>
      </c>
      <c r="H27" s="46">
        <f t="shared" si="2"/>
        <v>1</v>
      </c>
      <c r="I27" s="78" t="str" cm="1">
        <f t="array" ref="I27">IFERROR(LOOKUP(2,1/((MOD(COLUMN($K27:$AG27),2)=1)*($K27:$AG27&lt;&gt;"-")*($K27:$AG27&lt;&gt;"")),$K27:$AG27),"-")</f>
        <v>Concluída</v>
      </c>
      <c r="J27" s="44"/>
      <c r="K27" s="21"/>
      <c r="L27" s="44"/>
      <c r="M27" s="21"/>
      <c r="N27" s="44"/>
      <c r="O27" s="21"/>
      <c r="P27" s="44"/>
      <c r="Q27" s="21"/>
      <c r="R27" s="44"/>
      <c r="S27" s="21"/>
      <c r="T27" s="44">
        <v>16063.71</v>
      </c>
      <c r="U27" s="21" t="s">
        <v>19</v>
      </c>
      <c r="V27" s="44"/>
      <c r="W27" s="21"/>
      <c r="X27" s="44"/>
      <c r="Y27" s="21"/>
      <c r="Z27" s="44"/>
      <c r="AA27" s="21"/>
      <c r="AB27" s="44"/>
      <c r="AC27" s="21"/>
      <c r="AD27" s="44"/>
      <c r="AE27" s="21"/>
      <c r="AF27" s="44"/>
      <c r="AG27" s="21"/>
    </row>
    <row r="28" spans="2:33" x14ac:dyDescent="0.3">
      <c r="B28" s="29">
        <f t="shared" si="0"/>
        <v>25</v>
      </c>
      <c r="C28" s="31">
        <v>89</v>
      </c>
      <c r="D28" s="12" t="s">
        <v>614</v>
      </c>
      <c r="E28" s="18">
        <v>78099.460000000006</v>
      </c>
      <c r="F28" s="18">
        <f t="shared" si="3"/>
        <v>78099.460000000006</v>
      </c>
      <c r="G28" s="47">
        <f t="shared" si="1"/>
        <v>0</v>
      </c>
      <c r="H28" s="46">
        <f t="shared" si="2"/>
        <v>1</v>
      </c>
      <c r="I28" s="78" t="str" cm="1">
        <f t="array" ref="I28">IFERROR(LOOKUP(2,1/((MOD(COLUMN($K28:$AG28),2)=1)*($K28:$AG28&lt;&gt;"-")*($K28:$AG28&lt;&gt;"")),$K28:$AG28),"-")</f>
        <v>Concluída</v>
      </c>
      <c r="J28" s="44"/>
      <c r="K28" s="21"/>
      <c r="L28" s="44"/>
      <c r="M28" s="21"/>
      <c r="N28" s="44"/>
      <c r="O28" s="21"/>
      <c r="P28" s="44"/>
      <c r="Q28" s="21"/>
      <c r="R28" s="44"/>
      <c r="S28" s="21"/>
      <c r="T28" s="44">
        <v>78099.460000000006</v>
      </c>
      <c r="U28" s="21" t="s">
        <v>19</v>
      </c>
      <c r="V28" s="44"/>
      <c r="W28" s="21"/>
      <c r="X28" s="44"/>
      <c r="Y28" s="21"/>
      <c r="Z28" s="44"/>
      <c r="AA28" s="21"/>
      <c r="AB28" s="44"/>
      <c r="AC28" s="21"/>
      <c r="AD28" s="44"/>
      <c r="AE28" s="21"/>
      <c r="AF28" s="44"/>
      <c r="AG28" s="21"/>
    </row>
    <row r="29" spans="2:33" x14ac:dyDescent="0.3">
      <c r="B29" s="29">
        <f t="shared" si="0"/>
        <v>26</v>
      </c>
      <c r="C29" s="31">
        <v>90</v>
      </c>
      <c r="D29" s="12" t="s">
        <v>644</v>
      </c>
      <c r="E29" s="18">
        <v>257593.60000000001</v>
      </c>
      <c r="F29" s="18">
        <f t="shared" si="3"/>
        <v>218794.34</v>
      </c>
      <c r="G29" s="47">
        <f t="shared" si="1"/>
        <v>38799.260000000009</v>
      </c>
      <c r="H29" s="46">
        <f t="shared" si="2"/>
        <v>0.8493780124972049</v>
      </c>
      <c r="I29" s="78" t="str" cm="1">
        <f t="array" ref="I29">IFERROR(LOOKUP(2,1/((MOD(COLUMN($K29:$AG29),2)=1)*($K29:$AG29&lt;&gt;"-")*($K29:$AG29&lt;&gt;"")),$K29:$AG29),"-")</f>
        <v>Concluída</v>
      </c>
      <c r="J29" s="44"/>
      <c r="K29" s="21"/>
      <c r="L29" s="44"/>
      <c r="M29" s="21"/>
      <c r="N29" s="44"/>
      <c r="O29" s="21"/>
      <c r="P29" s="44"/>
      <c r="Q29" s="21"/>
      <c r="R29" s="44"/>
      <c r="S29" s="21"/>
      <c r="T29" s="44">
        <v>218794.34</v>
      </c>
      <c r="U29" s="21" t="s">
        <v>18</v>
      </c>
      <c r="V29" s="44"/>
      <c r="W29" s="21" t="s">
        <v>20</v>
      </c>
      <c r="X29" s="44"/>
      <c r="Y29" s="21" t="s">
        <v>19</v>
      </c>
      <c r="Z29" s="44"/>
      <c r="AA29" s="21"/>
      <c r="AB29" s="44"/>
      <c r="AC29" s="21"/>
      <c r="AD29" s="44"/>
      <c r="AE29" s="21"/>
      <c r="AF29" s="44"/>
      <c r="AG29" s="21"/>
    </row>
    <row r="30" spans="2:33" x14ac:dyDescent="0.3">
      <c r="B30" s="29">
        <f t="shared" si="0"/>
        <v>27</v>
      </c>
      <c r="C30" s="31">
        <v>91</v>
      </c>
      <c r="D30" s="12" t="s">
        <v>644</v>
      </c>
      <c r="E30" s="18">
        <v>116002.57</v>
      </c>
      <c r="F30" s="18">
        <f t="shared" si="3"/>
        <v>116002.55</v>
      </c>
      <c r="G30" s="47">
        <f t="shared" si="1"/>
        <v>2.0000000004074536E-2</v>
      </c>
      <c r="H30" s="46">
        <f t="shared" si="2"/>
        <v>0.99999982759002659</v>
      </c>
      <c r="I30" s="78" t="str" cm="1">
        <f t="array" ref="I30">IFERROR(LOOKUP(2,1/((MOD(COLUMN($K30:$AG30),2)=1)*($K30:$AG30&lt;&gt;"-")*($K30:$AG30&lt;&gt;"")),$K30:$AG30),"-")</f>
        <v>Concluída</v>
      </c>
      <c r="J30" s="44"/>
      <c r="K30" s="21"/>
      <c r="L30" s="44"/>
      <c r="M30" s="21"/>
      <c r="N30" s="44"/>
      <c r="O30" s="21"/>
      <c r="P30" s="44"/>
      <c r="Q30" s="21"/>
      <c r="R30" s="44"/>
      <c r="S30" s="21"/>
      <c r="T30" s="44"/>
      <c r="U30" s="21" t="s">
        <v>20</v>
      </c>
      <c r="V30" s="44"/>
      <c r="W30" s="21" t="s">
        <v>20</v>
      </c>
      <c r="X30" s="44">
        <v>116002.55</v>
      </c>
      <c r="Y30" s="21" t="s">
        <v>19</v>
      </c>
      <c r="Z30" s="44"/>
      <c r="AA30" s="21"/>
      <c r="AB30" s="44"/>
      <c r="AC30" s="21"/>
      <c r="AD30" s="44"/>
      <c r="AE30" s="21"/>
      <c r="AF30" s="44"/>
      <c r="AG30" s="21"/>
    </row>
    <row r="31" spans="2:33" x14ac:dyDescent="0.3">
      <c r="B31" s="29">
        <f t="shared" si="0"/>
        <v>28</v>
      </c>
      <c r="C31" s="31">
        <v>92</v>
      </c>
      <c r="D31" s="12" t="s">
        <v>644</v>
      </c>
      <c r="E31" s="18">
        <v>205865.44</v>
      </c>
      <c r="F31" s="18">
        <f t="shared" si="3"/>
        <v>205034.30000000002</v>
      </c>
      <c r="G31" s="47">
        <f t="shared" si="1"/>
        <v>831.13999999998487</v>
      </c>
      <c r="H31" s="46">
        <f t="shared" si="2"/>
        <v>0.99596270262750275</v>
      </c>
      <c r="I31" s="78" t="str" cm="1">
        <f t="array" ref="I31">IFERROR(LOOKUP(2,1/((MOD(COLUMN($K31:$AG31),2)=1)*($K31:$AG31&lt;&gt;"-")*($K31:$AG31&lt;&gt;"")),$K31:$AG31),"-")</f>
        <v>Concluída</v>
      </c>
      <c r="J31" s="44"/>
      <c r="K31" s="21"/>
      <c r="L31" s="44"/>
      <c r="M31" s="21"/>
      <c r="N31" s="44"/>
      <c r="O31" s="21"/>
      <c r="P31" s="44"/>
      <c r="Q31" s="21"/>
      <c r="R31" s="44"/>
      <c r="S31" s="21"/>
      <c r="T31" s="44">
        <v>185797.07</v>
      </c>
      <c r="U31" s="21" t="s">
        <v>18</v>
      </c>
      <c r="V31" s="44">
        <v>19237.23</v>
      </c>
      <c r="W31" s="21" t="s">
        <v>19</v>
      </c>
      <c r="X31" s="44"/>
      <c r="Y31" s="21"/>
      <c r="Z31" s="44"/>
      <c r="AA31" s="21"/>
      <c r="AB31" s="44"/>
      <c r="AC31" s="21"/>
      <c r="AD31" s="44"/>
      <c r="AE31" s="21"/>
      <c r="AF31" s="44"/>
      <c r="AG31" s="21"/>
    </row>
    <row r="32" spans="2:33" x14ac:dyDescent="0.3">
      <c r="B32" s="29">
        <f t="shared" si="0"/>
        <v>29</v>
      </c>
      <c r="C32" s="31">
        <v>93</v>
      </c>
      <c r="D32" s="12" t="s">
        <v>644</v>
      </c>
      <c r="E32" s="18">
        <v>16594.349999999999</v>
      </c>
      <c r="F32" s="18">
        <f t="shared" si="3"/>
        <v>16594.349999999999</v>
      </c>
      <c r="G32" s="47">
        <f t="shared" si="1"/>
        <v>0</v>
      </c>
      <c r="H32" s="46">
        <f t="shared" si="2"/>
        <v>1</v>
      </c>
      <c r="I32" s="78" t="str" cm="1">
        <f t="array" ref="I32">IFERROR(LOOKUP(2,1/((MOD(COLUMN($K32:$AG32),2)=1)*($K32:$AG32&lt;&gt;"-")*($K32:$AG32&lt;&gt;"")),$K32:$AG32),"-")</f>
        <v>Concluída</v>
      </c>
      <c r="J32" s="44"/>
      <c r="K32" s="21"/>
      <c r="L32" s="44"/>
      <c r="M32" s="21"/>
      <c r="N32" s="44"/>
      <c r="O32" s="21"/>
      <c r="P32" s="44"/>
      <c r="Q32" s="21"/>
      <c r="R32" s="44"/>
      <c r="S32" s="21"/>
      <c r="T32" s="44">
        <v>16594.349999999999</v>
      </c>
      <c r="U32" s="21" t="s">
        <v>19</v>
      </c>
      <c r="V32" s="44"/>
      <c r="W32" s="21"/>
      <c r="X32" s="44"/>
      <c r="Y32" s="21"/>
      <c r="Z32" s="44"/>
      <c r="AA32" s="21"/>
      <c r="AB32" s="44"/>
      <c r="AC32" s="21"/>
      <c r="AD32" s="44"/>
      <c r="AE32" s="21"/>
      <c r="AF32" s="44"/>
      <c r="AG32" s="21"/>
    </row>
    <row r="33" spans="2:33" x14ac:dyDescent="0.3">
      <c r="B33" s="29">
        <f t="shared" si="0"/>
        <v>30</v>
      </c>
      <c r="C33" s="31">
        <v>94</v>
      </c>
      <c r="D33" s="12" t="s">
        <v>644</v>
      </c>
      <c r="E33" s="18">
        <v>150080.57</v>
      </c>
      <c r="F33" s="18">
        <f t="shared" si="3"/>
        <v>142326.91999999998</v>
      </c>
      <c r="G33" s="47">
        <f t="shared" si="1"/>
        <v>7753.6500000000233</v>
      </c>
      <c r="H33" s="46">
        <f t="shared" si="2"/>
        <v>0.94833675005365436</v>
      </c>
      <c r="I33" s="78" t="str" cm="1">
        <f t="array" ref="I33">IFERROR(LOOKUP(2,1/((MOD(COLUMN($K33:$AG33),2)=1)*($K33:$AG33&lt;&gt;"-")*($K33:$AG33&lt;&gt;"")),$K33:$AG33),"-")</f>
        <v>Concluída</v>
      </c>
      <c r="J33" s="44"/>
      <c r="K33" s="21"/>
      <c r="L33" s="44"/>
      <c r="M33" s="21"/>
      <c r="N33" s="44"/>
      <c r="O33" s="21"/>
      <c r="P33" s="44"/>
      <c r="Q33" s="21"/>
      <c r="R33" s="44"/>
      <c r="S33" s="21"/>
      <c r="T33" s="44">
        <v>65338.18</v>
      </c>
      <c r="U33" s="21" t="s">
        <v>18</v>
      </c>
      <c r="V33" s="44">
        <v>53494.25</v>
      </c>
      <c r="W33" s="21" t="s">
        <v>18</v>
      </c>
      <c r="X33" s="44">
        <v>23494.49</v>
      </c>
      <c r="Y33" s="21" t="s">
        <v>19</v>
      </c>
      <c r="Z33" s="44"/>
      <c r="AA33" s="21"/>
      <c r="AB33" s="44"/>
      <c r="AC33" s="21"/>
      <c r="AD33" s="44"/>
      <c r="AE33" s="21"/>
      <c r="AF33" s="44"/>
      <c r="AG33" s="21"/>
    </row>
    <row r="34" spans="2:33" x14ac:dyDescent="0.3">
      <c r="B34" s="29">
        <f t="shared" si="0"/>
        <v>31</v>
      </c>
      <c r="C34" s="31">
        <v>95</v>
      </c>
      <c r="D34" s="12" t="s">
        <v>644</v>
      </c>
      <c r="E34" s="18">
        <v>61911.775000000001</v>
      </c>
      <c r="F34" s="18">
        <f t="shared" si="3"/>
        <v>56391.090000000004</v>
      </c>
      <c r="G34" s="47">
        <f t="shared" si="1"/>
        <v>5520.6849999999977</v>
      </c>
      <c r="H34" s="46">
        <f t="shared" si="2"/>
        <v>0.91082980580026984</v>
      </c>
      <c r="I34" s="78" t="str" cm="1">
        <f t="array" ref="I34">IFERROR(LOOKUP(2,1/((MOD(COLUMN($K34:$AG34),2)=1)*($K34:$AG34&lt;&gt;"-")*($K34:$AG34&lt;&gt;"")),$K34:$AG34),"-")</f>
        <v>Concluída</v>
      </c>
      <c r="J34" s="44"/>
      <c r="K34" s="21"/>
      <c r="L34" s="44"/>
      <c r="M34" s="21"/>
      <c r="N34" s="44"/>
      <c r="O34" s="21"/>
      <c r="P34" s="44"/>
      <c r="Q34" s="21"/>
      <c r="R34" s="44"/>
      <c r="S34" s="21"/>
      <c r="T34" s="44"/>
      <c r="U34" s="21" t="s">
        <v>20</v>
      </c>
      <c r="V34" s="44">
        <v>11995.83</v>
      </c>
      <c r="W34" s="21" t="s">
        <v>18</v>
      </c>
      <c r="X34" s="44">
        <v>44395.26</v>
      </c>
      <c r="Y34" s="21" t="s">
        <v>19</v>
      </c>
      <c r="Z34" s="44"/>
      <c r="AA34" s="21"/>
      <c r="AB34" s="44"/>
      <c r="AC34" s="21"/>
      <c r="AD34" s="44"/>
      <c r="AE34" s="21"/>
      <c r="AF34" s="44"/>
      <c r="AG34" s="21"/>
    </row>
    <row r="35" spans="2:33" x14ac:dyDescent="0.3">
      <c r="B35" s="29">
        <f t="shared" si="0"/>
        <v>32</v>
      </c>
      <c r="C35" s="31">
        <v>96</v>
      </c>
      <c r="D35" s="12" t="s">
        <v>645</v>
      </c>
      <c r="E35" s="18">
        <v>79783.75</v>
      </c>
      <c r="F35" s="18">
        <f t="shared" si="3"/>
        <v>64745.67</v>
      </c>
      <c r="G35" s="47">
        <f t="shared" si="1"/>
        <v>15038.080000000002</v>
      </c>
      <c r="H35" s="46">
        <f t="shared" si="2"/>
        <v>0.8115145001331725</v>
      </c>
      <c r="I35" s="78" t="str" cm="1">
        <f t="array" ref="I35">IFERROR(LOOKUP(2,1/((MOD(COLUMN($K35:$AG35),2)=1)*($K35:$AG35&lt;&gt;"-")*($K35:$AG35&lt;&gt;"")),$K35:$AG35),"-")</f>
        <v>Concluída</v>
      </c>
      <c r="J35" s="44"/>
      <c r="K35" s="21"/>
      <c r="L35" s="44"/>
      <c r="M35" s="21"/>
      <c r="N35" s="44"/>
      <c r="O35" s="21"/>
      <c r="P35" s="44"/>
      <c r="Q35" s="21"/>
      <c r="R35" s="44"/>
      <c r="S35" s="21"/>
      <c r="T35" s="44"/>
      <c r="U35" s="21"/>
      <c r="V35" s="44">
        <v>19975.509999999998</v>
      </c>
      <c r="W35" s="21" t="s">
        <v>18</v>
      </c>
      <c r="X35" s="44">
        <v>44770.16</v>
      </c>
      <c r="Y35" s="21" t="s">
        <v>19</v>
      </c>
      <c r="Z35" s="44"/>
      <c r="AA35" s="21"/>
      <c r="AB35" s="44"/>
      <c r="AC35" s="21"/>
      <c r="AD35" s="44"/>
      <c r="AE35" s="21"/>
      <c r="AF35" s="44"/>
      <c r="AG35" s="21"/>
    </row>
    <row r="36" spans="2:33" x14ac:dyDescent="0.3">
      <c r="B36" s="29">
        <f t="shared" si="0"/>
        <v>33</v>
      </c>
      <c r="C36" s="31">
        <v>97</v>
      </c>
      <c r="D36" s="12" t="s">
        <v>644</v>
      </c>
      <c r="E36" s="18">
        <v>674926.63</v>
      </c>
      <c r="F36" s="18">
        <f t="shared" si="3"/>
        <v>674023.65</v>
      </c>
      <c r="G36" s="47">
        <f t="shared" si="1"/>
        <v>902.97999999998137</v>
      </c>
      <c r="H36" s="46">
        <f t="shared" si="2"/>
        <v>0.99866210642777575</v>
      </c>
      <c r="I36" s="78" t="str" cm="1">
        <f t="array" ref="I36">IFERROR(LOOKUP(2,1/((MOD(COLUMN($K36:$AG36),2)=1)*($K36:$AG36&lt;&gt;"-")*($K36:$AG36&lt;&gt;"")),$K36:$AG36),"-")</f>
        <v>Concluída</v>
      </c>
      <c r="J36" s="44"/>
      <c r="K36" s="21"/>
      <c r="L36" s="44"/>
      <c r="M36" s="21"/>
      <c r="N36" s="44"/>
      <c r="O36" s="21"/>
      <c r="P36" s="44"/>
      <c r="Q36" s="21"/>
      <c r="R36" s="44"/>
      <c r="S36" s="21"/>
      <c r="T36" s="44">
        <v>674023.65</v>
      </c>
      <c r="U36" s="21" t="s">
        <v>19</v>
      </c>
      <c r="V36" s="44"/>
      <c r="W36" s="21"/>
      <c r="X36" s="44"/>
      <c r="Y36" s="21"/>
      <c r="Z36" s="44"/>
      <c r="AA36" s="21"/>
      <c r="AB36" s="44"/>
      <c r="AC36" s="21"/>
      <c r="AD36" s="44"/>
      <c r="AE36" s="21"/>
      <c r="AF36" s="44"/>
      <c r="AG36" s="21"/>
    </row>
    <row r="37" spans="2:33" x14ac:dyDescent="0.3">
      <c r="B37" s="29">
        <f t="shared" si="0"/>
        <v>34</v>
      </c>
      <c r="C37" s="31">
        <v>98</v>
      </c>
      <c r="D37" s="12" t="s">
        <v>625</v>
      </c>
      <c r="E37" s="18">
        <v>26754.1</v>
      </c>
      <c r="F37" s="18">
        <f t="shared" si="3"/>
        <v>26754.1</v>
      </c>
      <c r="G37" s="47">
        <f t="shared" si="1"/>
        <v>0</v>
      </c>
      <c r="H37" s="46">
        <f t="shared" si="2"/>
        <v>1</v>
      </c>
      <c r="I37" s="78" t="str" cm="1">
        <f t="array" ref="I37">IFERROR(LOOKUP(2,1/((MOD(COLUMN($K37:$AG37),2)=1)*($K37:$AG37&lt;&gt;"-")*($K37:$AG37&lt;&gt;"")),$K37:$AG37),"-")</f>
        <v>Concluída</v>
      </c>
      <c r="J37" s="44"/>
      <c r="K37" s="21"/>
      <c r="L37" s="44"/>
      <c r="M37" s="21"/>
      <c r="N37" s="44"/>
      <c r="O37" s="21"/>
      <c r="P37" s="44"/>
      <c r="Q37" s="21"/>
      <c r="R37" s="44"/>
      <c r="S37" s="21"/>
      <c r="T37" s="44"/>
      <c r="U37" s="21"/>
      <c r="V37" s="44"/>
      <c r="W37" s="21"/>
      <c r="X37" s="44">
        <v>26754.1</v>
      </c>
      <c r="Y37" s="21" t="s">
        <v>19</v>
      </c>
      <c r="Z37" s="44"/>
      <c r="AA37" s="21"/>
      <c r="AB37" s="44"/>
      <c r="AC37" s="21"/>
      <c r="AD37" s="44"/>
      <c r="AE37" s="21"/>
      <c r="AF37" s="44"/>
      <c r="AG37" s="21"/>
    </row>
    <row r="38" spans="2:33" x14ac:dyDescent="0.3">
      <c r="B38" s="29">
        <f t="shared" si="0"/>
        <v>35</v>
      </c>
      <c r="C38" s="31">
        <v>99</v>
      </c>
      <c r="D38" s="12" t="s">
        <v>626</v>
      </c>
      <c r="E38" s="18">
        <v>69999.89</v>
      </c>
      <c r="F38" s="18">
        <f t="shared" si="3"/>
        <v>68354.64</v>
      </c>
      <c r="G38" s="47">
        <f t="shared" si="1"/>
        <v>1645.25</v>
      </c>
      <c r="H38" s="46">
        <f t="shared" si="2"/>
        <v>0.97649639163718682</v>
      </c>
      <c r="I38" s="78" t="str" cm="1">
        <f t="array" ref="I38">IFERROR(LOOKUP(2,1/((MOD(COLUMN($K38:$AG38),2)=1)*($K38:$AG38&lt;&gt;"-")*($K38:$AG38&lt;&gt;"")),$K38:$AG38),"-")</f>
        <v>Em andamento</v>
      </c>
      <c r="J38" s="44"/>
      <c r="K38" s="21"/>
      <c r="L38" s="44"/>
      <c r="M38" s="21"/>
      <c r="N38" s="44"/>
      <c r="O38" s="21"/>
      <c r="P38" s="44"/>
      <c r="Q38" s="21"/>
      <c r="R38" s="44"/>
      <c r="S38" s="21"/>
      <c r="T38" s="44"/>
      <c r="U38" s="21"/>
      <c r="V38" s="44">
        <v>47516.41</v>
      </c>
      <c r="W38" s="21" t="s">
        <v>18</v>
      </c>
      <c r="X38" s="44">
        <v>20838.23</v>
      </c>
      <c r="Y38" s="21" t="s">
        <v>18</v>
      </c>
      <c r="Z38" s="44"/>
      <c r="AA38" s="21"/>
      <c r="AB38" s="44"/>
      <c r="AC38" s="21"/>
      <c r="AD38" s="44"/>
      <c r="AE38" s="21"/>
      <c r="AF38" s="44"/>
      <c r="AG38" s="21"/>
    </row>
    <row r="39" spans="2:33" x14ac:dyDescent="0.3">
      <c r="B39" s="29">
        <f t="shared" si="0"/>
        <v>36</v>
      </c>
      <c r="C39" s="31">
        <v>100</v>
      </c>
      <c r="D39" s="12" t="s">
        <v>645</v>
      </c>
      <c r="E39" s="18">
        <v>12558.11</v>
      </c>
      <c r="F39" s="18">
        <f t="shared" si="3"/>
        <v>12558.11</v>
      </c>
      <c r="G39" s="47">
        <f t="shared" si="1"/>
        <v>0</v>
      </c>
      <c r="H39" s="46">
        <f t="shared" si="2"/>
        <v>1</v>
      </c>
      <c r="I39" s="78" t="str" cm="1">
        <f t="array" ref="I39">IFERROR(LOOKUP(2,1/((MOD(COLUMN($K39:$AG39),2)=1)*($K39:$AG39&lt;&gt;"-")*($K39:$AG39&lt;&gt;"")),$K39:$AG39),"-")</f>
        <v>Concluída</v>
      </c>
      <c r="J39" s="44"/>
      <c r="K39" s="21"/>
      <c r="L39" s="44"/>
      <c r="M39" s="21"/>
      <c r="N39" s="44"/>
      <c r="O39" s="21"/>
      <c r="P39" s="44"/>
      <c r="Q39" s="21"/>
      <c r="R39" s="44"/>
      <c r="S39" s="21"/>
      <c r="T39" s="44"/>
      <c r="U39" s="21"/>
      <c r="V39" s="44">
        <v>12558.11</v>
      </c>
      <c r="W39" s="21" t="s">
        <v>19</v>
      </c>
      <c r="X39" s="44"/>
      <c r="Y39" s="21"/>
      <c r="Z39" s="44"/>
      <c r="AA39" s="21"/>
      <c r="AB39" s="44"/>
      <c r="AC39" s="21"/>
      <c r="AD39" s="44"/>
      <c r="AE39" s="21"/>
      <c r="AF39" s="44"/>
      <c r="AG39" s="21"/>
    </row>
    <row r="40" spans="2:33" x14ac:dyDescent="0.3">
      <c r="B40" s="29">
        <f t="shared" si="0"/>
        <v>37</v>
      </c>
      <c r="C40" s="31">
        <v>101</v>
      </c>
      <c r="D40" s="12" t="s">
        <v>626</v>
      </c>
      <c r="E40" s="18">
        <v>84263.47</v>
      </c>
      <c r="F40" s="18">
        <f t="shared" si="3"/>
        <v>68818.760000000009</v>
      </c>
      <c r="G40" s="47">
        <f t="shared" si="1"/>
        <v>15444.709999999992</v>
      </c>
      <c r="H40" s="46">
        <f t="shared" si="2"/>
        <v>0.81670930475566705</v>
      </c>
      <c r="I40" s="78" t="str" cm="1">
        <f t="array" ref="I40">IFERROR(LOOKUP(2,1/((MOD(COLUMN($K40:$AG40),2)=1)*($K40:$AG40&lt;&gt;"-")*($K40:$AG40&lt;&gt;"")),$K40:$AG40),"-")</f>
        <v>Concluída</v>
      </c>
      <c r="J40" s="44"/>
      <c r="K40" s="21"/>
      <c r="L40" s="44"/>
      <c r="M40" s="21"/>
      <c r="N40" s="44"/>
      <c r="O40" s="21"/>
      <c r="P40" s="44"/>
      <c r="Q40" s="21"/>
      <c r="R40" s="44"/>
      <c r="S40" s="21"/>
      <c r="T40" s="44"/>
      <c r="U40" s="21"/>
      <c r="V40" s="44">
        <v>33435.82</v>
      </c>
      <c r="W40" s="21" t="s">
        <v>18</v>
      </c>
      <c r="X40" s="44">
        <v>35382.94</v>
      </c>
      <c r="Y40" s="21" t="s">
        <v>19</v>
      </c>
      <c r="Z40" s="44"/>
      <c r="AA40" s="21"/>
      <c r="AB40" s="44"/>
      <c r="AC40" s="21"/>
      <c r="AD40" s="44"/>
      <c r="AE40" s="21"/>
      <c r="AF40" s="44"/>
      <c r="AG40" s="21"/>
    </row>
    <row r="41" spans="2:33" x14ac:dyDescent="0.3">
      <c r="B41" s="29">
        <f t="shared" si="0"/>
        <v>38</v>
      </c>
      <c r="C41" s="31">
        <v>102</v>
      </c>
      <c r="D41" s="12" t="s">
        <v>626</v>
      </c>
      <c r="E41" s="18">
        <v>1847366.52</v>
      </c>
      <c r="F41" s="18">
        <f t="shared" si="3"/>
        <v>1846599.89</v>
      </c>
      <c r="G41" s="47">
        <f t="shared" si="1"/>
        <v>766.63000000012107</v>
      </c>
      <c r="H41" s="46">
        <f t="shared" si="2"/>
        <v>0.99958501467267036</v>
      </c>
      <c r="I41" s="78" t="str" cm="1">
        <f t="array" ref="I41">IFERROR(LOOKUP(2,1/((MOD(COLUMN($K41:$AG41),2)=1)*($K41:$AG41&lt;&gt;"-")*($K41:$AG41&lt;&gt;"")),$K41:$AG41),"-")</f>
        <v>Concluída</v>
      </c>
      <c r="J41" s="44"/>
      <c r="K41" s="21"/>
      <c r="L41" s="44"/>
      <c r="M41" s="21"/>
      <c r="N41" s="44"/>
      <c r="O41" s="21"/>
      <c r="P41" s="44"/>
      <c r="Q41" s="21"/>
      <c r="R41" s="44"/>
      <c r="S41" s="21"/>
      <c r="T41" s="44"/>
      <c r="U41" s="21"/>
      <c r="V41" s="44">
        <v>1846599.89</v>
      </c>
      <c r="W41" s="21" t="s">
        <v>19</v>
      </c>
      <c r="X41" s="44"/>
      <c r="Y41" s="21"/>
      <c r="Z41" s="44"/>
      <c r="AA41" s="21"/>
      <c r="AB41" s="44"/>
      <c r="AC41" s="21"/>
      <c r="AD41" s="44"/>
      <c r="AE41" s="21"/>
      <c r="AF41" s="44"/>
      <c r="AG41" s="21"/>
    </row>
    <row r="42" spans="2:33" x14ac:dyDescent="0.3">
      <c r="B42" s="29">
        <f t="shared" si="0"/>
        <v>39</v>
      </c>
      <c r="C42" s="31">
        <v>103</v>
      </c>
      <c r="D42" s="12" t="s">
        <v>626</v>
      </c>
      <c r="E42" s="18">
        <v>168629.48</v>
      </c>
      <c r="F42" s="18">
        <f t="shared" si="3"/>
        <v>138068.39000000001</v>
      </c>
      <c r="G42" s="47">
        <f t="shared" si="1"/>
        <v>30561.089999999997</v>
      </c>
      <c r="H42" s="46">
        <f t="shared" si="2"/>
        <v>0.81876780975663332</v>
      </c>
      <c r="I42" s="78" t="str" cm="1">
        <f t="array" ref="I42">IFERROR(LOOKUP(2,1/((MOD(COLUMN($K42:$AG42),2)=1)*($K42:$AG42&lt;&gt;"-")*($K42:$AG42&lt;&gt;"")),$K42:$AG42),"-")</f>
        <v>Concluída</v>
      </c>
      <c r="J42" s="44"/>
      <c r="K42" s="21"/>
      <c r="L42" s="44"/>
      <c r="M42" s="21"/>
      <c r="N42" s="44"/>
      <c r="O42" s="21"/>
      <c r="P42" s="44"/>
      <c r="Q42" s="21"/>
      <c r="R42" s="44"/>
      <c r="S42" s="21"/>
      <c r="T42" s="44"/>
      <c r="U42" s="21"/>
      <c r="V42" s="44">
        <v>114438.05</v>
      </c>
      <c r="W42" s="21" t="s">
        <v>18</v>
      </c>
      <c r="X42" s="44">
        <v>23630.34</v>
      </c>
      <c r="Y42" s="21" t="s">
        <v>19</v>
      </c>
      <c r="Z42" s="44"/>
      <c r="AA42" s="21"/>
      <c r="AB42" s="44"/>
      <c r="AC42" s="21"/>
      <c r="AD42" s="44"/>
      <c r="AE42" s="21"/>
      <c r="AF42" s="44"/>
      <c r="AG42" s="21"/>
    </row>
    <row r="43" spans="2:33" x14ac:dyDescent="0.3">
      <c r="B43" s="29">
        <f t="shared" si="0"/>
        <v>40</v>
      </c>
      <c r="C43" s="31">
        <v>104</v>
      </c>
      <c r="D43" s="12" t="s">
        <v>624</v>
      </c>
      <c r="E43" s="18">
        <v>16764.61</v>
      </c>
      <c r="F43" s="18">
        <f t="shared" si="3"/>
        <v>16763.349999999999</v>
      </c>
      <c r="G43" s="47">
        <f t="shared" si="1"/>
        <v>1.2600000000020373</v>
      </c>
      <c r="H43" s="46">
        <f t="shared" si="2"/>
        <v>0.99992484167541018</v>
      </c>
      <c r="I43" s="78" t="str" cm="1">
        <f t="array" ref="I43">IFERROR(LOOKUP(2,1/((MOD(COLUMN($K43:$AG43),2)=1)*($K43:$AG43&lt;&gt;"-")*($K43:$AG43&lt;&gt;"")),$K43:$AG43),"-")</f>
        <v>Concluída</v>
      </c>
      <c r="J43" s="44"/>
      <c r="K43" s="21"/>
      <c r="L43" s="44"/>
      <c r="M43" s="21"/>
      <c r="N43" s="44"/>
      <c r="O43" s="21"/>
      <c r="P43" s="44"/>
      <c r="Q43" s="21"/>
      <c r="R43" s="44"/>
      <c r="S43" s="21"/>
      <c r="T43" s="44"/>
      <c r="U43" s="21"/>
      <c r="V43" s="44"/>
      <c r="W43" s="21"/>
      <c r="X43" s="44">
        <v>16763.349999999999</v>
      </c>
      <c r="Y43" s="21" t="s">
        <v>19</v>
      </c>
      <c r="Z43" s="44"/>
      <c r="AA43" s="21"/>
      <c r="AB43" s="44"/>
      <c r="AC43" s="21"/>
      <c r="AD43" s="44"/>
      <c r="AE43" s="21"/>
      <c r="AF43" s="44"/>
      <c r="AG43" s="21"/>
    </row>
    <row r="44" spans="2:33" x14ac:dyDescent="0.3">
      <c r="B44" s="29">
        <f t="shared" si="0"/>
        <v>41</v>
      </c>
      <c r="C44" s="31">
        <v>105</v>
      </c>
      <c r="D44" s="12" t="s">
        <v>624</v>
      </c>
      <c r="E44" s="18">
        <v>29400.94</v>
      </c>
      <c r="F44" s="18">
        <f t="shared" si="3"/>
        <v>29400.47</v>
      </c>
      <c r="G44" s="47">
        <f t="shared" si="1"/>
        <v>0.46999999999752617</v>
      </c>
      <c r="H44" s="46">
        <f t="shared" si="2"/>
        <v>0.99998401411655558</v>
      </c>
      <c r="I44" s="78" t="str" cm="1">
        <f t="array" ref="I44">IFERROR(LOOKUP(2,1/((MOD(COLUMN($K44:$AG44),2)=1)*($K44:$AG44&lt;&gt;"-")*($K44:$AG44&lt;&gt;"")),$K44:$AG44),"-")</f>
        <v>Concluída</v>
      </c>
      <c r="J44" s="44"/>
      <c r="K44" s="21"/>
      <c r="L44" s="44"/>
      <c r="M44" s="21"/>
      <c r="N44" s="44"/>
      <c r="O44" s="21"/>
      <c r="P44" s="44"/>
      <c r="Q44" s="21"/>
      <c r="R44" s="44"/>
      <c r="S44" s="21"/>
      <c r="T44" s="44"/>
      <c r="U44" s="21"/>
      <c r="V44" s="44"/>
      <c r="W44" s="21"/>
      <c r="X44" s="44">
        <v>29400.47</v>
      </c>
      <c r="Y44" s="21" t="s">
        <v>19</v>
      </c>
      <c r="Z44" s="44"/>
      <c r="AA44" s="21"/>
      <c r="AB44" s="44"/>
      <c r="AC44" s="21"/>
      <c r="AD44" s="44"/>
      <c r="AE44" s="21"/>
      <c r="AF44" s="44"/>
      <c r="AG44" s="21"/>
    </row>
    <row r="45" spans="2:33" x14ac:dyDescent="0.3">
      <c r="B45" s="29">
        <f t="shared" si="0"/>
        <v>42</v>
      </c>
      <c r="C45" s="31">
        <v>106</v>
      </c>
      <c r="D45" s="12" t="s">
        <v>624</v>
      </c>
      <c r="E45" s="18">
        <v>22005.58</v>
      </c>
      <c r="F45" s="18">
        <f t="shared" si="3"/>
        <v>22005.58</v>
      </c>
      <c r="G45" s="47">
        <f t="shared" si="1"/>
        <v>0</v>
      </c>
      <c r="H45" s="46">
        <f t="shared" si="2"/>
        <v>1</v>
      </c>
      <c r="I45" s="78" t="str" cm="1">
        <f t="array" ref="I45">IFERROR(LOOKUP(2,1/((MOD(COLUMN($K45:$AG45),2)=1)*($K45:$AG45&lt;&gt;"-")*($K45:$AG45&lt;&gt;"")),$K45:$AG45),"-")</f>
        <v>Concluída</v>
      </c>
      <c r="J45" s="44"/>
      <c r="K45" s="21"/>
      <c r="L45" s="44"/>
      <c r="M45" s="21"/>
      <c r="N45" s="44"/>
      <c r="O45" s="21"/>
      <c r="P45" s="44"/>
      <c r="Q45" s="21"/>
      <c r="R45" s="44"/>
      <c r="S45" s="21"/>
      <c r="T45" s="44"/>
      <c r="U45" s="21"/>
      <c r="V45" s="44"/>
      <c r="W45" s="21"/>
      <c r="X45" s="44">
        <v>22005.58</v>
      </c>
      <c r="Y45" s="21" t="s">
        <v>19</v>
      </c>
      <c r="Z45" s="44"/>
      <c r="AA45" s="21"/>
      <c r="AB45" s="44"/>
      <c r="AC45" s="21"/>
      <c r="AD45" s="44"/>
      <c r="AE45" s="21"/>
      <c r="AF45" s="44"/>
      <c r="AG45" s="21"/>
    </row>
    <row r="46" spans="2:33" x14ac:dyDescent="0.3">
      <c r="B46" s="29">
        <f t="shared" si="0"/>
        <v>43</v>
      </c>
      <c r="C46" s="31">
        <v>107</v>
      </c>
      <c r="D46" s="12" t="s">
        <v>624</v>
      </c>
      <c r="E46" s="18">
        <v>108635.52</v>
      </c>
      <c r="F46" s="18">
        <f t="shared" si="3"/>
        <v>108635.52</v>
      </c>
      <c r="G46" s="47">
        <f t="shared" si="1"/>
        <v>0</v>
      </c>
      <c r="H46" s="46">
        <f t="shared" si="2"/>
        <v>1</v>
      </c>
      <c r="I46" s="78" t="str" cm="1">
        <f t="array" ref="I46">IFERROR(LOOKUP(2,1/((MOD(COLUMN($K46:$AG46),2)=1)*($K46:$AG46&lt;&gt;"-")*($K46:$AG46&lt;&gt;"")),$K46:$AG46),"-")</f>
        <v>Concluída</v>
      </c>
      <c r="J46" s="44"/>
      <c r="K46" s="21"/>
      <c r="L46" s="44"/>
      <c r="M46" s="21"/>
      <c r="N46" s="44"/>
      <c r="O46" s="21"/>
      <c r="P46" s="44"/>
      <c r="Q46" s="21"/>
      <c r="R46" s="44"/>
      <c r="S46" s="21"/>
      <c r="T46" s="44"/>
      <c r="U46" s="21"/>
      <c r="V46" s="44"/>
      <c r="W46" s="21"/>
      <c r="X46" s="44">
        <v>108635.52</v>
      </c>
      <c r="Y46" s="21" t="s">
        <v>19</v>
      </c>
      <c r="Z46" s="44"/>
      <c r="AA46" s="21"/>
      <c r="AB46" s="44"/>
      <c r="AC46" s="21"/>
      <c r="AD46" s="44"/>
      <c r="AE46" s="21"/>
      <c r="AF46" s="44"/>
      <c r="AG46" s="21"/>
    </row>
    <row r="47" spans="2:33" x14ac:dyDescent="0.3">
      <c r="B47" s="29">
        <f t="shared" si="0"/>
        <v>44</v>
      </c>
      <c r="C47" s="31">
        <v>108</v>
      </c>
      <c r="D47" s="12" t="s">
        <v>624</v>
      </c>
      <c r="E47" s="18">
        <v>32452.15</v>
      </c>
      <c r="F47" s="18">
        <f t="shared" si="3"/>
        <v>32452.15</v>
      </c>
      <c r="G47" s="47">
        <f t="shared" si="1"/>
        <v>0</v>
      </c>
      <c r="H47" s="46">
        <f t="shared" si="2"/>
        <v>1</v>
      </c>
      <c r="I47" s="78" t="str" cm="1">
        <f t="array" ref="I47">IFERROR(LOOKUP(2,1/((MOD(COLUMN($K47:$AG47),2)=1)*($K47:$AG47&lt;&gt;"-")*($K47:$AG47&lt;&gt;"")),$K47:$AG47),"-")</f>
        <v>Concluída</v>
      </c>
      <c r="J47" s="44"/>
      <c r="K47" s="21"/>
      <c r="L47" s="44"/>
      <c r="M47" s="21"/>
      <c r="N47" s="44"/>
      <c r="O47" s="21"/>
      <c r="P47" s="44"/>
      <c r="Q47" s="21"/>
      <c r="R47" s="44"/>
      <c r="S47" s="21"/>
      <c r="T47" s="44"/>
      <c r="U47" s="21"/>
      <c r="V47" s="44"/>
      <c r="W47" s="21"/>
      <c r="X47" s="44">
        <v>32452.15</v>
      </c>
      <c r="Y47" s="21" t="s">
        <v>19</v>
      </c>
      <c r="Z47" s="44"/>
      <c r="AA47" s="21"/>
      <c r="AB47" s="44"/>
      <c r="AC47" s="21"/>
      <c r="AD47" s="44"/>
      <c r="AE47" s="21"/>
      <c r="AF47" s="44"/>
      <c r="AG47" s="21"/>
    </row>
    <row r="48" spans="2:33" x14ac:dyDescent="0.3">
      <c r="B48" s="29">
        <f t="shared" si="0"/>
        <v>45</v>
      </c>
      <c r="C48" s="31">
        <v>109</v>
      </c>
      <c r="D48" s="12" t="s">
        <v>625</v>
      </c>
      <c r="E48" s="18">
        <v>29068.799999999999</v>
      </c>
      <c r="F48" s="18">
        <f t="shared" si="3"/>
        <v>29068.639999999999</v>
      </c>
      <c r="G48" s="47">
        <f t="shared" si="1"/>
        <v>0.15999999999985448</v>
      </c>
      <c r="H48" s="46">
        <f t="shared" si="2"/>
        <v>0.99999449581682076</v>
      </c>
      <c r="I48" s="78" t="str" cm="1">
        <f t="array" ref="I48">IFERROR(LOOKUP(2,1/((MOD(COLUMN($K48:$AG48),2)=1)*($K48:$AG48&lt;&gt;"-")*($K48:$AG48&lt;&gt;"")),$K48:$AG48),"-")</f>
        <v>Concluída</v>
      </c>
      <c r="J48" s="44"/>
      <c r="K48" s="21"/>
      <c r="L48" s="44"/>
      <c r="M48" s="21"/>
      <c r="N48" s="44"/>
      <c r="O48" s="21"/>
      <c r="P48" s="44"/>
      <c r="Q48" s="21"/>
      <c r="R48" s="44"/>
      <c r="S48" s="21"/>
      <c r="T48" s="44"/>
      <c r="U48" s="21"/>
      <c r="V48" s="44"/>
      <c r="W48" s="21"/>
      <c r="X48" s="44">
        <v>29068.639999999999</v>
      </c>
      <c r="Y48" s="21" t="s">
        <v>19</v>
      </c>
      <c r="Z48" s="44"/>
      <c r="AA48" s="21"/>
      <c r="AB48" s="44"/>
      <c r="AC48" s="21"/>
      <c r="AD48" s="44"/>
      <c r="AE48" s="21"/>
      <c r="AF48" s="44"/>
      <c r="AG48" s="21"/>
    </row>
    <row r="49" spans="2:33" x14ac:dyDescent="0.3">
      <c r="B49" s="29">
        <f t="shared" si="0"/>
        <v>46</v>
      </c>
      <c r="C49" s="31">
        <v>110</v>
      </c>
      <c r="D49" s="12" t="s">
        <v>646</v>
      </c>
      <c r="E49" s="18">
        <v>44770.43</v>
      </c>
      <c r="F49" s="18">
        <f t="shared" si="3"/>
        <v>0</v>
      </c>
      <c r="G49" s="47">
        <f t="shared" si="1"/>
        <v>44770.43</v>
      </c>
      <c r="H49" s="46">
        <f t="shared" si="2"/>
        <v>0</v>
      </c>
      <c r="I49" s="78" t="str" cm="1">
        <f t="array" ref="I49">IFERROR(LOOKUP(2,1/((MOD(COLUMN($K49:$AG49),2)=1)*($K49:$AG49&lt;&gt;"-")*($K49:$AG49&lt;&gt;"")),$K49:$AG49),"-")</f>
        <v>Em elaboração</v>
      </c>
      <c r="J49" s="44"/>
      <c r="K49" s="21"/>
      <c r="L49" s="44"/>
      <c r="M49" s="21"/>
      <c r="N49" s="44"/>
      <c r="O49" s="21"/>
      <c r="P49" s="44"/>
      <c r="Q49" s="21"/>
      <c r="R49" s="44"/>
      <c r="S49" s="21"/>
      <c r="T49" s="44"/>
      <c r="U49" s="21"/>
      <c r="V49" s="44"/>
      <c r="W49" s="21"/>
      <c r="X49" s="44"/>
      <c r="Y49" s="21"/>
      <c r="Z49" s="44"/>
      <c r="AA49" s="21"/>
      <c r="AB49" s="44"/>
      <c r="AC49" s="21" t="s">
        <v>38</v>
      </c>
      <c r="AD49" s="44"/>
      <c r="AE49" s="21"/>
      <c r="AF49" s="44"/>
      <c r="AG49" s="21"/>
    </row>
    <row r="50" spans="2:33" x14ac:dyDescent="0.3">
      <c r="B50" s="29">
        <f>ROW()-ROW($B$3)</f>
        <v>47</v>
      </c>
      <c r="C50" s="31">
        <v>111</v>
      </c>
      <c r="D50" s="12" t="s">
        <v>627</v>
      </c>
      <c r="E50" s="18">
        <v>13059.73</v>
      </c>
      <c r="F50" s="18">
        <f t="shared" si="3"/>
        <v>0</v>
      </c>
      <c r="G50" s="47">
        <f t="shared" si="1"/>
        <v>13059.73</v>
      </c>
      <c r="H50" s="46">
        <f t="shared" si="2"/>
        <v>0</v>
      </c>
      <c r="I50" s="78" t="str" cm="1">
        <f t="array" ref="I50">IFERROR(LOOKUP(2,1/((MOD(COLUMN($K50:$AG50),2)=1)*($K50:$AG50&lt;&gt;"-")*($K50:$AG50&lt;&gt;"")),$K50:$AG50),"-")</f>
        <v>Em elaboração</v>
      </c>
      <c r="J50" s="44"/>
      <c r="K50" s="21"/>
      <c r="L50" s="44"/>
      <c r="M50" s="21"/>
      <c r="N50" s="44"/>
      <c r="O50" s="21"/>
      <c r="P50" s="44"/>
      <c r="Q50" s="21"/>
      <c r="R50" s="44"/>
      <c r="S50" s="21"/>
      <c r="T50" s="44"/>
      <c r="U50" s="21"/>
      <c r="V50" s="44"/>
      <c r="W50" s="21"/>
      <c r="X50" s="44"/>
      <c r="Y50" s="21"/>
      <c r="Z50" s="44"/>
      <c r="AA50" s="21" t="s">
        <v>38</v>
      </c>
      <c r="AB50" s="44"/>
      <c r="AC50" s="21"/>
      <c r="AD50" s="44"/>
      <c r="AE50" s="21"/>
      <c r="AF50" s="44"/>
      <c r="AG50" s="21"/>
    </row>
    <row r="51" spans="2:33" x14ac:dyDescent="0.3">
      <c r="B51" s="29">
        <f>ROW()-ROW($B$3)</f>
        <v>48</v>
      </c>
      <c r="C51" s="31">
        <v>112</v>
      </c>
      <c r="D51" s="12" t="s">
        <v>627</v>
      </c>
      <c r="E51" s="18">
        <v>7335.76</v>
      </c>
      <c r="F51" s="18">
        <f t="shared" si="3"/>
        <v>0</v>
      </c>
      <c r="G51" s="47">
        <f t="shared" si="1"/>
        <v>7335.76</v>
      </c>
      <c r="H51" s="46">
        <f t="shared" si="2"/>
        <v>0</v>
      </c>
      <c r="I51" s="78" t="str" cm="1">
        <f t="array" ref="I51">IFERROR(LOOKUP(2,1/((MOD(COLUMN($K51:$AG51),2)=1)*($K51:$AG51&lt;&gt;"-")*($K51:$AG51&lt;&gt;"")),$K51:$AG51),"-")</f>
        <v>Em elaboração</v>
      </c>
      <c r="J51" s="44"/>
      <c r="K51" s="21"/>
      <c r="L51" s="44"/>
      <c r="M51" s="21"/>
      <c r="N51" s="44"/>
      <c r="O51" s="21"/>
      <c r="P51" s="44"/>
      <c r="Q51" s="21"/>
      <c r="R51" s="44"/>
      <c r="S51" s="21"/>
      <c r="T51" s="44"/>
      <c r="U51" s="21"/>
      <c r="V51" s="44"/>
      <c r="W51" s="21"/>
      <c r="X51" s="44"/>
      <c r="Y51" s="21"/>
      <c r="Z51" s="44"/>
      <c r="AA51" s="21" t="s">
        <v>38</v>
      </c>
      <c r="AB51" s="44"/>
      <c r="AC51" s="21"/>
      <c r="AD51" s="44"/>
      <c r="AE51" s="21"/>
      <c r="AF51" s="44"/>
      <c r="AG51" s="21"/>
    </row>
    <row r="52" spans="2:33" x14ac:dyDescent="0.3">
      <c r="B52" s="29">
        <f>ROW()-ROW($B$3)</f>
        <v>49</v>
      </c>
      <c r="C52" s="31">
        <v>113</v>
      </c>
      <c r="D52" s="12" t="s">
        <v>627</v>
      </c>
      <c r="E52" s="18">
        <v>15187.11</v>
      </c>
      <c r="F52" s="18">
        <f t="shared" si="3"/>
        <v>0</v>
      </c>
      <c r="G52" s="47">
        <f t="shared" si="1"/>
        <v>15187.11</v>
      </c>
      <c r="H52" s="46">
        <f t="shared" si="2"/>
        <v>0</v>
      </c>
      <c r="I52" s="78" t="str" cm="1">
        <f t="array" ref="I52">IFERROR(LOOKUP(2,1/((MOD(COLUMN($K52:$AG52),2)=1)*($K52:$AG52&lt;&gt;"-")*($K52:$AG52&lt;&gt;"")),$K52:$AG52),"-")</f>
        <v>Em elaboração</v>
      </c>
      <c r="J52" s="44"/>
      <c r="K52" s="21"/>
      <c r="L52" s="44"/>
      <c r="M52" s="21"/>
      <c r="N52" s="44"/>
      <c r="O52" s="21"/>
      <c r="P52" s="44"/>
      <c r="Q52" s="21"/>
      <c r="R52" s="44"/>
      <c r="S52" s="21"/>
      <c r="T52" s="44"/>
      <c r="U52" s="21"/>
      <c r="V52" s="44"/>
      <c r="W52" s="21"/>
      <c r="X52" s="44"/>
      <c r="Y52" s="21"/>
      <c r="Z52" s="44"/>
      <c r="AA52" s="21" t="s">
        <v>38</v>
      </c>
      <c r="AB52" s="44"/>
      <c r="AC52" s="21"/>
      <c r="AD52" s="44"/>
      <c r="AE52" s="21"/>
      <c r="AF52" s="44"/>
      <c r="AG52" s="21"/>
    </row>
    <row r="53" spans="2:33" x14ac:dyDescent="0.3">
      <c r="B53" s="29">
        <f>ROW()-ROW($B$3)</f>
        <v>50</v>
      </c>
      <c r="C53" s="31">
        <v>114</v>
      </c>
      <c r="D53" s="12" t="s">
        <v>627</v>
      </c>
      <c r="E53" s="18">
        <v>42221.21</v>
      </c>
      <c r="F53" s="18">
        <f t="shared" si="3"/>
        <v>0</v>
      </c>
      <c r="G53" s="47">
        <f t="shared" si="1"/>
        <v>42221.21</v>
      </c>
      <c r="H53" s="46">
        <f t="shared" si="2"/>
        <v>0</v>
      </c>
      <c r="I53" s="78" t="str" cm="1">
        <f t="array" ref="I53">IFERROR(LOOKUP(2,1/((MOD(COLUMN($K53:$AG53),2)=1)*($K53:$AG53&lt;&gt;"-")*($K53:$AG53&lt;&gt;"")),$K53:$AG53),"-")</f>
        <v>Em elaboração</v>
      </c>
      <c r="J53" s="44"/>
      <c r="K53" s="21"/>
      <c r="L53" s="44"/>
      <c r="M53" s="21"/>
      <c r="N53" s="44"/>
      <c r="O53" s="21"/>
      <c r="P53" s="44"/>
      <c r="Q53" s="21"/>
      <c r="R53" s="44"/>
      <c r="S53" s="21"/>
      <c r="T53" s="44"/>
      <c r="U53" s="21"/>
      <c r="V53" s="44"/>
      <c r="W53" s="21"/>
      <c r="X53" s="44"/>
      <c r="Y53" s="21"/>
      <c r="Z53" s="44"/>
      <c r="AA53" s="21" t="s">
        <v>38</v>
      </c>
      <c r="AB53" s="44"/>
      <c r="AC53" s="21"/>
      <c r="AD53" s="44"/>
      <c r="AE53" s="21"/>
      <c r="AF53" s="44"/>
      <c r="AG53" s="21"/>
    </row>
    <row r="54" spans="2:33" x14ac:dyDescent="0.3">
      <c r="B54" s="29">
        <f>ROW()-ROW($B$3)</f>
        <v>51</v>
      </c>
      <c r="C54" s="31">
        <v>115</v>
      </c>
      <c r="D54" s="12" t="s">
        <v>638</v>
      </c>
      <c r="E54" s="18">
        <v>205865.44</v>
      </c>
      <c r="F54" s="18">
        <f t="shared" si="3"/>
        <v>0</v>
      </c>
      <c r="G54" s="47">
        <f t="shared" si="1"/>
        <v>205865.44</v>
      </c>
      <c r="H54" s="46">
        <f t="shared" si="2"/>
        <v>0</v>
      </c>
      <c r="I54" s="78" t="str" cm="1">
        <f t="array" ref="I54">IFERROR(LOOKUP(2,1/((MOD(COLUMN($K54:$AG54),2)=1)*($K54:$AG54&lt;&gt;"-")*($K54:$AG54&lt;&gt;"")),$K54:$AG54),"-")</f>
        <v>Em elaboração</v>
      </c>
      <c r="J54" s="44"/>
      <c r="K54" s="21"/>
      <c r="L54" s="44"/>
      <c r="M54" s="21"/>
      <c r="N54" s="44"/>
      <c r="O54" s="21"/>
      <c r="P54" s="44"/>
      <c r="Q54" s="21"/>
      <c r="R54" s="44"/>
      <c r="S54" s="21"/>
      <c r="T54" s="44"/>
      <c r="U54" s="21"/>
      <c r="V54" s="44"/>
      <c r="W54" s="21"/>
      <c r="X54" s="44"/>
      <c r="Y54" s="21"/>
      <c r="Z54" s="44"/>
      <c r="AA54" s="21" t="s">
        <v>38</v>
      </c>
      <c r="AB54" s="44"/>
      <c r="AC54" s="21"/>
      <c r="AD54" s="44"/>
      <c r="AE54" s="21"/>
      <c r="AF54" s="44"/>
      <c r="AG54" s="21"/>
    </row>
    <row r="55" spans="2:33" x14ac:dyDescent="0.3">
      <c r="B55" s="29">
        <f>ROW()-ROW($B$3)</f>
        <v>52</v>
      </c>
      <c r="C55" s="31">
        <v>116</v>
      </c>
      <c r="D55" s="12" t="s">
        <v>627</v>
      </c>
      <c r="E55" s="18">
        <v>43963.44</v>
      </c>
      <c r="F55" s="18">
        <f t="shared" si="3"/>
        <v>0</v>
      </c>
      <c r="G55" s="47">
        <f t="shared" si="1"/>
        <v>43963.44</v>
      </c>
      <c r="H55" s="46">
        <f t="shared" si="2"/>
        <v>0</v>
      </c>
      <c r="I55" s="78" t="str" cm="1">
        <f t="array" ref="I55">IFERROR(LOOKUP(2,1/((MOD(COLUMN($K55:$AG55),2)=1)*($K55:$AG55&lt;&gt;"-")*($K55:$AG55&lt;&gt;"")),$K55:$AG55),"-")</f>
        <v>Em elaboração</v>
      </c>
      <c r="J55" s="44"/>
      <c r="K55" s="21"/>
      <c r="L55" s="44"/>
      <c r="M55" s="21"/>
      <c r="N55" s="44"/>
      <c r="O55" s="21"/>
      <c r="P55" s="44"/>
      <c r="Q55" s="21"/>
      <c r="R55" s="44"/>
      <c r="S55" s="21"/>
      <c r="T55" s="44"/>
      <c r="U55" s="21"/>
      <c r="V55" s="44"/>
      <c r="W55" s="21"/>
      <c r="X55" s="44"/>
      <c r="Y55" s="21"/>
      <c r="Z55" s="44"/>
      <c r="AA55" s="21" t="s">
        <v>38</v>
      </c>
      <c r="AB55" s="44"/>
      <c r="AC55" s="21"/>
      <c r="AD55" s="44"/>
      <c r="AE55" s="21"/>
      <c r="AF55" s="44"/>
      <c r="AG55" s="21"/>
    </row>
    <row r="56" spans="2:33" x14ac:dyDescent="0.3">
      <c r="B56" s="29">
        <f>ROW()-ROW($B$3)</f>
        <v>53</v>
      </c>
      <c r="C56" s="31">
        <v>117</v>
      </c>
      <c r="D56" s="12" t="s">
        <v>646</v>
      </c>
      <c r="E56" s="18">
        <v>0</v>
      </c>
      <c r="F56" s="18">
        <f t="shared" si="3"/>
        <v>0</v>
      </c>
      <c r="G56" s="47">
        <f t="shared" si="1"/>
        <v>0</v>
      </c>
      <c r="H56" s="46">
        <f t="shared" si="2"/>
        <v>0</v>
      </c>
      <c r="I56" s="78" t="str" cm="1">
        <f t="array" ref="I56">IFERROR(LOOKUP(2,1/((MOD(COLUMN($K56:$AG56),2)=1)*($K56:$AG56&lt;&gt;"-")*($K56:$AG56&lt;&gt;"")),$K56:$AG56),"-")</f>
        <v>-</v>
      </c>
      <c r="J56" s="44"/>
      <c r="K56" s="21"/>
      <c r="L56" s="44"/>
      <c r="M56" s="21"/>
      <c r="N56" s="44"/>
      <c r="O56" s="21"/>
      <c r="P56" s="44"/>
      <c r="Q56" s="21"/>
      <c r="R56" s="44"/>
      <c r="S56" s="21"/>
      <c r="T56" s="44"/>
      <c r="U56" s="21"/>
      <c r="V56" s="44"/>
      <c r="W56" s="21"/>
      <c r="X56" s="44"/>
      <c r="Y56" s="21"/>
      <c r="Z56" s="44"/>
      <c r="AA56" s="21"/>
      <c r="AB56" s="44"/>
      <c r="AC56" s="21"/>
      <c r="AD56" s="44"/>
      <c r="AE56" s="21"/>
      <c r="AF56" s="44"/>
      <c r="AG56" s="21"/>
    </row>
    <row r="57" spans="2:33" x14ac:dyDescent="0.3">
      <c r="B57" s="29"/>
      <c r="C57" s="31"/>
      <c r="D57" s="12"/>
      <c r="E57" s="18"/>
      <c r="F57" s="18"/>
      <c r="G57" s="47"/>
      <c r="H57" s="46"/>
      <c r="I57" s="78"/>
      <c r="J57" s="44"/>
      <c r="K57" s="21"/>
      <c r="L57" s="44"/>
      <c r="M57" s="21"/>
      <c r="N57" s="44"/>
      <c r="O57" s="21"/>
      <c r="P57" s="44"/>
      <c r="Q57" s="21"/>
      <c r="R57" s="44"/>
      <c r="S57" s="21"/>
      <c r="T57" s="44"/>
      <c r="U57" s="21"/>
      <c r="V57" s="44"/>
      <c r="W57" s="21"/>
      <c r="X57" s="44"/>
      <c r="Y57" s="21"/>
      <c r="Z57" s="44"/>
      <c r="AA57" s="21"/>
      <c r="AB57" s="44"/>
      <c r="AC57" s="21"/>
      <c r="AD57" s="44"/>
      <c r="AE57" s="21"/>
      <c r="AF57" s="44"/>
      <c r="AG57" s="21"/>
    </row>
    <row r="58" spans="2:33" ht="31.8" customHeight="1" x14ac:dyDescent="0.3">
      <c r="B58" s="17"/>
      <c r="C58" s="31"/>
      <c r="D58" s="12"/>
      <c r="E58" s="18"/>
      <c r="F58" s="18"/>
      <c r="G58" s="18"/>
      <c r="H58" s="18"/>
      <c r="I58" s="34"/>
      <c r="J58" s="44"/>
      <c r="K58" s="21"/>
      <c r="L58" s="44"/>
      <c r="M58" s="21"/>
      <c r="N58" s="19"/>
      <c r="O58" s="21"/>
      <c r="P58" s="19"/>
      <c r="Q58" s="21"/>
      <c r="R58" s="19"/>
      <c r="S58" s="21"/>
      <c r="T58" s="19"/>
      <c r="U58" s="20"/>
      <c r="V58" s="19"/>
      <c r="W58" s="20"/>
      <c r="X58" s="19"/>
      <c r="Y58" s="20"/>
      <c r="Z58" s="19"/>
      <c r="AA58" s="20"/>
      <c r="AB58" s="19"/>
      <c r="AC58" s="20"/>
      <c r="AD58" s="19"/>
      <c r="AE58" s="20"/>
      <c r="AF58" s="19"/>
      <c r="AG58" s="20"/>
    </row>
  </sheetData>
  <mergeCells count="13">
    <mergeCell ref="AF2:AG2"/>
    <mergeCell ref="T2:U2"/>
    <mergeCell ref="V2:W2"/>
    <mergeCell ref="X2:Y2"/>
    <mergeCell ref="Z2:AA2"/>
    <mergeCell ref="AB2:AC2"/>
    <mergeCell ref="AD2:AE2"/>
    <mergeCell ref="R2:S2"/>
    <mergeCell ref="B2:I2"/>
    <mergeCell ref="J2:K2"/>
    <mergeCell ref="L2:M2"/>
    <mergeCell ref="N2:O2"/>
    <mergeCell ref="P2:Q2"/>
  </mergeCells>
  <conditionalFormatting sqref="H4:H57">
    <cfRule type="colorScale" priority="44">
      <colorScale>
        <cfvo type="min"/>
        <cfvo type="percentile" val="50"/>
        <cfvo type="max"/>
        <color rgb="FFC00000"/>
        <color rgb="FFFFFF00"/>
        <color rgb="FF92D050"/>
      </colorScale>
    </cfRule>
  </conditionalFormatting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31664736-B4C9-4E8F-B3FC-DF73BAEC5B05}">
            <xm:f>NOT(ISERROR(SEARCH('Tabelas Auxiliares'!$M$8,I4)))</xm:f>
            <xm:f>'Tabelas Auxiliares'!$M$8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7" operator="containsText" id="{9873A3AA-E4D1-420D-AB04-0ED4222A75F9}">
            <xm:f>NOT(ISERROR(SEARCH('Tabelas Auxiliares'!$M$7,I4)))</xm:f>
            <xm:f>'Tabelas Auxiliares'!$M$7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8" operator="containsText" id="{B33AA713-676E-480A-98D6-255AFD638C4F}">
            <xm:f>NOT(ISERROR(SEARCH('Tabelas Auxiliares'!$M$6,I4)))</xm:f>
            <xm:f>'Tabelas Auxiliares'!$M$6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9" operator="containsText" id="{D97E10EC-9E74-4562-9BA4-0691B057F054}">
            <xm:f>NOT(ISERROR(SEARCH('Tabelas Auxiliares'!$M$5,I4)))</xm:f>
            <xm:f>'Tabelas Auxiliares'!$M$5</xm:f>
            <x14:dxf>
              <fill>
                <patternFill>
                  <fgColor rgb="FF00B0F0"/>
                  <bgColor rgb="FF00B0F0"/>
                </patternFill>
              </fill>
            </x14:dxf>
          </x14:cfRule>
          <x14:cfRule type="containsText" priority="10" operator="containsText" id="{450FD00B-664D-42A9-BAAA-9A3F72AC4601}">
            <xm:f>NOT(ISERROR(SEARCH('Tabelas Auxiliares'!$M$4,I4)))</xm:f>
            <xm:f>'Tabelas Auxiliares'!$M$4</xm:f>
            <x14:dxf>
              <fill>
                <patternFill patternType="solid">
                  <fgColor auto="1"/>
                </patternFill>
              </fill>
            </x14:dxf>
          </x14:cfRule>
          <x14:cfRule type="containsText" priority="41" operator="containsText" id="{8E33C492-03F3-41DA-8A4D-4F06E61A2842}">
            <xm:f>NOT(ISERROR(SEARCH('Tabelas Auxiliares'!$M$10,I4)))</xm:f>
            <xm:f>'Tabelas Auxiliares'!$M$10</xm:f>
            <x14:dxf>
              <font>
                <color rgb="FFFFFFFF"/>
              </font>
              <fill>
                <patternFill patternType="solid">
                  <fgColor indexed="64"/>
                  <bgColor rgb="FFED7D31"/>
                </patternFill>
              </fill>
            </x14:dxf>
          </x14:cfRule>
          <xm:sqref>I4:I58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E96042-F27F-41EC-A004-D60583FE3C0E}">
          <x14:formula1>
            <xm:f>'Tabelas Auxiliares'!$M$4:$M$11</xm:f>
          </x14:formula1>
          <xm:sqref>S4:S58 M4:M58 K4:K58 AC4:AC58 Q4:Q58 U4:U58 W4:W58 O4:O58 AA4:AA58 AE4:AE58 AG4:AG58 Y4:Y58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BE14-0B6D-44E5-B3E0-5C60FC3877B6}">
  <sheetPr codeName="Planilha6"/>
  <dimension ref="A1:N97"/>
  <sheetViews>
    <sheetView zoomScale="85" zoomScaleNormal="85" workbookViewId="0">
      <pane xSplit="1" ySplit="3" topLeftCell="B85" activePane="bottomRight" state="frozen"/>
      <selection pane="topRight" activeCell="B1" sqref="B1"/>
      <selection pane="bottomLeft" activeCell="A4" sqref="A4"/>
      <selection pane="bottomRight" activeCell="L70" sqref="L70"/>
    </sheetView>
  </sheetViews>
  <sheetFormatPr defaultRowHeight="15.6" x14ac:dyDescent="0.3"/>
  <cols>
    <col min="1" max="1" width="3.796875" customWidth="1"/>
    <col min="2" max="2" width="9.765625E-2" customWidth="1"/>
    <col min="3" max="3" width="10.19921875" customWidth="1"/>
    <col min="4" max="4" width="17.09765625" customWidth="1"/>
    <col min="5" max="5" width="9.3984375" customWidth="1"/>
    <col min="6" max="6" width="12.19921875" bestFit="1" customWidth="1"/>
    <col min="7" max="7" width="18.796875" customWidth="1"/>
    <col min="8" max="8" width="10.8984375" customWidth="1"/>
    <col min="9" max="9" width="53.69921875" customWidth="1"/>
    <col min="10" max="10" width="28.19921875" customWidth="1"/>
    <col min="11" max="11" width="17.5" bestFit="1" customWidth="1"/>
    <col min="12" max="12" width="16" bestFit="1" customWidth="1"/>
    <col min="13" max="13" width="68.59765625" customWidth="1"/>
  </cols>
  <sheetData>
    <row r="1" spans="1:14" ht="16.2" thickBot="1" x14ac:dyDescent="0.35"/>
    <row r="2" spans="1:14" ht="58.2" customHeight="1" thickBot="1" x14ac:dyDescent="0.35">
      <c r="B2" s="302" t="s">
        <v>183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1:14" ht="62.4" customHeight="1" thickBot="1" x14ac:dyDescent="0.4">
      <c r="A3" s="1"/>
      <c r="B3" s="23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24</v>
      </c>
      <c r="H3" s="24" t="s">
        <v>8</v>
      </c>
      <c r="I3" s="24" t="s">
        <v>0</v>
      </c>
      <c r="J3" s="24" t="s">
        <v>9</v>
      </c>
      <c r="K3" s="24" t="s">
        <v>1</v>
      </c>
      <c r="L3" s="24" t="s">
        <v>10</v>
      </c>
      <c r="M3" s="22" t="s">
        <v>29</v>
      </c>
      <c r="N3" s="2"/>
    </row>
    <row r="4" spans="1:14" ht="31.2" x14ac:dyDescent="0.35">
      <c r="A4" s="1"/>
      <c r="B4" s="28">
        <f>'REGIÃO 13 - HISTÓRICO'!B4</f>
        <v>1</v>
      </c>
      <c r="C4" s="76" t="s">
        <v>165</v>
      </c>
      <c r="D4" s="26" t="str">
        <f>_xlfn.XLOOKUP(tbResumoR13[[#This Row],[REGIÃO]],tbRegioes[Código Região],tbRegioes[Contrato],"")</f>
        <v>051.2024</v>
      </c>
      <c r="E4" s="25">
        <f>'REGIÃO 13 - HISTÓRICO'!C4</f>
        <v>73</v>
      </c>
      <c r="F4" s="77" t="s">
        <v>30</v>
      </c>
      <c r="G4" s="187" t="str">
        <f>'REGIÃO 13 - HISTÓRICO'!D4</f>
        <v>jan/fev/mar</v>
      </c>
      <c r="H4" s="8">
        <v>266</v>
      </c>
      <c r="I4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TO-476 - TRECHO RIO DA CONCEIÇÃO - DIANÓPOLIS</v>
      </c>
      <c r="J4" s="74" t="s">
        <v>106</v>
      </c>
      <c r="K4" s="9">
        <f>'REGIÃO 13 - HISTÓRICO'!E4</f>
        <v>98239.679999999993</v>
      </c>
      <c r="L4" s="8" t="str">
        <f>'REGIÃO 13 - HISTÓRICO'!I4</f>
        <v>Concluída</v>
      </c>
      <c r="M4" s="33"/>
      <c r="N4" s="2"/>
    </row>
    <row r="5" spans="1:14" ht="31.2" x14ac:dyDescent="0.35">
      <c r="A5" s="1"/>
      <c r="B5" s="28">
        <f>'REGIÃO 13 - HISTÓRICO'!B5</f>
        <v>2</v>
      </c>
      <c r="C5" s="76" t="s">
        <v>165</v>
      </c>
      <c r="D5" s="26" t="str">
        <f>_xlfn.XLOOKUP(tbResumoR13[[#This Row],[REGIÃO]],tbRegioes[Código Região],tbRegioes[Contrato],"")</f>
        <v>051.2024</v>
      </c>
      <c r="E5" s="25">
        <f>'REGIÃO 13 - HISTÓRICO'!C5</f>
        <v>74</v>
      </c>
      <c r="F5" s="77" t="s">
        <v>30</v>
      </c>
      <c r="G5" s="187" t="str">
        <f>'REGIÃO 13 - HISTÓRICO'!D5</f>
        <v>jan/fev/mar/abr</v>
      </c>
      <c r="H5" s="8">
        <v>246</v>
      </c>
      <c r="I5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ALMAS - PORTO ALEGRE DO TOCANTINS</v>
      </c>
      <c r="J5" s="74" t="s">
        <v>106</v>
      </c>
      <c r="K5" s="9">
        <f>'REGIÃO 13 - HISTÓRICO'!E5</f>
        <v>329309.36</v>
      </c>
      <c r="L5" s="8" t="str">
        <f>'REGIÃO 13 - HISTÓRICO'!I5</f>
        <v>Concluída</v>
      </c>
      <c r="M5" s="33"/>
      <c r="N5" s="2"/>
    </row>
    <row r="6" spans="1:14" ht="31.2" x14ac:dyDescent="0.35">
      <c r="A6" s="1"/>
      <c r="B6" s="28">
        <f>'REGIÃO 13 - HISTÓRICO'!B6</f>
        <v>3</v>
      </c>
      <c r="C6" s="76" t="s">
        <v>165</v>
      </c>
      <c r="D6" s="26" t="str">
        <f>_xlfn.XLOOKUP(tbResumoR13[[#This Row],[REGIÃO]],tbRegioes[Código Região],tbRegioes[Contrato],"")</f>
        <v>051.2024</v>
      </c>
      <c r="E6" s="25">
        <f>'REGIÃO 13 - HISTÓRICO'!C6</f>
        <v>75</v>
      </c>
      <c r="F6" s="77" t="s">
        <v>30</v>
      </c>
      <c r="G6" s="187" t="str">
        <f>'REGIÃO 13 - HISTÓRICO'!D6</f>
        <v>jan/fev/mar</v>
      </c>
      <c r="H6" s="8">
        <v>247</v>
      </c>
      <c r="I6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DIANÓPOLIS - NOVO JARDIM</v>
      </c>
      <c r="J6" s="74" t="s">
        <v>106</v>
      </c>
      <c r="K6" s="9">
        <f>'REGIÃO 13 - HISTÓRICO'!E6</f>
        <v>140435.54</v>
      </c>
      <c r="L6" s="8" t="str">
        <f>'REGIÃO 13 - HISTÓRICO'!I6</f>
        <v>Concluída</v>
      </c>
      <c r="M6" s="33"/>
      <c r="N6" s="2"/>
    </row>
    <row r="7" spans="1:14" ht="31.2" x14ac:dyDescent="0.35">
      <c r="A7" s="1"/>
      <c r="B7" s="28">
        <f>'REGIÃO 13 - HISTÓRICO'!B7</f>
        <v>4</v>
      </c>
      <c r="C7" s="76" t="s">
        <v>165</v>
      </c>
      <c r="D7" s="26" t="str">
        <f>_xlfn.XLOOKUP(tbResumoR13[[#This Row],[REGIÃO]],tbRegioes[Código Região],tbRegioes[Contrato],"")</f>
        <v>051.2024</v>
      </c>
      <c r="E7" s="25">
        <f>'REGIÃO 13 - HISTÓRICO'!C7</f>
        <v>76</v>
      </c>
      <c r="F7" s="77" t="s">
        <v>30</v>
      </c>
      <c r="G7" s="187" t="str">
        <f>'REGIÃO 13 - HISTÓRICO'!D7</f>
        <v>jan/fev/mar</v>
      </c>
      <c r="H7" s="8">
        <v>248</v>
      </c>
      <c r="I7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NOVO JARDIM - DIVISA TO-BA</v>
      </c>
      <c r="J7" s="74" t="s">
        <v>106</v>
      </c>
      <c r="K7" s="9">
        <f>'REGIÃO 13 - HISTÓRICO'!E7</f>
        <v>157252.35</v>
      </c>
      <c r="L7" s="8" t="str">
        <f>'REGIÃO 13 - HISTÓRICO'!I7</f>
        <v>Concluída</v>
      </c>
      <c r="M7" s="33"/>
      <c r="N7" s="2"/>
    </row>
    <row r="8" spans="1:14" ht="31.2" x14ac:dyDescent="0.35">
      <c r="A8" s="1"/>
      <c r="B8" s="28">
        <f>'REGIÃO 13 - HISTÓRICO'!B8</f>
        <v>5</v>
      </c>
      <c r="C8" s="76" t="s">
        <v>165</v>
      </c>
      <c r="D8" s="26" t="str">
        <f>_xlfn.XLOOKUP(tbResumoR13[[#This Row],[REGIÃO]],tbRegioes[Código Região],tbRegioes[Contrato],"")</f>
        <v>051.2024</v>
      </c>
      <c r="E8" s="25">
        <f>'REGIÃO 13 - HISTÓRICO'!C8</f>
        <v>77</v>
      </c>
      <c r="F8" s="77" t="s">
        <v>30</v>
      </c>
      <c r="G8" s="187" t="str">
        <f>'REGIÃO 13 - HISTÓRICO'!D8</f>
        <v>jan/fev/mar/abr</v>
      </c>
      <c r="H8" s="8">
        <v>249</v>
      </c>
      <c r="I8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PORTO ALEGRE DO TOCANTINS - DIANÓPOLIS</v>
      </c>
      <c r="J8" s="74" t="s">
        <v>106</v>
      </c>
      <c r="K8" s="9">
        <f>'REGIÃO 13 - HISTÓRICO'!E8</f>
        <v>1234328.1299999999</v>
      </c>
      <c r="L8" s="8" t="str">
        <f>'REGIÃO 13 - HISTÓRICO'!I8</f>
        <v>Concluída</v>
      </c>
      <c r="M8" s="33"/>
      <c r="N8" s="2"/>
    </row>
    <row r="9" spans="1:14" ht="31.2" x14ac:dyDescent="0.35">
      <c r="A9" s="1"/>
      <c r="B9" s="28">
        <f>'REGIÃO 13 - HISTÓRICO'!B9</f>
        <v>6</v>
      </c>
      <c r="C9" s="76" t="s">
        <v>165</v>
      </c>
      <c r="D9" s="26" t="str">
        <f>_xlfn.XLOOKUP(tbResumoR13[[#This Row],[REGIÃO]],tbRegioes[Código Região],tbRegioes[Contrato],"")</f>
        <v>051.2024</v>
      </c>
      <c r="E9" s="25">
        <f>'REGIÃO 13 - HISTÓRICO'!C9</f>
        <v>78</v>
      </c>
      <c r="F9" s="77" t="s">
        <v>30</v>
      </c>
      <c r="G9" s="187" t="str">
        <f>'REGIÃO 13 - HISTÓRICO'!D9</f>
        <v>jan/fev/mar</v>
      </c>
      <c r="H9" s="8">
        <v>255</v>
      </c>
      <c r="I9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ENTR. TO-040 (DIANÓPOLIS) - DIVISA TO-BA (GARGANTA)</v>
      </c>
      <c r="J9" s="74" t="s">
        <v>106</v>
      </c>
      <c r="K9" s="9">
        <f>'REGIÃO 13 - HISTÓRICO'!E9</f>
        <v>98271.39</v>
      </c>
      <c r="L9" s="8" t="str">
        <f>'REGIÃO 13 - HISTÓRICO'!I9</f>
        <v>Concluída</v>
      </c>
      <c r="M9" s="33"/>
      <c r="N9" s="2"/>
    </row>
    <row r="10" spans="1:14" ht="31.2" x14ac:dyDescent="0.35">
      <c r="A10" s="1"/>
      <c r="B10" s="28">
        <f>'REGIÃO 13 - HISTÓRICO'!B10</f>
        <v>7</v>
      </c>
      <c r="C10" s="76" t="s">
        <v>165</v>
      </c>
      <c r="D10" s="26" t="str">
        <f>_xlfn.XLOOKUP(tbResumoR13[[#This Row],[REGIÃO]],tbRegioes[Código Região],tbRegioes[Contrato],"")</f>
        <v>051.2024</v>
      </c>
      <c r="E10" s="25">
        <f>'REGIÃO 13 - HISTÓRICO'!C10</f>
        <v>79</v>
      </c>
      <c r="F10" s="74" t="s">
        <v>31</v>
      </c>
      <c r="G10" s="187" t="str">
        <f>'REGIÃO 13 - HISTÓRICO'!D10</f>
        <v>fev/mar</v>
      </c>
      <c r="H10" s="8">
        <v>252</v>
      </c>
      <c r="I10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ENTR. BR-010 (POVOADO PRÍNCIPE) - CONCEIÇÃO DO TOCANTINS</v>
      </c>
      <c r="J10" s="74" t="s">
        <v>106</v>
      </c>
      <c r="K10" s="9">
        <f>'REGIÃO 13 - HISTÓRICO'!E10</f>
        <v>569533.54</v>
      </c>
      <c r="L10" s="8" t="str">
        <f>'REGIÃO 13 - HISTÓRICO'!I10</f>
        <v>Concluída</v>
      </c>
      <c r="M10" s="33"/>
      <c r="N10" s="2"/>
    </row>
    <row r="11" spans="1:14" ht="46.8" x14ac:dyDescent="0.35">
      <c r="A11" s="1"/>
      <c r="B11" s="28">
        <f>'REGIÃO 13 - HISTÓRICO'!B11</f>
        <v>8</v>
      </c>
      <c r="C11" s="76" t="s">
        <v>165</v>
      </c>
      <c r="D11" s="26" t="str">
        <f>_xlfn.XLOOKUP(tbResumoR13[[#This Row],[REGIÃO]],tbRegioes[Código Região],tbRegioes[Contrato],"")</f>
        <v>051.2024</v>
      </c>
      <c r="E11" s="25">
        <f>'REGIÃO 13 - HISTÓRICO'!C11</f>
        <v>80</v>
      </c>
      <c r="F11" s="74" t="s">
        <v>31</v>
      </c>
      <c r="G11" s="187" t="str">
        <f>'REGIÃO 13 - HISTÓRICO'!D11</f>
        <v>fev/mar/abr</v>
      </c>
      <c r="H11" s="8">
        <v>245</v>
      </c>
      <c r="I11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ENTR. TO-369 - ENTR. TO-280 (ALMAS)</v>
      </c>
      <c r="J11" s="74" t="s">
        <v>100</v>
      </c>
      <c r="K11" s="9">
        <f>'REGIÃO 13 - HISTÓRICO'!E11</f>
        <v>361880.42</v>
      </c>
      <c r="L11" s="8" t="str">
        <f>'REGIÃO 13 - HISTÓRICO'!I11</f>
        <v>Concluída</v>
      </c>
      <c r="M11" s="33"/>
      <c r="N11" s="2"/>
    </row>
    <row r="12" spans="1:14" ht="46.8" x14ac:dyDescent="0.35">
      <c r="A12" s="1"/>
      <c r="B12" s="28">
        <f>'REGIÃO 13 - HISTÓRICO'!B12</f>
        <v>9</v>
      </c>
      <c r="C12" s="76" t="s">
        <v>165</v>
      </c>
      <c r="D12" s="26" t="str">
        <f>_xlfn.XLOOKUP(tbResumoR13[[#This Row],[REGIÃO]],tbRegioes[Código Região],tbRegioes[Contrato],"")</f>
        <v>051.2024</v>
      </c>
      <c r="E12" s="25">
        <f>'REGIÃO 13 - HISTÓRICO'!C12</f>
        <v>81</v>
      </c>
      <c r="F12" s="74" t="s">
        <v>31</v>
      </c>
      <c r="G12" s="187" t="str">
        <f>'REGIÃO 13 - HISTÓRICO'!D12</f>
        <v>fev/mar/abr</v>
      </c>
      <c r="H12" s="8">
        <v>270</v>
      </c>
      <c r="I12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TO-485 - TRECHO TAIPAS DO TOCANTINS - ENTR. TO-110</v>
      </c>
      <c r="J12" s="74" t="s">
        <v>606</v>
      </c>
      <c r="K12" s="9">
        <f>'REGIÃO 13 - HISTÓRICO'!E12</f>
        <v>616483.01</v>
      </c>
      <c r="L12" s="8" t="str">
        <f>'REGIÃO 13 - HISTÓRICO'!I12</f>
        <v>Concluída</v>
      </c>
      <c r="M12" s="33"/>
      <c r="N12" s="2"/>
    </row>
    <row r="13" spans="1:14" ht="31.2" x14ac:dyDescent="0.3">
      <c r="B13" s="30">
        <f>'REGIÃO 13 - HISTÓRICO'!B13</f>
        <v>10</v>
      </c>
      <c r="C13" s="76" t="s">
        <v>165</v>
      </c>
      <c r="D13" s="26" t="str">
        <f>_xlfn.XLOOKUP(tbResumoR13[[#This Row],[REGIÃO]],tbRegioes[Código Região],tbRegioes[Contrato],"")</f>
        <v>051.2024</v>
      </c>
      <c r="E13" s="25">
        <f>'REGIÃO 13 - HISTÓRICO'!C13</f>
        <v>82</v>
      </c>
      <c r="F13" s="74" t="s">
        <v>31</v>
      </c>
      <c r="G13" s="187" t="str">
        <f>'REGIÃO 13 - HISTÓRICO'!D13</f>
        <v>fev/mar</v>
      </c>
      <c r="H13" s="8">
        <v>258</v>
      </c>
      <c r="I13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PONTE ALTA DO BOM JESUS - ENTR. BR-242(TAGUATINGA)</v>
      </c>
      <c r="J13" s="74" t="s">
        <v>143</v>
      </c>
      <c r="K13" s="9">
        <f>'REGIÃO 13 - HISTÓRICO'!E13</f>
        <v>46532.4</v>
      </c>
      <c r="L13" s="8" t="str">
        <f>'REGIÃO 13 - HISTÓRICO'!I13</f>
        <v>Concluída</v>
      </c>
      <c r="M13" s="33"/>
    </row>
    <row r="14" spans="1:14" ht="31.2" x14ac:dyDescent="0.3">
      <c r="B14" s="30">
        <f>'REGIÃO 13 - HISTÓRICO'!B71</f>
        <v>68</v>
      </c>
      <c r="C14" s="76" t="s">
        <v>165</v>
      </c>
      <c r="D14" s="26" t="str">
        <f>_xlfn.XLOOKUP(tbResumoR13[[#This Row],[REGIÃO]],tbRegioes[Código Região],tbRegioes[Contrato],"")</f>
        <v>051.2024</v>
      </c>
      <c r="E14" s="25">
        <f>'REGIÃO 13 - HISTÓRICO'!C14</f>
        <v>83</v>
      </c>
      <c r="F14" s="74" t="s">
        <v>32</v>
      </c>
      <c r="G14" s="187" t="str">
        <f>'REGIÃO 13 - HISTÓRICO'!D14</f>
        <v>mar/abr/mai</v>
      </c>
      <c r="H14" s="8">
        <v>251</v>
      </c>
      <c r="I14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CONCEIÇÃO DO TOCANTINS - ARRAIAS</v>
      </c>
      <c r="J14" s="74" t="s">
        <v>93</v>
      </c>
      <c r="K14" s="9">
        <f>'REGIÃO 13 - HISTÓRICO'!E14</f>
        <v>396115.31</v>
      </c>
      <c r="L14" s="8" t="str">
        <f>'REGIÃO 13 - HISTÓRICO'!I14</f>
        <v>Concluída</v>
      </c>
      <c r="M14" s="33"/>
    </row>
    <row r="15" spans="1:14" ht="31.2" x14ac:dyDescent="0.3">
      <c r="B15" s="32">
        <f>'REGIÃO 13 - HISTÓRICO'!B72</f>
        <v>69</v>
      </c>
      <c r="C15" s="76" t="s">
        <v>165</v>
      </c>
      <c r="D15" s="26" t="str">
        <f>_xlfn.XLOOKUP(tbResumoR13[[#This Row],[REGIÃO]],tbRegioes[Código Região],tbRegioes[Contrato],"")</f>
        <v>051.2024</v>
      </c>
      <c r="E15" s="25">
        <f>'REGIÃO 13 - HISTÓRICO'!C15</f>
        <v>84</v>
      </c>
      <c r="F15" s="74" t="s">
        <v>32</v>
      </c>
      <c r="G15" s="187" t="str">
        <f>'REGIÃO 13 - HISTÓRICO'!D15</f>
        <v>mar/abr/mai</v>
      </c>
      <c r="H15" s="8">
        <v>247</v>
      </c>
      <c r="I15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DIANÓPOLIS - NOVO JARDIM</v>
      </c>
      <c r="J15" s="74" t="s">
        <v>93</v>
      </c>
      <c r="K15" s="9">
        <f>'REGIÃO 13 - HISTÓRICO'!E15</f>
        <v>304771.96000000002</v>
      </c>
      <c r="L15" s="8" t="str">
        <f>'REGIÃO 13 - HISTÓRICO'!I15</f>
        <v>Concluída</v>
      </c>
      <c r="M15" s="33"/>
    </row>
    <row r="16" spans="1:14" x14ac:dyDescent="0.3">
      <c r="B16" s="32">
        <f>'REGIÃO 13 - HISTÓRICO'!B16</f>
        <v>0</v>
      </c>
      <c r="C16" s="76" t="s">
        <v>165</v>
      </c>
      <c r="D16" s="206" t="str">
        <f>_xlfn.XLOOKUP(tbResumoR13[[#This Row],[REGIÃO]],tbRegioes[Código Região],tbRegioes[Contrato],"")</f>
        <v>051.2024</v>
      </c>
      <c r="E16" s="25">
        <f>'REGIÃO 13 - HISTÓRICO'!C16</f>
        <v>85</v>
      </c>
      <c r="F16" s="74" t="s">
        <v>32</v>
      </c>
      <c r="G16" s="187" t="str">
        <f>'REGIÃO 13 - HISTÓRICO'!D16</f>
        <v>mar/abr/mai</v>
      </c>
      <c r="H16" s="8">
        <v>250</v>
      </c>
      <c r="I16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ARRAIAS - DIVISA TO-GO</v>
      </c>
      <c r="J16" s="74" t="s">
        <v>42</v>
      </c>
      <c r="K16" s="9">
        <f>'REGIÃO 13 - HISTÓRICO'!E16</f>
        <v>64506.29</v>
      </c>
      <c r="L16" s="8" t="str">
        <f>'REGIÃO 13 - HISTÓRICO'!I16</f>
        <v>Concluída</v>
      </c>
      <c r="M16" s="211"/>
    </row>
    <row r="17" spans="2:13" ht="31.2" x14ac:dyDescent="0.3">
      <c r="B17" s="32">
        <f>'REGIÃO 13 - HISTÓRICO'!B17</f>
        <v>0</v>
      </c>
      <c r="C17" s="76" t="s">
        <v>165</v>
      </c>
      <c r="D17" s="206" t="str">
        <f>_xlfn.XLOOKUP(tbResumoR13[[#This Row],[REGIÃO]],tbRegioes[Código Região],tbRegioes[Contrato],"")</f>
        <v>051.2024</v>
      </c>
      <c r="E17" s="25">
        <f>'REGIÃO 13 - HISTÓRICO'!C17</f>
        <v>86</v>
      </c>
      <c r="F17" s="74" t="s">
        <v>32</v>
      </c>
      <c r="G17" s="187" t="str">
        <f>'REGIÃO 13 - HISTÓRICO'!D17</f>
        <v>mar/abr</v>
      </c>
      <c r="H17" s="8">
        <v>253</v>
      </c>
      <c r="I17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AURORA DO TOCANTINS - LAVANDEIRA</v>
      </c>
      <c r="J17" s="74" t="s">
        <v>17</v>
      </c>
      <c r="K17" s="9">
        <f>'REGIÃO 13 - HISTÓRICO'!E17</f>
        <v>10233.94</v>
      </c>
      <c r="L17" s="8" t="str">
        <f>'REGIÃO 13 - HISTÓRICO'!I17</f>
        <v>Justificada</v>
      </c>
      <c r="M17" s="211"/>
    </row>
    <row r="18" spans="2:13" ht="31.2" x14ac:dyDescent="0.3">
      <c r="B18" s="32">
        <f>'REGIÃO 13 - HISTÓRICO'!B18</f>
        <v>0</v>
      </c>
      <c r="C18" s="76" t="s">
        <v>165</v>
      </c>
      <c r="D18" s="206" t="str">
        <f>_xlfn.XLOOKUP(tbResumoR13[[#This Row],[REGIÃO]],tbRegioes[Código Região],tbRegioes[Contrato],"")</f>
        <v>051.2024</v>
      </c>
      <c r="E18" s="25">
        <f>'REGIÃO 13 - HISTÓRICO'!C18</f>
        <v>87</v>
      </c>
      <c r="F18" s="74" t="s">
        <v>32</v>
      </c>
      <c r="G18" s="187" t="str">
        <f>'REGIÃO 13 - HISTÓRICO'!D18</f>
        <v>mar/abr</v>
      </c>
      <c r="H18" s="8">
        <v>254</v>
      </c>
      <c r="I18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COMBINADO - NOVO ALEGRE - DIVISA TO-GO</v>
      </c>
      <c r="J18" s="74" t="s">
        <v>17</v>
      </c>
      <c r="K18" s="9">
        <f>'REGIÃO 13 - HISTÓRICO'!E18</f>
        <v>7238.27</v>
      </c>
      <c r="L18" s="8" t="str">
        <f>'REGIÃO 13 - HISTÓRICO'!I18</f>
        <v>Concluída</v>
      </c>
      <c r="M18" s="211"/>
    </row>
    <row r="19" spans="2:13" ht="46.8" x14ac:dyDescent="0.3">
      <c r="B19" s="32">
        <f>'REGIÃO 13 - HISTÓRICO'!B19</f>
        <v>0</v>
      </c>
      <c r="C19" s="76" t="s">
        <v>165</v>
      </c>
      <c r="D19" s="206" t="str">
        <f>_xlfn.XLOOKUP(tbResumoR13[[#This Row],[REGIÃO]],tbRegioes[Código Região],tbRegioes[Contrato],"")</f>
        <v>051.2024</v>
      </c>
      <c r="E19" s="25">
        <f>'REGIÃO 13 - HISTÓRICO'!C19</f>
        <v>88</v>
      </c>
      <c r="F19" s="74" t="s">
        <v>32</v>
      </c>
      <c r="G19" s="187" t="str">
        <f>'REGIÃO 13 - HISTÓRICO'!D19</f>
        <v>mar/abr/mai</v>
      </c>
      <c r="H19" s="8">
        <v>271</v>
      </c>
      <c r="I19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TO-487 - TRECHO ENTR. TO-485 (MIMOSA DOS MARINS) - ENTR. BR-242</v>
      </c>
      <c r="J19" s="74" t="s">
        <v>606</v>
      </c>
      <c r="K19" s="9">
        <f>'REGIÃO 13 - HISTÓRICO'!E19</f>
        <v>193211.69</v>
      </c>
      <c r="L19" s="8" t="str">
        <f>'REGIÃO 13 - HISTÓRICO'!I19</f>
        <v>Concluída</v>
      </c>
      <c r="M19" s="211"/>
    </row>
    <row r="20" spans="2:13" ht="31.2" x14ac:dyDescent="0.3">
      <c r="B20" s="32">
        <f>'REGIÃO 13 - HISTÓRICO'!B20</f>
        <v>0</v>
      </c>
      <c r="C20" s="76" t="s">
        <v>165</v>
      </c>
      <c r="D20" s="206" t="str">
        <f>_xlfn.XLOOKUP(tbResumoR13[[#This Row],[REGIÃO]],tbRegioes[Código Região],tbRegioes[Contrato],"")</f>
        <v>051.2024</v>
      </c>
      <c r="E20" s="25">
        <f>'REGIÃO 13 - HISTÓRICO'!C20</f>
        <v>89</v>
      </c>
      <c r="F20" s="74" t="s">
        <v>32</v>
      </c>
      <c r="G20" s="187" t="str">
        <f>'REGIÃO 13 - HISTÓRICO'!D20</f>
        <v>mar/abr</v>
      </c>
      <c r="H20" s="8">
        <v>256</v>
      </c>
      <c r="I20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ENTR. TO-040 - PONTE ALTA DO BOM JESUS</v>
      </c>
      <c r="J20" s="74" t="s">
        <v>17</v>
      </c>
      <c r="K20" s="9">
        <f>'REGIÃO 13 - HISTÓRICO'!E20</f>
        <v>16279.15</v>
      </c>
      <c r="L20" s="8" t="str">
        <f>'REGIÃO 13 - HISTÓRICO'!I20</f>
        <v>Concluída</v>
      </c>
      <c r="M20" s="211"/>
    </row>
    <row r="21" spans="2:13" ht="31.2" x14ac:dyDescent="0.3">
      <c r="B21" s="32">
        <f>'REGIÃO 13 - HISTÓRICO'!B21</f>
        <v>0</v>
      </c>
      <c r="C21" s="76" t="s">
        <v>165</v>
      </c>
      <c r="D21" s="206" t="str">
        <f>_xlfn.XLOOKUP(tbResumoR13[[#This Row],[REGIÃO]],tbRegioes[Código Região],tbRegioes[Contrato],"")</f>
        <v>051.2024</v>
      </c>
      <c r="E21" s="25">
        <f>'REGIÃO 13 - HISTÓRICO'!C21</f>
        <v>90</v>
      </c>
      <c r="F21" s="74" t="s">
        <v>32</v>
      </c>
      <c r="G21" s="187" t="str">
        <f>'REGIÃO 13 - HISTÓRICO'!D21</f>
        <v>mar/abr</v>
      </c>
      <c r="H21" s="8">
        <v>257</v>
      </c>
      <c r="I21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LAVANDEIRA - COMBINADO</v>
      </c>
      <c r="J21" s="74" t="s">
        <v>17</v>
      </c>
      <c r="K21" s="9">
        <f>'REGIÃO 13 - HISTÓRICO'!E21</f>
        <v>3366.65</v>
      </c>
      <c r="L21" s="8" t="str">
        <f>'REGIÃO 13 - HISTÓRICO'!I21</f>
        <v>Concluída</v>
      </c>
      <c r="M21" s="211"/>
    </row>
    <row r="22" spans="2:13" ht="31.2" x14ac:dyDescent="0.3">
      <c r="B22" s="32">
        <f>'REGIÃO 13 - HISTÓRICO'!B22</f>
        <v>0</v>
      </c>
      <c r="C22" s="76" t="s">
        <v>165</v>
      </c>
      <c r="D22" s="206" t="str">
        <f>_xlfn.XLOOKUP(tbResumoR13[[#This Row],[REGIÃO]],tbRegioes[Código Região],tbRegioes[Contrato],"")</f>
        <v>051.2024</v>
      </c>
      <c r="E22" s="25">
        <f>'REGIÃO 13 - HISTÓRICO'!C22</f>
        <v>91</v>
      </c>
      <c r="F22" s="74" t="s">
        <v>32</v>
      </c>
      <c r="G22" s="187" t="str">
        <f>'REGIÃO 13 - HISTÓRICO'!D22</f>
        <v>mar/abr</v>
      </c>
      <c r="H22" s="8">
        <v>258</v>
      </c>
      <c r="I22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PONTE ALTA DO BOM JESUS - ENTR. BR-242(TAGUATINGA)</v>
      </c>
      <c r="J22" s="74" t="s">
        <v>17</v>
      </c>
      <c r="K22" s="9">
        <f>'REGIÃO 13 - HISTÓRICO'!E22</f>
        <v>15049.96</v>
      </c>
      <c r="L22" s="8" t="str">
        <f>'REGIÃO 13 - HISTÓRICO'!I22</f>
        <v>Concluída</v>
      </c>
      <c r="M22" s="211"/>
    </row>
    <row r="23" spans="2:13" ht="31.2" x14ac:dyDescent="0.3">
      <c r="B23" s="32">
        <f>'REGIÃO 13 - HISTÓRICO'!B23</f>
        <v>0</v>
      </c>
      <c r="C23" s="76" t="s">
        <v>165</v>
      </c>
      <c r="D23" s="206" t="str">
        <f>_xlfn.XLOOKUP(tbResumoR13[[#This Row],[REGIÃO]],tbRegioes[Código Região],tbRegioes[Contrato],"")</f>
        <v>051.2024</v>
      </c>
      <c r="E23" s="25">
        <f>'REGIÃO 13 - HISTÓRICO'!C23</f>
        <v>92</v>
      </c>
      <c r="F23" s="74" t="s">
        <v>33</v>
      </c>
      <c r="G23" s="187" t="str">
        <f>'REGIÃO 13 - HISTÓRICO'!D23</f>
        <v>abr/mai</v>
      </c>
      <c r="H23" s="8">
        <v>259</v>
      </c>
      <c r="I23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TAGUATINGA - AURORA DO TOCANTINS</v>
      </c>
      <c r="J23" s="74" t="s">
        <v>17</v>
      </c>
      <c r="K23" s="9">
        <f>'REGIÃO 13 - HISTÓRICO'!E23</f>
        <v>18985.419999999998</v>
      </c>
      <c r="L23" s="8" t="str">
        <f>'REGIÃO 13 - HISTÓRICO'!I23</f>
        <v>Concluída</v>
      </c>
      <c r="M23" s="211"/>
    </row>
    <row r="24" spans="2:13" ht="31.2" x14ac:dyDescent="0.3">
      <c r="B24" s="32">
        <f>'REGIÃO 13 - HISTÓRICO'!B24</f>
        <v>0</v>
      </c>
      <c r="C24" s="76" t="s">
        <v>165</v>
      </c>
      <c r="D24" s="206" t="str">
        <f>_xlfn.XLOOKUP(tbResumoR13[[#This Row],[REGIÃO]],tbRegioes[Código Região],tbRegioes[Contrato],"")</f>
        <v>051.2024</v>
      </c>
      <c r="E24" s="25">
        <f>'REGIÃO 13 - HISTÓRICO'!C24</f>
        <v>93</v>
      </c>
      <c r="F24" s="74" t="s">
        <v>32</v>
      </c>
      <c r="G24" s="187" t="str">
        <f>'REGIÃO 13 - HISTÓRICO'!D24</f>
        <v>mar/abr/mai</v>
      </c>
      <c r="H24" s="8">
        <v>280</v>
      </c>
      <c r="I24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Trecho não cadastrado</v>
      </c>
      <c r="J24" s="74" t="s">
        <v>73</v>
      </c>
      <c r="K24" s="9">
        <f>'REGIÃO 13 - HISTÓRICO'!E24</f>
        <v>796996.03</v>
      </c>
      <c r="L24" s="8" t="str">
        <f>'REGIÃO 13 - HISTÓRICO'!I24</f>
        <v>Concluída</v>
      </c>
      <c r="M24" s="211"/>
    </row>
    <row r="25" spans="2:13" ht="31.2" x14ac:dyDescent="0.3">
      <c r="B25" s="32">
        <f>'REGIÃO 13 - HISTÓRICO'!B25</f>
        <v>0</v>
      </c>
      <c r="C25" s="76" t="s">
        <v>165</v>
      </c>
      <c r="D25" s="206" t="str">
        <f>_xlfn.XLOOKUP(tbResumoR13[[#This Row],[REGIÃO]],tbRegioes[Código Região],tbRegioes[Contrato],"")</f>
        <v>051.2024</v>
      </c>
      <c r="E25" s="25">
        <f>'REGIÃO 13 - HISTÓRICO'!C25</f>
        <v>94</v>
      </c>
      <c r="F25" s="74" t="s">
        <v>32</v>
      </c>
      <c r="G25" s="187" t="str">
        <f>'REGIÃO 13 - HISTÓRICO'!D25</f>
        <v>mar/abr/mai</v>
      </c>
      <c r="H25" s="8">
        <v>279</v>
      </c>
      <c r="I25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Trecho não cadastrado</v>
      </c>
      <c r="J25" s="74" t="s">
        <v>73</v>
      </c>
      <c r="K25" s="9">
        <f>'REGIÃO 13 - HISTÓRICO'!E25</f>
        <v>983850.17</v>
      </c>
      <c r="L25" s="8" t="str">
        <f>'REGIÃO 13 - HISTÓRICO'!I25</f>
        <v>Concluída</v>
      </c>
      <c r="M25" s="211"/>
    </row>
    <row r="26" spans="2:13" ht="46.8" x14ac:dyDescent="0.3">
      <c r="B26" s="32">
        <f>'REGIÃO 13 - HISTÓRICO'!B26</f>
        <v>0</v>
      </c>
      <c r="C26" s="76" t="s">
        <v>165</v>
      </c>
      <c r="D26" s="206" t="str">
        <f>_xlfn.XLOOKUP(tbResumoR13[[#This Row],[REGIÃO]],tbRegioes[Código Região],tbRegioes[Contrato],"")</f>
        <v>051.2024</v>
      </c>
      <c r="E26" s="25">
        <f>'REGIÃO 13 - HISTÓRICO'!C26</f>
        <v>95</v>
      </c>
      <c r="F26" s="74" t="s">
        <v>32</v>
      </c>
      <c r="G26" s="187" t="str">
        <f>'REGIÃO 13 - HISTÓRICO'!D26</f>
        <v>mar/abr</v>
      </c>
      <c r="H26" s="8">
        <v>266</v>
      </c>
      <c r="I26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TO-476 - TRECHO RIO DA CONCEIÇÃO - DIANÓPOLIS</v>
      </c>
      <c r="J26" s="74" t="s">
        <v>653</v>
      </c>
      <c r="K26" s="9">
        <f>'REGIÃO 13 - HISTÓRICO'!E26</f>
        <v>32126.995999999999</v>
      </c>
      <c r="L26" s="8" t="str">
        <f>'REGIÃO 13 - HISTÓRICO'!I26</f>
        <v>Concluída</v>
      </c>
      <c r="M26" s="211"/>
    </row>
    <row r="27" spans="2:13" ht="46.8" x14ac:dyDescent="0.3">
      <c r="B27" s="32">
        <f>'REGIÃO 13 - HISTÓRICO'!B27</f>
        <v>0</v>
      </c>
      <c r="C27" s="76" t="s">
        <v>165</v>
      </c>
      <c r="D27" s="206" t="str">
        <f>_xlfn.XLOOKUP(tbResumoR13[[#This Row],[REGIÃO]],tbRegioes[Código Região],tbRegioes[Contrato],"")</f>
        <v>051.2024</v>
      </c>
      <c r="E27" s="25">
        <f>'REGIÃO 13 - HISTÓRICO'!C27</f>
        <v>96</v>
      </c>
      <c r="F27" s="74" t="s">
        <v>32</v>
      </c>
      <c r="G27" s="187" t="str">
        <f>'REGIÃO 13 - HISTÓRICO'!D27</f>
        <v>mar/abr/mai</v>
      </c>
      <c r="H27" s="8">
        <v>269</v>
      </c>
      <c r="I27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TO-477 - TRECHO ENTR. BR-010 (POVOADO BONFIM) - ALMAS</v>
      </c>
      <c r="J27" s="74" t="s">
        <v>100</v>
      </c>
      <c r="K27" s="9">
        <f>'REGIÃO 13 - HISTÓRICO'!E27</f>
        <v>197054.75</v>
      </c>
      <c r="L27" s="8" t="str">
        <f>'REGIÃO 13 - HISTÓRICO'!I27</f>
        <v>Concluída</v>
      </c>
      <c r="M27" s="211"/>
    </row>
    <row r="28" spans="2:13" ht="46.8" x14ac:dyDescent="0.3">
      <c r="B28" s="32">
        <f>'REGIÃO 13 - HISTÓRICO'!B28</f>
        <v>0</v>
      </c>
      <c r="C28" s="76" t="s">
        <v>165</v>
      </c>
      <c r="D28" s="206" t="str">
        <f>_xlfn.XLOOKUP(tbResumoR13[[#This Row],[REGIÃO]],tbRegioes[Código Região],tbRegioes[Contrato],"")</f>
        <v>051.2024</v>
      </c>
      <c r="E28" s="25">
        <f>'REGIÃO 13 - HISTÓRICO'!C28</f>
        <v>97</v>
      </c>
      <c r="F28" s="74" t="s">
        <v>32</v>
      </c>
      <c r="G28" s="187" t="str">
        <f>'REGIÃO 13 - HISTÓRICO'!D28</f>
        <v>mar/abr/mai</v>
      </c>
      <c r="H28" s="8">
        <v>265</v>
      </c>
      <c r="I28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TO-387 - TRECHO ENTR. TO-040 - TAIPAS DO TOCANTINS</v>
      </c>
      <c r="J28" s="74" t="s">
        <v>606</v>
      </c>
      <c r="K28" s="9">
        <f>'REGIÃO 13 - HISTÓRICO'!E28</f>
        <v>151527.19</v>
      </c>
      <c r="L28" s="8" t="str">
        <f>'REGIÃO 13 - HISTÓRICO'!I28</f>
        <v>Concluída</v>
      </c>
      <c r="M28" s="211"/>
    </row>
    <row r="29" spans="2:13" ht="31.2" x14ac:dyDescent="0.3">
      <c r="B29" s="32">
        <f>'REGIÃO 13 - HISTÓRICO'!B29</f>
        <v>0</v>
      </c>
      <c r="C29" s="76" t="s">
        <v>165</v>
      </c>
      <c r="D29" s="206" t="str">
        <f>_xlfn.XLOOKUP(tbResumoR13[[#This Row],[REGIÃO]],tbRegioes[Código Região],tbRegioes[Contrato],"")</f>
        <v>051.2024</v>
      </c>
      <c r="E29" s="25">
        <f>'REGIÃO 13 - HISTÓRICO'!C29</f>
        <v>98</v>
      </c>
      <c r="F29" s="74" t="s">
        <v>33</v>
      </c>
      <c r="G29" s="187" t="str">
        <f>'REGIÃO 13 - HISTÓRICO'!D29</f>
        <v>abr/mai/jun</v>
      </c>
      <c r="H29" s="8">
        <v>246</v>
      </c>
      <c r="I29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ALMAS - PORTO ALEGRE DO TOCANTINS</v>
      </c>
      <c r="J29" s="74" t="s">
        <v>41</v>
      </c>
      <c r="K29" s="9">
        <f>'REGIÃO 13 - HISTÓRICO'!E29</f>
        <v>10999.6</v>
      </c>
      <c r="L29" s="8" t="str">
        <f>'REGIÃO 13 - HISTÓRICO'!I29</f>
        <v>Concluída</v>
      </c>
      <c r="M29" s="211"/>
    </row>
    <row r="30" spans="2:13" ht="31.2" x14ac:dyDescent="0.3">
      <c r="B30" s="32">
        <f>'REGIÃO 13 - HISTÓRICO'!B30</f>
        <v>0</v>
      </c>
      <c r="C30" s="76" t="s">
        <v>165</v>
      </c>
      <c r="D30" s="206" t="str">
        <f>_xlfn.XLOOKUP(tbResumoR13[[#This Row],[REGIÃO]],tbRegioes[Código Região],tbRegioes[Contrato],"")</f>
        <v>051.2024</v>
      </c>
      <c r="E30" s="25">
        <f>'REGIÃO 13 - HISTÓRICO'!C30</f>
        <v>99</v>
      </c>
      <c r="F30" s="74" t="s">
        <v>33</v>
      </c>
      <c r="G30" s="187" t="str">
        <f>'REGIÃO 13 - HISTÓRICO'!D30</f>
        <v>abr/mai/jun</v>
      </c>
      <c r="H30" s="8">
        <v>247</v>
      </c>
      <c r="I30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DIANÓPOLIS - NOVO JARDIM</v>
      </c>
      <c r="J30" s="74" t="s">
        <v>41</v>
      </c>
      <c r="K30" s="9">
        <f>'REGIÃO 13 - HISTÓRICO'!E30</f>
        <v>50762.38</v>
      </c>
      <c r="L30" s="8" t="str">
        <f>'REGIÃO 13 - HISTÓRICO'!I30</f>
        <v>Concluída</v>
      </c>
      <c r="M30" s="211"/>
    </row>
    <row r="31" spans="2:13" ht="31.2" x14ac:dyDescent="0.3">
      <c r="B31" s="32">
        <f>'REGIÃO 13 - HISTÓRICO'!B31</f>
        <v>0</v>
      </c>
      <c r="C31" s="76" t="s">
        <v>165</v>
      </c>
      <c r="D31" s="206" t="str">
        <f>_xlfn.XLOOKUP(tbResumoR13[[#This Row],[REGIÃO]],tbRegioes[Código Região],tbRegioes[Contrato],"")</f>
        <v>051.2024</v>
      </c>
      <c r="E31" s="25">
        <f>'REGIÃO 13 - HISTÓRICO'!C31</f>
        <v>100</v>
      </c>
      <c r="F31" s="74" t="s">
        <v>33</v>
      </c>
      <c r="G31" s="187" t="str">
        <f>'REGIÃO 13 - HISTÓRICO'!D31</f>
        <v>abr/mai/jun</v>
      </c>
      <c r="H31" s="8">
        <v>249</v>
      </c>
      <c r="I31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PORTO ALEGRE DO TOCANTINS - DIANÓPOLIS</v>
      </c>
      <c r="J31" s="74" t="s">
        <v>41</v>
      </c>
      <c r="K31" s="9">
        <f>'REGIÃO 13 - HISTÓRICO'!E31</f>
        <v>148489.23000000001</v>
      </c>
      <c r="L31" s="8" t="str">
        <f>'REGIÃO 13 - HISTÓRICO'!I31</f>
        <v>Concluída</v>
      </c>
      <c r="M31" s="211"/>
    </row>
    <row r="32" spans="2:13" ht="31.2" x14ac:dyDescent="0.3">
      <c r="B32" s="32">
        <f>'REGIÃO 13 - HISTÓRICO'!B32</f>
        <v>0</v>
      </c>
      <c r="C32" s="76" t="s">
        <v>165</v>
      </c>
      <c r="D32" s="206" t="str">
        <f>_xlfn.XLOOKUP(tbResumoR13[[#This Row],[REGIÃO]],tbRegioes[Código Região],tbRegioes[Contrato],"")</f>
        <v>051.2024</v>
      </c>
      <c r="E32" s="25">
        <f>'REGIÃO 13 - HISTÓRICO'!C32</f>
        <v>101</v>
      </c>
      <c r="F32" s="74" t="s">
        <v>33</v>
      </c>
      <c r="G32" s="187" t="str">
        <f>'REGIÃO 13 - HISTÓRICO'!D32</f>
        <v>abr/mai/jun</v>
      </c>
      <c r="H32" s="8">
        <v>265</v>
      </c>
      <c r="I32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TO-387 - TRECHO ENTR. TO-040 - TAIPAS DO TOCANTINS</v>
      </c>
      <c r="J32" s="74" t="s">
        <v>591</v>
      </c>
      <c r="K32" s="9">
        <f>'REGIÃO 13 - HISTÓRICO'!E32</f>
        <v>0</v>
      </c>
      <c r="L32" s="8" t="str">
        <f>'REGIÃO 13 - HISTÓRICO'!I32</f>
        <v>Em elaboração</v>
      </c>
      <c r="M32" s="211"/>
    </row>
    <row r="33" spans="2:13" ht="31.2" x14ac:dyDescent="0.3">
      <c r="B33" s="32">
        <f>'REGIÃO 13 - HISTÓRICO'!B33</f>
        <v>0</v>
      </c>
      <c r="C33" s="76" t="s">
        <v>165</v>
      </c>
      <c r="D33" s="206" t="str">
        <f>_xlfn.XLOOKUP(tbResumoR13[[#This Row],[REGIÃO]],tbRegioes[Código Região],tbRegioes[Contrato],"")</f>
        <v>051.2024</v>
      </c>
      <c r="E33" s="25">
        <f>'REGIÃO 13 - HISTÓRICO'!C33</f>
        <v>102</v>
      </c>
      <c r="F33" s="74" t="s">
        <v>33</v>
      </c>
      <c r="G33" s="187" t="str">
        <f>'REGIÃO 13 - HISTÓRICO'!D33</f>
        <v>abr/mai/jun</v>
      </c>
      <c r="H33" s="8">
        <v>253</v>
      </c>
      <c r="I33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AURORA DO TOCANTINS - LAVANDEIRA</v>
      </c>
      <c r="J33" s="74" t="s">
        <v>41</v>
      </c>
      <c r="K33" s="9">
        <f>'REGIÃO 13 - HISTÓRICO'!E33</f>
        <v>276626.44</v>
      </c>
      <c r="L33" s="8" t="str">
        <f>'REGIÃO 13 - HISTÓRICO'!I33</f>
        <v>Concluída</v>
      </c>
      <c r="M33" s="211"/>
    </row>
    <row r="34" spans="2:13" ht="31.2" x14ac:dyDescent="0.3">
      <c r="B34" s="32">
        <f>'REGIÃO 13 - HISTÓRICO'!B34</f>
        <v>0</v>
      </c>
      <c r="C34" s="76" t="s">
        <v>165</v>
      </c>
      <c r="D34" s="206" t="str">
        <f>_xlfn.XLOOKUP(tbResumoR13[[#This Row],[REGIÃO]],tbRegioes[Código Região],tbRegioes[Contrato],"")</f>
        <v>051.2024</v>
      </c>
      <c r="E34" s="25">
        <f>'REGIÃO 13 - HISTÓRICO'!C34</f>
        <v>103</v>
      </c>
      <c r="F34" s="74" t="s">
        <v>33</v>
      </c>
      <c r="G34" s="187" t="str">
        <f>'REGIÃO 13 - HISTÓRICO'!D34</f>
        <v>abr/mai/jun</v>
      </c>
      <c r="H34" s="8">
        <v>254</v>
      </c>
      <c r="I34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COMBINADO - NOVO ALEGRE - DIVISA TO-GO</v>
      </c>
      <c r="J34" s="74" t="s">
        <v>41</v>
      </c>
      <c r="K34" s="9">
        <f>'REGIÃO 13 - HISTÓRICO'!E34</f>
        <v>63466.15</v>
      </c>
      <c r="L34" s="8" t="str">
        <f>'REGIÃO 13 - HISTÓRICO'!I34</f>
        <v>Concluída</v>
      </c>
      <c r="M34" s="211"/>
    </row>
    <row r="35" spans="2:13" ht="31.2" x14ac:dyDescent="0.3">
      <c r="B35" s="32">
        <f>'REGIÃO 13 - HISTÓRICO'!B35</f>
        <v>0</v>
      </c>
      <c r="C35" s="76" t="s">
        <v>165</v>
      </c>
      <c r="D35" s="206" t="str">
        <f>_xlfn.XLOOKUP(tbResumoR13[[#This Row],[REGIÃO]],tbRegioes[Código Região],tbRegioes[Contrato],"")</f>
        <v>051.2024</v>
      </c>
      <c r="E35" s="25">
        <f>'REGIÃO 13 - HISTÓRICO'!C35</f>
        <v>104</v>
      </c>
      <c r="F35" s="74" t="s">
        <v>33</v>
      </c>
      <c r="G35" s="187" t="str">
        <f>'REGIÃO 13 - HISTÓRICO'!D35</f>
        <v>abr/mai/jun</v>
      </c>
      <c r="H35" s="8">
        <v>256</v>
      </c>
      <c r="I35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ENTR. TO-040 - PONTE ALTA DO BOM JESUS</v>
      </c>
      <c r="J35" s="74" t="s">
        <v>41</v>
      </c>
      <c r="K35" s="9">
        <f>'REGIÃO 13 - HISTÓRICO'!E35</f>
        <v>248930.16</v>
      </c>
      <c r="L35" s="8" t="str">
        <f>'REGIÃO 13 - HISTÓRICO'!I35</f>
        <v>Concluída</v>
      </c>
      <c r="M35" s="211"/>
    </row>
    <row r="36" spans="2:13" ht="31.2" x14ac:dyDescent="0.3">
      <c r="B36" s="32">
        <f>'REGIÃO 13 - HISTÓRICO'!B36</f>
        <v>0</v>
      </c>
      <c r="C36" s="76" t="s">
        <v>165</v>
      </c>
      <c r="D36" s="206" t="str">
        <f>_xlfn.XLOOKUP(tbResumoR13[[#This Row],[REGIÃO]],tbRegioes[Código Região],tbRegioes[Contrato],"")</f>
        <v>051.2024</v>
      </c>
      <c r="E36" s="25">
        <f>'REGIÃO 13 - HISTÓRICO'!C36</f>
        <v>105</v>
      </c>
      <c r="F36" s="74" t="s">
        <v>33</v>
      </c>
      <c r="G36" s="187" t="str">
        <f>'REGIÃO 13 - HISTÓRICO'!D36</f>
        <v>abr/mai/jun</v>
      </c>
      <c r="H36" s="8">
        <v>257</v>
      </c>
      <c r="I36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LAVANDEIRA - COMBINADO</v>
      </c>
      <c r="J36" s="74" t="s">
        <v>41</v>
      </c>
      <c r="K36" s="9">
        <f>'REGIÃO 13 - HISTÓRICO'!E36</f>
        <v>100161.65</v>
      </c>
      <c r="L36" s="8" t="str">
        <f>'REGIÃO 13 - HISTÓRICO'!I36</f>
        <v>Em elaboração</v>
      </c>
      <c r="M36" s="211"/>
    </row>
    <row r="37" spans="2:13" ht="31.2" x14ac:dyDescent="0.3">
      <c r="B37" s="32">
        <f>'REGIÃO 13 - HISTÓRICO'!B37</f>
        <v>0</v>
      </c>
      <c r="C37" s="76" t="s">
        <v>165</v>
      </c>
      <c r="D37" s="206" t="str">
        <f>_xlfn.XLOOKUP(tbResumoR13[[#This Row],[REGIÃO]],tbRegioes[Código Região],tbRegioes[Contrato],"")</f>
        <v>051.2024</v>
      </c>
      <c r="E37" s="25">
        <f>'REGIÃO 13 - HISTÓRICO'!C37</f>
        <v>106</v>
      </c>
      <c r="F37" s="74" t="s">
        <v>33</v>
      </c>
      <c r="G37" s="187" t="str">
        <f>'REGIÃO 13 - HISTÓRICO'!D37</f>
        <v>abr</v>
      </c>
      <c r="H37" s="8">
        <v>259</v>
      </c>
      <c r="I37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TAGUATINGA - AURORA DO TOCANTINS</v>
      </c>
      <c r="J37" s="74" t="s">
        <v>41</v>
      </c>
      <c r="K37" s="9">
        <f>'REGIÃO 13 - HISTÓRICO'!E37</f>
        <v>2654.59</v>
      </c>
      <c r="L37" s="8" t="str">
        <f>'REGIÃO 13 - HISTÓRICO'!I37</f>
        <v>Concluída</v>
      </c>
      <c r="M37" s="211"/>
    </row>
    <row r="38" spans="2:13" ht="31.2" x14ac:dyDescent="0.3">
      <c r="B38" s="32">
        <f>'REGIÃO 13 - HISTÓRICO'!B38</f>
        <v>0</v>
      </c>
      <c r="C38" s="76" t="s">
        <v>165</v>
      </c>
      <c r="D38" s="206" t="str">
        <f>_xlfn.XLOOKUP(tbResumoR13[[#This Row],[REGIÃO]],tbRegioes[Código Região],tbRegioes[Contrato],"")</f>
        <v>051.2024</v>
      </c>
      <c r="E38" s="25">
        <f>'REGIÃO 13 - HISTÓRICO'!C38</f>
        <v>107</v>
      </c>
      <c r="F38" s="74" t="s">
        <v>33</v>
      </c>
      <c r="G38" s="187" t="str">
        <f>'REGIÃO 13 - HISTÓRICO'!D38</f>
        <v>abr/mai/jun</v>
      </c>
      <c r="H38" s="8">
        <v>266</v>
      </c>
      <c r="I38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TO-476 - TRECHO RIO DA CONCEIÇÃO - DIANÓPOLIS</v>
      </c>
      <c r="J38" s="74" t="s">
        <v>41</v>
      </c>
      <c r="K38" s="9">
        <f>'REGIÃO 13 - HISTÓRICO'!E38</f>
        <v>56625.7</v>
      </c>
      <c r="L38" s="8" t="str">
        <f>'REGIÃO 13 - HISTÓRICO'!I38</f>
        <v>Concluída</v>
      </c>
      <c r="M38" s="211"/>
    </row>
    <row r="39" spans="2:13" ht="31.2" x14ac:dyDescent="0.3">
      <c r="B39" s="32">
        <f>'REGIÃO 13 - HISTÓRICO'!B39</f>
        <v>0</v>
      </c>
      <c r="C39" s="76" t="s">
        <v>165</v>
      </c>
      <c r="D39" s="206" t="str">
        <f>_xlfn.XLOOKUP(tbResumoR13[[#This Row],[REGIÃO]],tbRegioes[Código Região],tbRegioes[Contrato],"")</f>
        <v>051.2024</v>
      </c>
      <c r="E39" s="25">
        <f>'REGIÃO 13 - HISTÓRICO'!C39</f>
        <v>108</v>
      </c>
      <c r="F39" s="74" t="s">
        <v>33</v>
      </c>
      <c r="G39" s="187" t="str">
        <f>'REGIÃO 13 - HISTÓRICO'!D39</f>
        <v>abr/mai/jun</v>
      </c>
      <c r="H39" s="8">
        <v>248</v>
      </c>
      <c r="I39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NOVO JARDIM - DIVISA TO-BA</v>
      </c>
      <c r="J39" s="74" t="s">
        <v>41</v>
      </c>
      <c r="K39" s="9">
        <f>'REGIÃO 13 - HISTÓRICO'!E39</f>
        <v>116153.36</v>
      </c>
      <c r="L39" s="8" t="str">
        <f>'REGIÃO 13 - HISTÓRICO'!I39</f>
        <v>Concluída</v>
      </c>
      <c r="M39" s="211"/>
    </row>
    <row r="40" spans="2:13" ht="46.8" x14ac:dyDescent="0.3">
      <c r="B40" s="32">
        <f>'REGIÃO 13 - HISTÓRICO'!B40</f>
        <v>0</v>
      </c>
      <c r="C40" s="76" t="s">
        <v>165</v>
      </c>
      <c r="D40" s="206" t="str">
        <f>_xlfn.XLOOKUP(tbResumoR13[[#This Row],[REGIÃO]],tbRegioes[Código Região],tbRegioes[Contrato],"")</f>
        <v>051.2024</v>
      </c>
      <c r="E40" s="25">
        <f>'REGIÃO 13 - HISTÓRICO'!C40</f>
        <v>109</v>
      </c>
      <c r="F40" s="74" t="s">
        <v>33</v>
      </c>
      <c r="G40" s="187" t="str">
        <f>'REGIÃO 13 - HISTÓRICO'!D40</f>
        <v>abr/mai/jun</v>
      </c>
      <c r="H40" s="8">
        <v>272</v>
      </c>
      <c r="I40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TO-497 - TRECHO ENTR. BR-242 - ENTR. TO-296 (POVOADO JACARÉ)</v>
      </c>
      <c r="J40" s="74" t="s">
        <v>606</v>
      </c>
      <c r="K40" s="9">
        <f>'REGIÃO 13 - HISTÓRICO'!E40</f>
        <v>606290.87</v>
      </c>
      <c r="L40" s="8" t="str">
        <f>'REGIÃO 13 - HISTÓRICO'!I40</f>
        <v>Concluída</v>
      </c>
      <c r="M40" s="211"/>
    </row>
    <row r="41" spans="2:13" ht="31.2" x14ac:dyDescent="0.3">
      <c r="B41" s="32">
        <f>'REGIÃO 13 - HISTÓRICO'!B41</f>
        <v>0</v>
      </c>
      <c r="C41" s="76" t="s">
        <v>165</v>
      </c>
      <c r="D41" s="206" t="str">
        <f>_xlfn.XLOOKUP(tbResumoR13[[#This Row],[REGIÃO]],tbRegioes[Código Região],tbRegioes[Contrato],"")</f>
        <v>051.2024</v>
      </c>
      <c r="E41" s="25">
        <f>'REGIÃO 13 - HISTÓRICO'!C41</f>
        <v>110</v>
      </c>
      <c r="F41" s="74" t="s">
        <v>33</v>
      </c>
      <c r="G41" s="187" t="str">
        <f>'REGIÃO 13 - HISTÓRICO'!D41</f>
        <v>abr/mai/jun</v>
      </c>
      <c r="H41" s="8">
        <v>279</v>
      </c>
      <c r="I41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Trecho não cadastrado</v>
      </c>
      <c r="J41" s="74" t="s">
        <v>73</v>
      </c>
      <c r="K41" s="9">
        <f>'REGIÃO 13 - HISTÓRICO'!E41</f>
        <v>387768.02</v>
      </c>
      <c r="L41" s="8" t="str">
        <f>'REGIÃO 13 - HISTÓRICO'!I41</f>
        <v>Concluída</v>
      </c>
      <c r="M41" s="211"/>
    </row>
    <row r="42" spans="2:13" ht="31.2" x14ac:dyDescent="0.3">
      <c r="B42" s="32">
        <f>'REGIÃO 13 - HISTÓRICO'!B42</f>
        <v>0</v>
      </c>
      <c r="C42" s="76" t="s">
        <v>165</v>
      </c>
      <c r="D42" s="206" t="str">
        <f>_xlfn.XLOOKUP(tbResumoR13[[#This Row],[REGIÃO]],tbRegioes[Código Região],tbRegioes[Contrato],"")</f>
        <v>051.2024</v>
      </c>
      <c r="E42" s="25">
        <f>'REGIÃO 13 - HISTÓRICO'!C42</f>
        <v>111</v>
      </c>
      <c r="F42" s="74" t="s">
        <v>33</v>
      </c>
      <c r="G42" s="187" t="str">
        <f>'REGIÃO 13 - HISTÓRICO'!D42</f>
        <v>abr/mai/jun</v>
      </c>
      <c r="H42" s="8">
        <v>280</v>
      </c>
      <c r="I42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Trecho não cadastrado</v>
      </c>
      <c r="J42" s="74" t="s">
        <v>73</v>
      </c>
      <c r="K42" s="9">
        <f>'REGIÃO 13 - HISTÓRICO'!E42</f>
        <v>387352.27</v>
      </c>
      <c r="L42" s="8" t="str">
        <f>'REGIÃO 13 - HISTÓRICO'!I42</f>
        <v>Concluída</v>
      </c>
      <c r="M42" s="211"/>
    </row>
    <row r="43" spans="2:13" ht="31.2" x14ac:dyDescent="0.3">
      <c r="B43" s="32">
        <f>'REGIÃO 13 - HISTÓRICO'!B43</f>
        <v>0</v>
      </c>
      <c r="C43" s="76" t="s">
        <v>165</v>
      </c>
      <c r="D43" s="206" t="str">
        <f>_xlfn.XLOOKUP(tbResumoR13[[#This Row],[REGIÃO]],tbRegioes[Código Região],tbRegioes[Contrato],"")</f>
        <v>051.2024</v>
      </c>
      <c r="E43" s="25">
        <f>'REGIÃO 13 - HISTÓRICO'!C43</f>
        <v>112</v>
      </c>
      <c r="F43" s="208" t="s">
        <v>34</v>
      </c>
      <c r="G43" s="187" t="str">
        <f>'REGIÃO 13 - HISTÓRICO'!D43</f>
        <v>mai/jun/jul</v>
      </c>
      <c r="H43" s="8">
        <v>250</v>
      </c>
      <c r="I43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ARRAIAS - DIVISA TO-GO</v>
      </c>
      <c r="J43" s="74" t="s">
        <v>601</v>
      </c>
      <c r="K43" s="9">
        <f>'REGIÃO 13 - HISTÓRICO'!E43</f>
        <v>7321.94</v>
      </c>
      <c r="L43" s="8" t="str">
        <f>'REGIÃO 13 - HISTÓRICO'!I43</f>
        <v>Concluída</v>
      </c>
      <c r="M43" s="211"/>
    </row>
    <row r="44" spans="2:13" ht="31.2" x14ac:dyDescent="0.3">
      <c r="B44" s="32">
        <f>'REGIÃO 13 - HISTÓRICO'!B44</f>
        <v>0</v>
      </c>
      <c r="C44" s="76" t="s">
        <v>165</v>
      </c>
      <c r="D44" s="206" t="str">
        <f>_xlfn.XLOOKUP(tbResumoR13[[#This Row],[REGIÃO]],tbRegioes[Código Região],tbRegioes[Contrato],"")</f>
        <v>051.2024</v>
      </c>
      <c r="E44" s="25">
        <f>'REGIÃO 13 - HISTÓRICO'!C44</f>
        <v>113</v>
      </c>
      <c r="F44" s="208" t="s">
        <v>34</v>
      </c>
      <c r="G44" s="187" t="str">
        <f>'REGIÃO 13 - HISTÓRICO'!D44</f>
        <v>mai/jun/jul</v>
      </c>
      <c r="H44" s="8">
        <v>252</v>
      </c>
      <c r="I44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ENTR. BR-010 (POVOADO PRÍNCIPE) - CONCEIÇÃO DO TOCANTINS</v>
      </c>
      <c r="J44" s="74" t="s">
        <v>601</v>
      </c>
      <c r="K44" s="9">
        <f>'REGIÃO 13 - HISTÓRICO'!E44</f>
        <v>20572.21</v>
      </c>
      <c r="L44" s="8" t="str">
        <f>'REGIÃO 13 - HISTÓRICO'!I44</f>
        <v>Concluída</v>
      </c>
      <c r="M44" s="211"/>
    </row>
    <row r="45" spans="2:13" ht="31.2" x14ac:dyDescent="0.3">
      <c r="B45" s="32">
        <f>'REGIÃO 13 - HISTÓRICO'!B45</f>
        <v>0</v>
      </c>
      <c r="C45" s="76" t="s">
        <v>165</v>
      </c>
      <c r="D45" s="206" t="str">
        <f>_xlfn.XLOOKUP(tbResumoR13[[#This Row],[REGIÃO]],tbRegioes[Código Região],tbRegioes[Contrato],"")</f>
        <v>051.2024</v>
      </c>
      <c r="E45" s="25">
        <f>'REGIÃO 13 - HISTÓRICO'!C45</f>
        <v>114</v>
      </c>
      <c r="F45" s="208" t="s">
        <v>34</v>
      </c>
      <c r="G45" s="187" t="str">
        <f>'REGIÃO 13 - HISTÓRICO'!D45</f>
        <v>mai/jun/jul</v>
      </c>
      <c r="H45" s="8">
        <v>251</v>
      </c>
      <c r="I45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CONCEIÇÃO DO TOCANTINS - ARRAIAS</v>
      </c>
      <c r="J45" s="74" t="s">
        <v>601</v>
      </c>
      <c r="K45" s="9">
        <f>'REGIÃO 13 - HISTÓRICO'!E45</f>
        <v>47211.18</v>
      </c>
      <c r="L45" s="8" t="str">
        <f>'REGIÃO 13 - HISTÓRICO'!I45</f>
        <v>Concluída</v>
      </c>
      <c r="M45" s="211"/>
    </row>
    <row r="46" spans="2:13" ht="31.2" x14ac:dyDescent="0.3">
      <c r="B46" s="32">
        <f>'REGIÃO 13 - HISTÓRICO'!B31</f>
        <v>0</v>
      </c>
      <c r="C46" s="76" t="s">
        <v>165</v>
      </c>
      <c r="D46" s="206" t="str">
        <f>_xlfn.XLOOKUP(tbResumoR13[[#This Row],[REGIÃO]],tbRegioes[Código Região],tbRegioes[Contrato],"")</f>
        <v>051.2024</v>
      </c>
      <c r="E46" s="25">
        <f>'REGIÃO 13 - HISTÓRICO'!C46</f>
        <v>115</v>
      </c>
      <c r="F46" s="208" t="s">
        <v>34</v>
      </c>
      <c r="G46" s="187" t="str">
        <f>'REGIÃO 13 - HISTÓRICO'!D46</f>
        <v>mai/jun/jul</v>
      </c>
      <c r="H46" s="8">
        <v>254</v>
      </c>
      <c r="I46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COMBINADO - NOVO ALEGRE - DIVISA TO-GO</v>
      </c>
      <c r="J46" s="74" t="s">
        <v>601</v>
      </c>
      <c r="K46" s="9">
        <f>'REGIÃO 13 - HISTÓRICO'!E46</f>
        <v>7303.59</v>
      </c>
      <c r="L46" s="8" t="str">
        <f>'REGIÃO 13 - HISTÓRICO'!I46</f>
        <v>Concluída</v>
      </c>
      <c r="M46" s="211"/>
    </row>
    <row r="47" spans="2:13" ht="31.2" x14ac:dyDescent="0.3">
      <c r="B47" s="32">
        <f>'REGIÃO 13 - HISTÓRICO'!B32</f>
        <v>0</v>
      </c>
      <c r="C47" s="76" t="s">
        <v>165</v>
      </c>
      <c r="D47" s="206" t="str">
        <f>_xlfn.XLOOKUP(tbResumoR13[[#This Row],[REGIÃO]],tbRegioes[Código Região],tbRegioes[Contrato],"")</f>
        <v>051.2024</v>
      </c>
      <c r="E47" s="25">
        <f>'REGIÃO 13 - HISTÓRICO'!C47</f>
        <v>116</v>
      </c>
      <c r="F47" s="208" t="s">
        <v>34</v>
      </c>
      <c r="G47" s="187" t="str">
        <f>'REGIÃO 13 - HISTÓRICO'!D47</f>
        <v>mai/jun</v>
      </c>
      <c r="H47" s="8">
        <v>257</v>
      </c>
      <c r="I47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LAVANDEIRA - COMBINADO</v>
      </c>
      <c r="J47" s="74" t="s">
        <v>601</v>
      </c>
      <c r="K47" s="9">
        <f>'REGIÃO 13 - HISTÓRICO'!E47</f>
        <v>2939.67</v>
      </c>
      <c r="L47" s="8" t="str">
        <f>'REGIÃO 13 - HISTÓRICO'!I47</f>
        <v>Concluída</v>
      </c>
      <c r="M47" s="211"/>
    </row>
    <row r="48" spans="2:13" ht="31.2" x14ac:dyDescent="0.3">
      <c r="B48" s="32">
        <f>'REGIÃO 13 - HISTÓRICO'!B33</f>
        <v>0</v>
      </c>
      <c r="C48" s="76" t="s">
        <v>165</v>
      </c>
      <c r="D48" s="206" t="str">
        <f>_xlfn.XLOOKUP(tbResumoR13[[#This Row],[REGIÃO]],tbRegioes[Código Região],tbRegioes[Contrato],"")</f>
        <v>051.2024</v>
      </c>
      <c r="E48" s="25">
        <f>'REGIÃO 13 - HISTÓRICO'!C48</f>
        <v>117</v>
      </c>
      <c r="F48" s="208" t="s">
        <v>34</v>
      </c>
      <c r="G48" s="187" t="str">
        <f>'REGIÃO 13 - HISTÓRICO'!D48</f>
        <v>mai/jun/jul</v>
      </c>
      <c r="H48" s="8">
        <v>249</v>
      </c>
      <c r="I48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PORTO ALEGRE DO TOCANTINS - DIANÓPOLIS</v>
      </c>
      <c r="J48" s="74" t="s">
        <v>601</v>
      </c>
      <c r="K48" s="9">
        <f>'REGIÃO 13 - HISTÓRICO'!E48</f>
        <v>15577.24</v>
      </c>
      <c r="L48" s="8" t="str">
        <f>'REGIÃO 13 - HISTÓRICO'!I48</f>
        <v>Concluída</v>
      </c>
      <c r="M48" s="211"/>
    </row>
    <row r="49" spans="2:13" ht="31.2" x14ac:dyDescent="0.3">
      <c r="B49" s="32">
        <f>'REGIÃO 13 - HISTÓRICO'!B34</f>
        <v>0</v>
      </c>
      <c r="C49" s="76" t="s">
        <v>165</v>
      </c>
      <c r="D49" s="206" t="str">
        <f>_xlfn.XLOOKUP(tbResumoR13[[#This Row],[REGIÃO]],tbRegioes[Código Região],tbRegioes[Contrato],"")</f>
        <v>051.2024</v>
      </c>
      <c r="E49" s="25">
        <f>'REGIÃO 13 - HISTÓRICO'!C49</f>
        <v>118</v>
      </c>
      <c r="F49" s="208" t="s">
        <v>34</v>
      </c>
      <c r="G49" s="187" t="str">
        <f>'REGIÃO 13 - HISTÓRICO'!D49</f>
        <v>mai/jun/jul</v>
      </c>
      <c r="H49" s="8">
        <v>246</v>
      </c>
      <c r="I49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ALMAS - PORTO ALEGRE DO TOCANTINS</v>
      </c>
      <c r="J49" s="74" t="s">
        <v>597</v>
      </c>
      <c r="K49" s="9">
        <f>'REGIÃO 13 - HISTÓRICO'!E49</f>
        <v>59112.09</v>
      </c>
      <c r="L49" s="8" t="str">
        <f>'REGIÃO 13 - HISTÓRICO'!I49</f>
        <v>Concluída</v>
      </c>
      <c r="M49" s="211"/>
    </row>
    <row r="50" spans="2:13" ht="31.2" x14ac:dyDescent="0.3">
      <c r="B50" s="32">
        <f>'REGIÃO 13 - HISTÓRICO'!B35</f>
        <v>0</v>
      </c>
      <c r="C50" s="76" t="s">
        <v>165</v>
      </c>
      <c r="D50" s="206" t="str">
        <f>_xlfn.XLOOKUP(tbResumoR13[[#This Row],[REGIÃO]],tbRegioes[Código Região],tbRegioes[Contrato],"")</f>
        <v>051.2024</v>
      </c>
      <c r="E50" s="25">
        <f>'REGIÃO 13 - HISTÓRICO'!C50</f>
        <v>119</v>
      </c>
      <c r="F50" s="208" t="s">
        <v>34</v>
      </c>
      <c r="G50" s="187" t="str">
        <f>'REGIÃO 13 - HISTÓRICO'!D50</f>
        <v>mai/jun/jul</v>
      </c>
      <c r="H50" s="8">
        <v>247</v>
      </c>
      <c r="I50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DIANÓPOLIS - NOVO JARDIM</v>
      </c>
      <c r="J50" s="74" t="s">
        <v>108</v>
      </c>
      <c r="K50" s="9">
        <f>'REGIÃO 13 - HISTÓRICO'!E50</f>
        <v>175856.52</v>
      </c>
      <c r="L50" s="8" t="str">
        <f>'REGIÃO 13 - HISTÓRICO'!I50</f>
        <v>Concluída</v>
      </c>
      <c r="M50" s="211"/>
    </row>
    <row r="51" spans="2:13" ht="78" x14ac:dyDescent="0.3">
      <c r="B51" s="32">
        <f>'REGIÃO 13 - HISTÓRICO'!B26</f>
        <v>0</v>
      </c>
      <c r="C51" s="76" t="s">
        <v>165</v>
      </c>
      <c r="D51" s="206" t="str">
        <f>_xlfn.XLOOKUP(tbResumoR13[[#This Row],[REGIÃO]],tbRegioes[Código Região],tbRegioes[Contrato],"")</f>
        <v>051.2024</v>
      </c>
      <c r="E51" s="25">
        <f>'REGIÃO 13 - HISTÓRICO'!C51</f>
        <v>120</v>
      </c>
      <c r="F51" s="208" t="s">
        <v>35</v>
      </c>
      <c r="G51" s="187" t="str">
        <f>'REGIÃO 13 - HISTÓRICO'!D51</f>
        <v>jun/jul/ago</v>
      </c>
      <c r="H51" s="8">
        <v>251</v>
      </c>
      <c r="I51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CONCEIÇÃO DO TOCANTINS - ARRAIAS</v>
      </c>
      <c r="J51" s="74" t="s">
        <v>654</v>
      </c>
      <c r="K51" s="9">
        <f>'REGIÃO 13 - HISTÓRICO'!E51</f>
        <v>87575.96</v>
      </c>
      <c r="L51" s="8" t="str">
        <f>'REGIÃO 13 - HISTÓRICO'!I51</f>
        <v>Concluída</v>
      </c>
      <c r="M51" s="211"/>
    </row>
    <row r="52" spans="2:13" ht="78" x14ac:dyDescent="0.3">
      <c r="B52" s="32">
        <f>'REGIÃO 13 - HISTÓRICO'!B73</f>
        <v>70</v>
      </c>
      <c r="C52" s="76" t="s">
        <v>165</v>
      </c>
      <c r="D52" s="26" t="str">
        <f>_xlfn.XLOOKUP(tbResumoR13[[#This Row],[REGIÃO]],tbRegioes[Código Região],tbRegioes[Contrato],"")</f>
        <v>051.2024</v>
      </c>
      <c r="E52" s="25">
        <f>'REGIÃO 13 - HISTÓRICO'!C52</f>
        <v>121</v>
      </c>
      <c r="F52" s="208" t="s">
        <v>34</v>
      </c>
      <c r="G52" s="187" t="str">
        <f>'REGIÃO 13 - HISTÓRICO'!D52</f>
        <v>mai/jun/jul</v>
      </c>
      <c r="H52" s="8">
        <v>266</v>
      </c>
      <c r="I52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TO-476 - TRECHO RIO DA CONCEIÇÃO - DIANÓPOLIS</v>
      </c>
      <c r="J52" s="74" t="s">
        <v>655</v>
      </c>
      <c r="K52" s="9">
        <f>'REGIÃO 13 - HISTÓRICO'!E52</f>
        <v>100565.04</v>
      </c>
      <c r="L52" s="8" t="str">
        <f>'REGIÃO 13 - HISTÓRICO'!I52</f>
        <v>Concluída</v>
      </c>
      <c r="M52" s="33"/>
    </row>
    <row r="53" spans="2:13" ht="46.8" x14ac:dyDescent="0.3">
      <c r="B53" s="32">
        <f>'REGIÃO 13 - HISTÓRICO'!B74</f>
        <v>71</v>
      </c>
      <c r="C53" s="76" t="s">
        <v>165</v>
      </c>
      <c r="D53" s="26" t="str">
        <f>_xlfn.XLOOKUP(tbResumoR13[[#This Row],[REGIÃO]],tbRegioes[Código Região],tbRegioes[Contrato],"")</f>
        <v>051.2024</v>
      </c>
      <c r="E53" s="25">
        <f>'REGIÃO 13 - HISTÓRICO'!C53</f>
        <v>122</v>
      </c>
      <c r="F53" s="208" t="s">
        <v>34</v>
      </c>
      <c r="G53" s="187" t="str">
        <f>'REGIÃO 13 - HISTÓRICO'!D53</f>
        <v>mai/jun/jul</v>
      </c>
      <c r="H53" s="8">
        <v>265</v>
      </c>
      <c r="I53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TO-387 - TRECHO ENTR. TO-040 - TAIPAS DO TOCANTINS</v>
      </c>
      <c r="J53" s="74" t="s">
        <v>656</v>
      </c>
      <c r="K53" s="9">
        <f>'REGIÃO 13 - HISTÓRICO'!E53</f>
        <v>1195633.1000000001</v>
      </c>
      <c r="L53" s="8" t="str">
        <f>'REGIÃO 13 - HISTÓRICO'!I53</f>
        <v>Concluída</v>
      </c>
      <c r="M53" s="33"/>
    </row>
    <row r="54" spans="2:13" ht="46.8" x14ac:dyDescent="0.3">
      <c r="B54" s="32">
        <f>'REGIÃO 13 - HISTÓRICO'!B83</f>
        <v>80</v>
      </c>
      <c r="C54" s="76" t="s">
        <v>165</v>
      </c>
      <c r="D54" s="26" t="str">
        <f>_xlfn.XLOOKUP(tbResumoR13[[#This Row],[REGIÃO]],tbRegioes[Código Região],tbRegioes[Contrato],"")</f>
        <v>051.2024</v>
      </c>
      <c r="E54" s="25">
        <f>'REGIÃO 13 - HISTÓRICO'!C54</f>
        <v>123</v>
      </c>
      <c r="F54" s="208" t="s">
        <v>34</v>
      </c>
      <c r="G54" s="187" t="str">
        <f>'REGIÃO 13 - HISTÓRICO'!D54</f>
        <v>mai/jun/jul</v>
      </c>
      <c r="H54" s="8">
        <v>245</v>
      </c>
      <c r="I54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ENTR. TO-369 - ENTR. TO-280 (ALMAS)</v>
      </c>
      <c r="J54" s="74" t="s">
        <v>100</v>
      </c>
      <c r="K54" s="9">
        <f>'REGIÃO 13 - HISTÓRICO'!E54</f>
        <v>756922.17</v>
      </c>
      <c r="L54" s="8" t="str">
        <f>'REGIÃO 13 - HISTÓRICO'!I54</f>
        <v>Concluída</v>
      </c>
      <c r="M54" s="33"/>
    </row>
    <row r="55" spans="2:13" ht="31.2" x14ac:dyDescent="0.3">
      <c r="B55" s="32">
        <f>'REGIÃO 13 - HISTÓRICO'!B55</f>
        <v>0</v>
      </c>
      <c r="C55" s="76" t="s">
        <v>165</v>
      </c>
      <c r="D55" s="206" t="str">
        <f>_xlfn.XLOOKUP(tbResumoR13[[#This Row],[REGIÃO]],tbRegioes[Código Região],tbRegioes[Contrato],"")</f>
        <v>051.2024</v>
      </c>
      <c r="E55" s="25">
        <f>'REGIÃO 13 - HISTÓRICO'!C55</f>
        <v>124</v>
      </c>
      <c r="F55" s="208" t="s">
        <v>35</v>
      </c>
      <c r="G55" s="187" t="str">
        <f>'REGIÃO 13 - HISTÓRICO'!D55</f>
        <v>jun/jul/ago</v>
      </c>
      <c r="H55" s="8">
        <v>247</v>
      </c>
      <c r="I55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DIANÓPOLIS - NOVO JARDIM</v>
      </c>
      <c r="J55" s="74" t="s">
        <v>598</v>
      </c>
      <c r="K55" s="9">
        <f>'REGIÃO 13 - HISTÓRICO'!E55</f>
        <v>149397.29</v>
      </c>
      <c r="L55" s="8" t="str">
        <f>'REGIÃO 13 - HISTÓRICO'!I55</f>
        <v>Concluída</v>
      </c>
      <c r="M55" s="211"/>
    </row>
    <row r="56" spans="2:13" ht="31.2" x14ac:dyDescent="0.3">
      <c r="B56" s="32">
        <f>'REGIÃO 13 - HISTÓRICO'!B56</f>
        <v>0</v>
      </c>
      <c r="C56" s="76" t="s">
        <v>165</v>
      </c>
      <c r="D56" s="206" t="str">
        <f>_xlfn.XLOOKUP(tbResumoR13[[#This Row],[REGIÃO]],tbRegioes[Código Região],tbRegioes[Contrato],"")</f>
        <v>051.2024</v>
      </c>
      <c r="E56" s="25">
        <f>'REGIÃO 13 - HISTÓRICO'!C56</f>
        <v>125</v>
      </c>
      <c r="F56" s="208" t="s">
        <v>35</v>
      </c>
      <c r="G56" s="187" t="str">
        <f>'REGIÃO 13 - HISTÓRICO'!D56</f>
        <v>jun/jul/ago</v>
      </c>
      <c r="H56" s="8">
        <v>248</v>
      </c>
      <c r="I56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NOVO JARDIM - DIVISA TO-BA</v>
      </c>
      <c r="J56" s="74" t="s">
        <v>598</v>
      </c>
      <c r="K56" s="9">
        <f>'REGIÃO 13 - HISTÓRICO'!E56</f>
        <v>107878.55</v>
      </c>
      <c r="L56" s="8" t="str">
        <f>'REGIÃO 13 - HISTÓRICO'!I56</f>
        <v>Concluída</v>
      </c>
      <c r="M56" s="211"/>
    </row>
    <row r="57" spans="2:13" ht="31.2" x14ac:dyDescent="0.3">
      <c r="B57" s="32">
        <f>'REGIÃO 13 - HISTÓRICO'!B57</f>
        <v>0</v>
      </c>
      <c r="C57" s="76" t="s">
        <v>165</v>
      </c>
      <c r="D57" s="206" t="str">
        <f>_xlfn.XLOOKUP(tbResumoR13[[#This Row],[REGIÃO]],tbRegioes[Código Região],tbRegioes[Contrato],"")</f>
        <v>051.2024</v>
      </c>
      <c r="E57" s="25">
        <f>'REGIÃO 13 - HISTÓRICO'!C57</f>
        <v>126</v>
      </c>
      <c r="F57" s="208" t="s">
        <v>35</v>
      </c>
      <c r="G57" s="187" t="str">
        <f>'REGIÃO 13 - HISTÓRICO'!D57</f>
        <v>jun/jul/ago</v>
      </c>
      <c r="H57" s="8">
        <v>255</v>
      </c>
      <c r="I57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ENTR. TO-040 (DIANÓPOLIS) - DIVISA TO-BA (GARGANTA)</v>
      </c>
      <c r="J57" s="74" t="s">
        <v>598</v>
      </c>
      <c r="K57" s="9">
        <f>'REGIÃO 13 - HISTÓRICO'!E57</f>
        <v>46047.78</v>
      </c>
      <c r="L57" s="8" t="str">
        <f>'REGIÃO 13 - HISTÓRICO'!I57</f>
        <v>Concluída</v>
      </c>
      <c r="M57" s="211"/>
    </row>
    <row r="58" spans="2:13" ht="31.2" x14ac:dyDescent="0.3">
      <c r="B58" s="32">
        <f>'REGIÃO 13 - HISTÓRICO'!B58</f>
        <v>0</v>
      </c>
      <c r="C58" s="76" t="s">
        <v>165</v>
      </c>
      <c r="D58" s="206" t="str">
        <f>_xlfn.XLOOKUP(tbResumoR13[[#This Row],[REGIÃO]],tbRegioes[Código Região],tbRegioes[Contrato],"")</f>
        <v>051.2024</v>
      </c>
      <c r="E58" s="25">
        <f>'REGIÃO 13 - HISTÓRICO'!C58</f>
        <v>127</v>
      </c>
      <c r="F58" s="208" t="s">
        <v>35</v>
      </c>
      <c r="G58" s="187" t="str">
        <f>'REGIÃO 13 - HISTÓRICO'!D58</f>
        <v>jun/jul/ago</v>
      </c>
      <c r="H58" s="8">
        <v>249</v>
      </c>
      <c r="I58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PORTO ALEGRE DO TOCANTINS - DIANÓPOLIS</v>
      </c>
      <c r="J58" s="74" t="s">
        <v>41</v>
      </c>
      <c r="K58" s="9">
        <f>'REGIÃO 13 - HISTÓRICO'!E58</f>
        <v>41401.660000000003</v>
      </c>
      <c r="L58" s="8" t="str">
        <f>'REGIÃO 13 - HISTÓRICO'!I58</f>
        <v>Concluída</v>
      </c>
      <c r="M58" s="211"/>
    </row>
    <row r="59" spans="2:13" ht="62.4" x14ac:dyDescent="0.3">
      <c r="B59" s="32">
        <f>'REGIÃO 13 - HISTÓRICO'!B59</f>
        <v>0</v>
      </c>
      <c r="C59" s="76" t="s">
        <v>165</v>
      </c>
      <c r="D59" s="206" t="str">
        <f>_xlfn.XLOOKUP(tbResumoR13[[#This Row],[REGIÃO]],tbRegioes[Código Região],tbRegioes[Contrato],"")</f>
        <v>051.2024</v>
      </c>
      <c r="E59" s="25">
        <f>'REGIÃO 13 - HISTÓRICO'!C59</f>
        <v>128</v>
      </c>
      <c r="F59" s="208" t="s">
        <v>35</v>
      </c>
      <c r="G59" s="187" t="str">
        <f>'REGIÃO 13 - HISTÓRICO'!D59</f>
        <v>jun/jul/ago</v>
      </c>
      <c r="H59" s="8">
        <v>266</v>
      </c>
      <c r="I59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TO-476 - TRECHO RIO DA CONCEIÇÃO - DIANÓPOLIS</v>
      </c>
      <c r="J59" s="74" t="s">
        <v>657</v>
      </c>
      <c r="K59" s="9">
        <f>'REGIÃO 13 - HISTÓRICO'!E59</f>
        <v>159130.31</v>
      </c>
      <c r="L59" s="8" t="str">
        <f>'REGIÃO 13 - HISTÓRICO'!I59</f>
        <v>Concluída</v>
      </c>
      <c r="M59" s="211"/>
    </row>
    <row r="60" spans="2:13" ht="31.2" x14ac:dyDescent="0.3">
      <c r="B60" s="32">
        <f>'REGIÃO 13 - HISTÓRICO'!B60</f>
        <v>0</v>
      </c>
      <c r="C60" s="76" t="s">
        <v>165</v>
      </c>
      <c r="D60" s="206" t="str">
        <f>_xlfn.XLOOKUP(tbResumoR13[[#This Row],[REGIÃO]],tbRegioes[Código Região],tbRegioes[Contrato],"")</f>
        <v>051.2024</v>
      </c>
      <c r="E60" s="25">
        <f>'REGIÃO 13 - HISTÓRICO'!C60</f>
        <v>129</v>
      </c>
      <c r="F60" s="208" t="s">
        <v>622</v>
      </c>
      <c r="G60" s="187" t="str">
        <f>'REGIÃO 13 - HISTÓRICO'!D60</f>
        <v>set/out</v>
      </c>
      <c r="H60" s="8">
        <v>264</v>
      </c>
      <c r="I60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TO-387 - TRECHO ENTR. BR-010 - ENTR. TO-050 (CONCEIÇÃO DO TOCANTINS)</v>
      </c>
      <c r="J60" s="74" t="s">
        <v>64</v>
      </c>
      <c r="K60" s="9">
        <f>'REGIÃO 13 - HISTÓRICO'!E60</f>
        <v>42064.800000000003</v>
      </c>
      <c r="L60" s="8" t="str">
        <f>'REGIÃO 13 - HISTÓRICO'!I60</f>
        <v>Em elaboração</v>
      </c>
      <c r="M60" s="211"/>
    </row>
    <row r="61" spans="2:13" ht="31.2" x14ac:dyDescent="0.3">
      <c r="B61" s="32">
        <f>'REGIÃO 13 - HISTÓRICO'!B61</f>
        <v>0</v>
      </c>
      <c r="C61" s="76" t="s">
        <v>165</v>
      </c>
      <c r="D61" s="206" t="str">
        <f>_xlfn.XLOOKUP(tbResumoR13[[#This Row],[REGIÃO]],tbRegioes[Código Região],tbRegioes[Contrato],"")</f>
        <v>051.2024</v>
      </c>
      <c r="E61" s="25">
        <f>'REGIÃO 13 - HISTÓRICO'!C61</f>
        <v>130</v>
      </c>
      <c r="F61" s="208" t="s">
        <v>621</v>
      </c>
      <c r="G61" s="187" t="str">
        <f>'REGIÃO 13 - HISTÓRICO'!D61</f>
        <v>jul/ago/set</v>
      </c>
      <c r="H61" s="8">
        <v>249</v>
      </c>
      <c r="I61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PORTO ALEGRE DO TOCANTINS - DIANÓPOLIS</v>
      </c>
      <c r="J61" s="74" t="s">
        <v>41</v>
      </c>
      <c r="K61" s="9">
        <f>'REGIÃO 13 - HISTÓRICO'!E61</f>
        <v>98704.7</v>
      </c>
      <c r="L61" s="8" t="str">
        <f>'REGIÃO 13 - HISTÓRICO'!I61</f>
        <v>Concluída</v>
      </c>
      <c r="M61" s="211"/>
    </row>
    <row r="62" spans="2:13" ht="31.2" x14ac:dyDescent="0.3">
      <c r="B62" s="32">
        <f>'REGIÃO 13 - HISTÓRICO'!B62</f>
        <v>0</v>
      </c>
      <c r="C62" s="76" t="s">
        <v>165</v>
      </c>
      <c r="D62" s="206" t="str">
        <f>_xlfn.XLOOKUP(tbResumoR13[[#This Row],[REGIÃO]],tbRegioes[Código Região],tbRegioes[Contrato],"")</f>
        <v>051.2024</v>
      </c>
      <c r="E62" s="25">
        <f>'REGIÃO 13 - HISTÓRICO'!C62</f>
        <v>131</v>
      </c>
      <c r="F62" s="208" t="s">
        <v>621</v>
      </c>
      <c r="G62" s="187" t="str">
        <f>'REGIÃO 13 - HISTÓRICO'!D62</f>
        <v>jul/ago/set</v>
      </c>
      <c r="H62" s="8">
        <v>260</v>
      </c>
      <c r="I62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TO-296 - TRECHO ENTR. TO-050 - ENTR. TO-110 (COMBINADO)</v>
      </c>
      <c r="J62" s="74" t="s">
        <v>64</v>
      </c>
      <c r="K62" s="9">
        <f>'REGIÃO 13 - HISTÓRICO'!E62</f>
        <v>56637</v>
      </c>
      <c r="L62" s="8" t="str">
        <f>'REGIÃO 13 - HISTÓRICO'!I62</f>
        <v>Justificada</v>
      </c>
      <c r="M62" s="33" t="s">
        <v>658</v>
      </c>
    </row>
    <row r="63" spans="2:13" ht="46.8" x14ac:dyDescent="0.3">
      <c r="B63" s="32">
        <f>'REGIÃO 13 - HISTÓRICO'!B55</f>
        <v>0</v>
      </c>
      <c r="C63" s="76" t="s">
        <v>165</v>
      </c>
      <c r="D63" s="206" t="str">
        <f>_xlfn.XLOOKUP(tbResumoR13[[#This Row],[REGIÃO]],tbRegioes[Código Região],tbRegioes[Contrato],"")</f>
        <v>051.2024</v>
      </c>
      <c r="E63" s="25">
        <f>'REGIÃO 13 - HISTÓRICO'!C63</f>
        <v>132</v>
      </c>
      <c r="F63" s="208" t="s">
        <v>621</v>
      </c>
      <c r="G63" s="187" t="str">
        <f>'REGIÃO 13 - HISTÓRICO'!D63</f>
        <v>jul/ago/set</v>
      </c>
      <c r="H63" s="8">
        <v>272</v>
      </c>
      <c r="I63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TO-497 - TRECHO ENTR. BR-242 - ENTR. TO-296 (POVOADO JACARÉ)</v>
      </c>
      <c r="J63" s="74" t="s">
        <v>606</v>
      </c>
      <c r="K63" s="9">
        <f>'REGIÃO 13 - HISTÓRICO'!E63</f>
        <v>606412.76</v>
      </c>
      <c r="L63" s="8" t="str">
        <f>'REGIÃO 13 - HISTÓRICO'!I63</f>
        <v>Concluída</v>
      </c>
      <c r="M63" s="211"/>
    </row>
    <row r="64" spans="2:13" ht="31.2" x14ac:dyDescent="0.3">
      <c r="B64" s="32">
        <f>'REGIÃO 13 - HISTÓRICO'!B56</f>
        <v>0</v>
      </c>
      <c r="C64" s="76" t="s">
        <v>165</v>
      </c>
      <c r="D64" s="206" t="str">
        <f>_xlfn.XLOOKUP(tbResumoR13[[#This Row],[REGIÃO]],tbRegioes[Código Região],tbRegioes[Contrato],"")</f>
        <v>051.2024</v>
      </c>
      <c r="E64" s="25">
        <f>'REGIÃO 13 - HISTÓRICO'!C64</f>
        <v>133</v>
      </c>
      <c r="F64" s="208" t="s">
        <v>622</v>
      </c>
      <c r="G64" s="187" t="str">
        <f>'REGIÃO 13 - HISTÓRICO'!D64</f>
        <v>set/out</v>
      </c>
      <c r="H64" s="8">
        <v>261</v>
      </c>
      <c r="I64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TO-296 - TRECHO ENTR. BR-242 (POVOADO SÃO BOM JESUS DAS PALMAS) - ENTR. TO-050</v>
      </c>
      <c r="J64" s="74" t="s">
        <v>64</v>
      </c>
      <c r="K64" s="9">
        <f>'REGIÃO 13 - HISTÓRICO'!E64</f>
        <v>49898.400000000001</v>
      </c>
      <c r="L64" s="8" t="str">
        <f>'REGIÃO 13 - HISTÓRICO'!I64</f>
        <v>Justificada</v>
      </c>
      <c r="M64" s="211"/>
    </row>
    <row r="65" spans="2:13" ht="31.2" x14ac:dyDescent="0.3">
      <c r="B65" s="32">
        <f>'REGIÃO 13 - HISTÓRICO'!B57</f>
        <v>0</v>
      </c>
      <c r="C65" s="76" t="s">
        <v>165</v>
      </c>
      <c r="D65" s="206" t="str">
        <f>_xlfn.XLOOKUP(tbResumoR13[[#This Row],[REGIÃO]],tbRegioes[Código Região],tbRegioes[Contrato],"")</f>
        <v>051.2024</v>
      </c>
      <c r="E65" s="25">
        <f>'REGIÃO 13 - HISTÓRICO'!C65</f>
        <v>134</v>
      </c>
      <c r="F65" s="208" t="s">
        <v>621</v>
      </c>
      <c r="G65" s="187" t="str">
        <f>'REGIÃO 13 - HISTÓRICO'!D65</f>
        <v>jun/jul/ago</v>
      </c>
      <c r="H65" s="8">
        <v>269</v>
      </c>
      <c r="I65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TO-477 - TRECHO ENTR. BR-010 (POVOADO BONFIM) - ALMAS</v>
      </c>
      <c r="J65" s="74" t="s">
        <v>64</v>
      </c>
      <c r="K65" s="9">
        <f>'REGIÃO 13 - HISTÓRICO'!E65</f>
        <v>79209</v>
      </c>
      <c r="L65" s="8" t="str">
        <f>'REGIÃO 13 - HISTÓRICO'!I65</f>
        <v>Concluída</v>
      </c>
      <c r="M65" s="211"/>
    </row>
    <row r="66" spans="2:13" ht="62.4" x14ac:dyDescent="0.3">
      <c r="B66" s="32">
        <f>'REGIÃO 13 - HISTÓRICO'!B58</f>
        <v>0</v>
      </c>
      <c r="C66" s="76" t="s">
        <v>165</v>
      </c>
      <c r="D66" s="206" t="str">
        <f>_xlfn.XLOOKUP(tbResumoR13[[#This Row],[REGIÃO]],tbRegioes[Código Região],tbRegioes[Contrato],"")</f>
        <v>051.2024</v>
      </c>
      <c r="E66" s="25">
        <f>'REGIÃO 13 - HISTÓRICO'!C66</f>
        <v>135</v>
      </c>
      <c r="F66" s="208" t="s">
        <v>621</v>
      </c>
      <c r="G66" s="187" t="str">
        <f>'REGIÃO 13 - HISTÓRICO'!D66</f>
        <v>jul/ago/set</v>
      </c>
      <c r="H66" s="8">
        <v>251</v>
      </c>
      <c r="I66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CONCEIÇÃO DO TOCANTINS - ARRAIAS</v>
      </c>
      <c r="J66" s="74" t="s">
        <v>657</v>
      </c>
      <c r="K66" s="9">
        <f>'REGIÃO 13 - HISTÓRICO'!E66</f>
        <v>107981.74</v>
      </c>
      <c r="L66" s="8" t="str">
        <f>'REGIÃO 13 - HISTÓRICO'!I66</f>
        <v>Concluída</v>
      </c>
      <c r="M66" s="211"/>
    </row>
    <row r="67" spans="2:13" ht="46.8" x14ac:dyDescent="0.3">
      <c r="B67" s="32">
        <f>'REGIÃO 13 - HISTÓRICO'!B59</f>
        <v>0</v>
      </c>
      <c r="C67" s="76" t="s">
        <v>165</v>
      </c>
      <c r="D67" s="206" t="str">
        <f>_xlfn.XLOOKUP(tbResumoR13[[#This Row],[REGIÃO]],tbRegioes[Código Região],tbRegioes[Contrato],"")</f>
        <v>051.2024</v>
      </c>
      <c r="E67" s="25">
        <f>'REGIÃO 13 - HISTÓRICO'!C67</f>
        <v>136</v>
      </c>
      <c r="F67" s="208" t="s">
        <v>622</v>
      </c>
      <c r="G67" s="187" t="str">
        <f>'REGIÃO 13 - HISTÓRICO'!D67</f>
        <v>set/out/nov</v>
      </c>
      <c r="H67" s="8">
        <v>245</v>
      </c>
      <c r="I67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ENTR. TO-369 - ENTR. TO-280 (ALMAS)</v>
      </c>
      <c r="J67" s="74" t="s">
        <v>101</v>
      </c>
      <c r="K67" s="9">
        <f>'REGIÃO 13 - HISTÓRICO'!E67</f>
        <v>322716.33</v>
      </c>
      <c r="L67" s="8" t="str">
        <f>'REGIÃO 13 - HISTÓRICO'!I67</f>
        <v>Análise Gestor</v>
      </c>
      <c r="M67" s="211"/>
    </row>
    <row r="68" spans="2:13" ht="31.2" x14ac:dyDescent="0.3">
      <c r="B68" s="32">
        <f>'REGIÃO 13 - HISTÓRICO'!B60</f>
        <v>0</v>
      </c>
      <c r="C68" s="76" t="s">
        <v>165</v>
      </c>
      <c r="D68" s="206" t="str">
        <f>_xlfn.XLOOKUP(tbResumoR13[[#This Row],[REGIÃO]],tbRegioes[Código Região],tbRegioes[Contrato],"")</f>
        <v>051.2024</v>
      </c>
      <c r="E68" s="25">
        <f>'REGIÃO 13 - HISTÓRICO'!C68</f>
        <v>137</v>
      </c>
      <c r="F68" s="208" t="s">
        <v>621</v>
      </c>
      <c r="G68" s="187" t="str">
        <f>'REGIÃO 13 - HISTÓRICO'!D68</f>
        <v>jul/ago/set</v>
      </c>
      <c r="H68" s="8">
        <v>251</v>
      </c>
      <c r="I68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CONCEIÇÃO DO TOCANTINS - ARRAIAS</v>
      </c>
      <c r="J68" s="74" t="s">
        <v>41</v>
      </c>
      <c r="K68" s="9">
        <f>'REGIÃO 13 - HISTÓRICO'!E68</f>
        <v>245722.63</v>
      </c>
      <c r="L68" s="8" t="str">
        <f>'REGIÃO 13 - HISTÓRICO'!I68</f>
        <v>Concluída</v>
      </c>
      <c r="M68" s="211"/>
    </row>
    <row r="69" spans="2:13" ht="31.2" x14ac:dyDescent="0.3">
      <c r="B69" s="32">
        <f>'REGIÃO 13 - HISTÓRICO'!B69</f>
        <v>0</v>
      </c>
      <c r="C69" s="76" t="s">
        <v>165</v>
      </c>
      <c r="D69" s="206" t="str">
        <f>_xlfn.XLOOKUP(tbResumoR13[[#This Row],[REGIÃO]],tbRegioes[Código Região],tbRegioes[Contrato],"")</f>
        <v>051.2024</v>
      </c>
      <c r="E69" s="25">
        <f>'REGIÃO 13 - HISTÓRICO'!C69</f>
        <v>138</v>
      </c>
      <c r="F69" s="208" t="s">
        <v>621</v>
      </c>
      <c r="G69" s="187" t="str">
        <f>'REGIÃO 13 - HISTÓRICO'!D69</f>
        <v>jul/ago/set</v>
      </c>
      <c r="H69" s="8">
        <v>259</v>
      </c>
      <c r="I69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TAGUATINGA - AURORA DO TOCANTINS</v>
      </c>
      <c r="J69" s="74" t="s">
        <v>598</v>
      </c>
      <c r="K69" s="9">
        <f>'REGIÃO 13 - HISTÓRICO'!E69</f>
        <v>107300.67</v>
      </c>
      <c r="L69" s="8" t="str">
        <f>'REGIÃO 13 - HISTÓRICO'!I69</f>
        <v>Concluída</v>
      </c>
      <c r="M69" s="211"/>
    </row>
    <row r="70" spans="2:13" ht="31.2" x14ac:dyDescent="0.3">
      <c r="B70" s="32">
        <f>'REGIÃO 13 - HISTÓRICO'!B70</f>
        <v>0</v>
      </c>
      <c r="C70" s="76" t="s">
        <v>165</v>
      </c>
      <c r="D70" s="206" t="str">
        <f>_xlfn.XLOOKUP(tbResumoR13[[#This Row],[REGIÃO]],tbRegioes[Código Região],tbRegioes[Contrato],"")</f>
        <v>051.2024</v>
      </c>
      <c r="E70" s="25">
        <f>'REGIÃO 13 - HISTÓRICO'!C70</f>
        <v>139</v>
      </c>
      <c r="F70" s="208" t="s">
        <v>621</v>
      </c>
      <c r="G70" s="187" t="str">
        <f>'REGIÃO 13 - HISTÓRICO'!D70</f>
        <v>jul/ago/set</v>
      </c>
      <c r="H70" s="8">
        <v>258</v>
      </c>
      <c r="I70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PONTE ALTA DO BOM JESUS - ENTR. BR-242(TAGUATINGA)</v>
      </c>
      <c r="J70" s="74" t="s">
        <v>598</v>
      </c>
      <c r="K70" s="9">
        <f>'REGIÃO 13 - HISTÓRICO'!E70</f>
        <v>91034.06</v>
      </c>
      <c r="L70" s="8" t="str">
        <f>'REGIÃO 13 - HISTÓRICO'!I70</f>
        <v>Concluída</v>
      </c>
      <c r="M70" s="211"/>
    </row>
    <row r="71" spans="2:13" ht="31.2" x14ac:dyDescent="0.3">
      <c r="B71" s="32">
        <f>'REGIÃO 13 - HISTÓRICO'!B71</f>
        <v>68</v>
      </c>
      <c r="C71" s="76" t="s">
        <v>165</v>
      </c>
      <c r="D71" s="206" t="str">
        <f>_xlfn.XLOOKUP(tbResumoR13[[#This Row],[REGIÃO]],tbRegioes[Código Região],tbRegioes[Contrato],"")</f>
        <v>051.2024</v>
      </c>
      <c r="E71" s="25">
        <f>'REGIÃO 13 - HISTÓRICO'!C71</f>
        <v>140</v>
      </c>
      <c r="F71" s="208" t="s">
        <v>621</v>
      </c>
      <c r="G71" s="187" t="str">
        <f>'REGIÃO 13 - HISTÓRICO'!D71</f>
        <v>jul/ago/set</v>
      </c>
      <c r="H71" s="8">
        <v>256</v>
      </c>
      <c r="I71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ENTR. TO-040 - PONTE ALTA DO BOM JESUS</v>
      </c>
      <c r="J71" s="74" t="s">
        <v>598</v>
      </c>
      <c r="K71" s="9">
        <f>'REGIÃO 13 - HISTÓRICO'!E71</f>
        <v>100136.05</v>
      </c>
      <c r="L71" s="8" t="str">
        <f>'REGIÃO 13 - HISTÓRICO'!I71</f>
        <v>Concluída</v>
      </c>
      <c r="M71" s="211"/>
    </row>
    <row r="72" spans="2:13" ht="31.2" x14ac:dyDescent="0.3">
      <c r="B72" s="32">
        <f>'REGIÃO 13 - HISTÓRICO'!B72</f>
        <v>69</v>
      </c>
      <c r="C72" s="76" t="s">
        <v>165</v>
      </c>
      <c r="D72" s="206" t="str">
        <f>_xlfn.XLOOKUP(tbResumoR13[[#This Row],[REGIÃO]],tbRegioes[Código Região],tbRegioes[Contrato],"")</f>
        <v>051.2024</v>
      </c>
      <c r="E72" s="25">
        <f>'REGIÃO 13 - HISTÓRICO'!C72</f>
        <v>141</v>
      </c>
      <c r="F72" s="208" t="s">
        <v>621</v>
      </c>
      <c r="G72" s="187" t="str">
        <f>'REGIÃO 13 - HISTÓRICO'!D72</f>
        <v>jul/ago/set</v>
      </c>
      <c r="H72" s="8">
        <v>257</v>
      </c>
      <c r="I72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LAVANDEIRA - COMBINADO</v>
      </c>
      <c r="J72" s="74" t="s">
        <v>597</v>
      </c>
      <c r="K72" s="9">
        <f>'REGIÃO 13 - HISTÓRICO'!E72</f>
        <v>21439.75</v>
      </c>
      <c r="L72" s="8" t="str">
        <f>'REGIÃO 13 - HISTÓRICO'!I72</f>
        <v>Em andamento</v>
      </c>
      <c r="M72" s="211"/>
    </row>
    <row r="73" spans="2:13" ht="31.2" x14ac:dyDescent="0.3">
      <c r="B73" s="32">
        <f>'REGIÃO 13 - HISTÓRICO'!B73</f>
        <v>70</v>
      </c>
      <c r="C73" s="76" t="s">
        <v>165</v>
      </c>
      <c r="D73" s="206" t="str">
        <f>_xlfn.XLOOKUP(tbResumoR13[[#This Row],[REGIÃO]],tbRegioes[Código Região],tbRegioes[Contrato],"")</f>
        <v>051.2024</v>
      </c>
      <c r="E73" s="25">
        <f>'REGIÃO 13 - HISTÓRICO'!C73</f>
        <v>142</v>
      </c>
      <c r="F73" s="208" t="s">
        <v>621</v>
      </c>
      <c r="G73" s="187" t="str">
        <f>'REGIÃO 13 - HISTÓRICO'!D73</f>
        <v>jul/ago/set</v>
      </c>
      <c r="H73" s="8">
        <v>253</v>
      </c>
      <c r="I73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AURORA DO TOCANTINS - LAVANDEIRA</v>
      </c>
      <c r="J73" s="74" t="s">
        <v>597</v>
      </c>
      <c r="K73" s="9">
        <f>'REGIÃO 13 - HISTÓRICO'!E73</f>
        <v>46302.31</v>
      </c>
      <c r="L73" s="8" t="str">
        <f>'REGIÃO 13 - HISTÓRICO'!I73</f>
        <v>Em andamento</v>
      </c>
      <c r="M73" s="211"/>
    </row>
    <row r="74" spans="2:13" ht="31.2" x14ac:dyDescent="0.3">
      <c r="B74" s="32">
        <f>'REGIÃO 13 - HISTÓRICO'!B74</f>
        <v>71</v>
      </c>
      <c r="C74" s="76" t="s">
        <v>165</v>
      </c>
      <c r="D74" s="206" t="str">
        <f>_xlfn.XLOOKUP(tbResumoR13[[#This Row],[REGIÃO]],tbRegioes[Código Região],tbRegioes[Contrato],"")</f>
        <v>051.2024</v>
      </c>
      <c r="E74" s="25">
        <f>'REGIÃO 13 - HISTÓRICO'!C74</f>
        <v>143</v>
      </c>
      <c r="F74" s="208" t="s">
        <v>621</v>
      </c>
      <c r="G74" s="187" t="str">
        <f>'REGIÃO 13 - HISTÓRICO'!D74</f>
        <v>jul/ago/set</v>
      </c>
      <c r="H74" s="8">
        <v>254</v>
      </c>
      <c r="I74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COMBINADO - NOVO ALEGRE - DIVISA TO-GO</v>
      </c>
      <c r="J74" s="74" t="s">
        <v>597</v>
      </c>
      <c r="K74" s="9">
        <f>'REGIÃO 13 - HISTÓRICO'!E74</f>
        <v>57043.47</v>
      </c>
      <c r="L74" s="8" t="str">
        <f>'REGIÃO 13 - HISTÓRICO'!I74</f>
        <v>Em andamento</v>
      </c>
      <c r="M74" s="211"/>
    </row>
    <row r="75" spans="2:13" ht="31.2" x14ac:dyDescent="0.3">
      <c r="B75" s="32">
        <f>'REGIÃO 13 - HISTÓRICO'!B75</f>
        <v>0</v>
      </c>
      <c r="C75" s="76" t="s">
        <v>165</v>
      </c>
      <c r="D75" s="206" t="str">
        <f>_xlfn.XLOOKUP(tbResumoR13[[#This Row],[REGIÃO]],tbRegioes[Código Região],tbRegioes[Contrato],"")</f>
        <v>051.2024</v>
      </c>
      <c r="E75" s="25">
        <f>'REGIÃO 13 - HISTÓRICO'!C75</f>
        <v>144</v>
      </c>
      <c r="F75" s="208" t="s">
        <v>620</v>
      </c>
      <c r="G75" s="187" t="str">
        <f>'REGIÃO 13 - HISTÓRICO'!D75</f>
        <v>ago/set/out</v>
      </c>
      <c r="H75" s="8">
        <v>249</v>
      </c>
      <c r="I75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PORTO ALEGRE DO TOCANTINS - DIANÓPOLIS</v>
      </c>
      <c r="J75" s="74" t="s">
        <v>601</v>
      </c>
      <c r="K75" s="9">
        <f>'REGIÃO 13 - HISTÓRICO'!E75</f>
        <v>68167.67</v>
      </c>
      <c r="L75" s="8" t="str">
        <f>'REGIÃO 13 - HISTÓRICO'!I75</f>
        <v>Em andamento</v>
      </c>
      <c r="M75" s="211"/>
    </row>
    <row r="76" spans="2:13" ht="78" x14ac:dyDescent="0.3">
      <c r="B76" s="32">
        <f>'REGIÃO 13 - HISTÓRICO'!B76</f>
        <v>0</v>
      </c>
      <c r="C76" s="76" t="s">
        <v>165</v>
      </c>
      <c r="D76" s="206" t="str">
        <f>_xlfn.XLOOKUP(tbResumoR13[[#This Row],[REGIÃO]],tbRegioes[Código Região],tbRegioes[Contrato],"")</f>
        <v>051.2024</v>
      </c>
      <c r="E76" s="25">
        <f>'REGIÃO 13 - HISTÓRICO'!C76</f>
        <v>145</v>
      </c>
      <c r="F76" s="208" t="s">
        <v>621</v>
      </c>
      <c r="G76" s="187" t="str">
        <f>'REGIÃO 13 - HISTÓRICO'!D76</f>
        <v>jul/ago/set</v>
      </c>
      <c r="H76" s="8">
        <v>268</v>
      </c>
      <c r="I76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TO-477 - TRECHO ALMAS - ENTR. TO-476</v>
      </c>
      <c r="J76" s="74" t="s">
        <v>594</v>
      </c>
      <c r="K76" s="9">
        <f>'REGIÃO 13 - HISTÓRICO'!E76</f>
        <v>540998.06999999995</v>
      </c>
      <c r="L76" s="8" t="str">
        <f>'REGIÃO 13 - HISTÓRICO'!I76</f>
        <v>Justificada</v>
      </c>
      <c r="M76" s="211"/>
    </row>
    <row r="77" spans="2:13" ht="31.2" x14ac:dyDescent="0.3">
      <c r="B77" s="32">
        <f>'REGIÃO 13 - HISTÓRICO'!B77</f>
        <v>0</v>
      </c>
      <c r="C77" s="76" t="s">
        <v>165</v>
      </c>
      <c r="D77" s="206" t="str">
        <f>_xlfn.XLOOKUP(tbResumoR13[[#This Row],[REGIÃO]],tbRegioes[Código Região],tbRegioes[Contrato],"")</f>
        <v>051.2024</v>
      </c>
      <c r="E77" s="25">
        <f>'REGIÃO 13 - HISTÓRICO'!C77</f>
        <v>146</v>
      </c>
      <c r="F77" s="208" t="s">
        <v>620</v>
      </c>
      <c r="G77" s="187" t="str">
        <f>'REGIÃO 13 - HISTÓRICO'!D77</f>
        <v>ago/set/out</v>
      </c>
      <c r="H77" s="8">
        <v>263</v>
      </c>
      <c r="I77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TO-387 - TRECHO CONCEIÇÃO DO TOCANTINS - TAIPAS DO TOCANTINS</v>
      </c>
      <c r="J77" s="74" t="s">
        <v>17</v>
      </c>
      <c r="K77" s="9">
        <f>'REGIÃO 13 - HISTÓRICO'!E77</f>
        <v>20730.63</v>
      </c>
      <c r="L77" s="8" t="str">
        <f>'REGIÃO 13 - HISTÓRICO'!I77</f>
        <v>Concluída</v>
      </c>
      <c r="M77" s="211"/>
    </row>
    <row r="78" spans="2:13" ht="31.2" x14ac:dyDescent="0.3">
      <c r="B78" s="32">
        <f>'REGIÃO 13 - HISTÓRICO'!B78</f>
        <v>0</v>
      </c>
      <c r="C78" s="76" t="s">
        <v>165</v>
      </c>
      <c r="D78" s="206" t="str">
        <f>_xlfn.XLOOKUP(tbResumoR13[[#This Row],[REGIÃO]],tbRegioes[Código Região],tbRegioes[Contrato],"")</f>
        <v>051.2024</v>
      </c>
      <c r="E78" s="25">
        <f>'REGIÃO 13 - HISTÓRICO'!C78</f>
        <v>147</v>
      </c>
      <c r="F78" s="208" t="s">
        <v>620</v>
      </c>
      <c r="G78" s="187" t="str">
        <f>'REGIÃO 13 - HISTÓRICO'!D78</f>
        <v>ago/set/out</v>
      </c>
      <c r="H78" s="8">
        <v>265</v>
      </c>
      <c r="I78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TO-387 - TRECHO ENTR. TO-040 - TAIPAS DO TOCANTINS</v>
      </c>
      <c r="J78" s="74" t="s">
        <v>64</v>
      </c>
      <c r="K78" s="9">
        <f>'REGIÃO 13 - HISTÓRICO'!E78</f>
        <v>364234.92</v>
      </c>
      <c r="L78" s="8" t="str">
        <f>'REGIÃO 13 - HISTÓRICO'!I78</f>
        <v>Correção Fiscal</v>
      </c>
      <c r="M78" s="211"/>
    </row>
    <row r="79" spans="2:13" ht="31.2" x14ac:dyDescent="0.3">
      <c r="B79" s="32">
        <f>'REGIÃO 13 - HISTÓRICO'!B79</f>
        <v>0</v>
      </c>
      <c r="C79" s="76" t="s">
        <v>165</v>
      </c>
      <c r="D79" s="206" t="str">
        <f>_xlfn.XLOOKUP(tbResumoR13[[#This Row],[REGIÃO]],tbRegioes[Código Região],tbRegioes[Contrato],"")</f>
        <v>051.2024</v>
      </c>
      <c r="E79" s="25">
        <f>'REGIÃO 13 - HISTÓRICO'!C79</f>
        <v>148</v>
      </c>
      <c r="F79" s="208" t="s">
        <v>622</v>
      </c>
      <c r="G79" s="187" t="str">
        <f>'REGIÃO 13 - HISTÓRICO'!D79</f>
        <v>set/out/nov</v>
      </c>
      <c r="H79" s="8">
        <v>266</v>
      </c>
      <c r="I79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TO-476 - TRECHO RIO DA CONCEIÇÃO - DIANÓPOLIS</v>
      </c>
      <c r="J79" s="74" t="s">
        <v>601</v>
      </c>
      <c r="K79" s="9">
        <f>'REGIÃO 13 - HISTÓRICO'!E79</f>
        <v>44013.1</v>
      </c>
      <c r="L79" s="8" t="str">
        <f>'REGIÃO 13 - HISTÓRICO'!I79</f>
        <v>Em elaboração</v>
      </c>
      <c r="M79" s="211"/>
    </row>
    <row r="80" spans="2:13" x14ac:dyDescent="0.3">
      <c r="B80" s="32">
        <f>'REGIÃO 13 - HISTÓRICO'!B80</f>
        <v>0</v>
      </c>
      <c r="C80" s="76" t="s">
        <v>165</v>
      </c>
      <c r="D80" s="206" t="str">
        <f>_xlfn.XLOOKUP(tbResumoR13[[#This Row],[REGIÃO]],tbRegioes[Código Região],tbRegioes[Contrato],"")</f>
        <v>051.2024</v>
      </c>
      <c r="E80" s="25">
        <f>'REGIÃO 13 - HISTÓRICO'!C80</f>
        <v>149</v>
      </c>
      <c r="F80" s="208" t="s">
        <v>620</v>
      </c>
      <c r="G80" s="187" t="str">
        <f>'REGIÃO 13 - HISTÓRICO'!D80</f>
        <v>ago/set/out</v>
      </c>
      <c r="H80" s="8">
        <v>250</v>
      </c>
      <c r="I80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ARRAIAS - DIVISA TO-GO</v>
      </c>
      <c r="J80" s="74" t="s">
        <v>17</v>
      </c>
      <c r="K80" s="9">
        <f>'REGIÃO 13 - HISTÓRICO'!E80</f>
        <v>8354.17</v>
      </c>
      <c r="L80" s="8" t="str">
        <f>'REGIÃO 13 - HISTÓRICO'!I80</f>
        <v>Concluída</v>
      </c>
      <c r="M80" s="211"/>
    </row>
    <row r="81" spans="2:13" ht="31.2" x14ac:dyDescent="0.3">
      <c r="B81" s="32">
        <f>'REGIÃO 13 - HISTÓRICO'!B81</f>
        <v>0</v>
      </c>
      <c r="C81" s="76" t="s">
        <v>165</v>
      </c>
      <c r="D81" s="206" t="str">
        <f>_xlfn.XLOOKUP(tbResumoR13[[#This Row],[REGIÃO]],tbRegioes[Código Região],tbRegioes[Contrato],"")</f>
        <v>051.2024</v>
      </c>
      <c r="E81" s="25">
        <f>'REGIÃO 13 - HISTÓRICO'!C81</f>
        <v>150</v>
      </c>
      <c r="F81" s="208" t="s">
        <v>620</v>
      </c>
      <c r="G81" s="187" t="str">
        <f>'REGIÃO 13 - HISTÓRICO'!D81</f>
        <v>ago/set/out</v>
      </c>
      <c r="H81" s="8">
        <v>251</v>
      </c>
      <c r="I81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CONCEIÇÃO DO TOCANTINS - ARRAIAS</v>
      </c>
      <c r="J81" s="74" t="s">
        <v>17</v>
      </c>
      <c r="K81" s="9">
        <f>'REGIÃO 13 - HISTÓRICO'!E81</f>
        <v>56798.2</v>
      </c>
      <c r="L81" s="8" t="str">
        <f>'REGIÃO 13 - HISTÓRICO'!I81</f>
        <v>Concluída</v>
      </c>
      <c r="M81" s="211"/>
    </row>
    <row r="82" spans="2:13" ht="31.2" x14ac:dyDescent="0.3">
      <c r="B82" s="32">
        <f>'REGIÃO 13 - HISTÓRICO'!B82</f>
        <v>0</v>
      </c>
      <c r="C82" s="76" t="s">
        <v>165</v>
      </c>
      <c r="D82" s="206" t="str">
        <f>_xlfn.XLOOKUP(tbResumoR13[[#This Row],[REGIÃO]],tbRegioes[Código Região],tbRegioes[Contrato],"")</f>
        <v>051.2024</v>
      </c>
      <c r="E82" s="25">
        <f>'REGIÃO 13 - HISTÓRICO'!C82</f>
        <v>151</v>
      </c>
      <c r="F82" s="208" t="s">
        <v>622</v>
      </c>
      <c r="G82" s="187" t="str">
        <f>'REGIÃO 13 - HISTÓRICO'!D82</f>
        <v>set/out/nov</v>
      </c>
      <c r="H82" s="8">
        <v>252</v>
      </c>
      <c r="I82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TO-050 - TRECHO ENTR. BR-010 (POVOADO PRÍNCIPE) - CONCEIÇÃO DO TOCANTINS</v>
      </c>
      <c r="J82" s="74" t="s">
        <v>597</v>
      </c>
      <c r="K82" s="9">
        <f>'REGIÃO 13 - HISTÓRICO'!E82</f>
        <v>51437.3</v>
      </c>
      <c r="L82" s="8" t="str">
        <f>'REGIÃO 13 - HISTÓRICO'!I82</f>
        <v>Em elaboração</v>
      </c>
      <c r="M82" s="211"/>
    </row>
    <row r="83" spans="2:13" ht="31.2" x14ac:dyDescent="0.3">
      <c r="B83" s="32">
        <f>'REGIÃO 13 - HISTÓRICO'!B83</f>
        <v>80</v>
      </c>
      <c r="C83" s="76" t="s">
        <v>165</v>
      </c>
      <c r="D83" s="206" t="str">
        <f>_xlfn.XLOOKUP(tbResumoR13[[#This Row],[REGIÃO]],tbRegioes[Código Região],tbRegioes[Contrato],"")</f>
        <v>051.2024</v>
      </c>
      <c r="E83" s="25">
        <f>'REGIÃO 13 - HISTÓRICO'!C83</f>
        <v>152</v>
      </c>
      <c r="F83" s="208" t="s">
        <v>622</v>
      </c>
      <c r="G83" s="187" t="str">
        <f>'REGIÃO 13 - HISTÓRICO'!D83</f>
        <v>set/out/nov</v>
      </c>
      <c r="H83" s="8">
        <v>255</v>
      </c>
      <c r="I83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ENTR. TO-040 (DIANÓPOLIS) - DIVISA TO-BA (GARGANTA)</v>
      </c>
      <c r="J83" s="74" t="s">
        <v>17</v>
      </c>
      <c r="K83" s="9">
        <f>'REGIÃO 13 - HISTÓRICO'!E83</f>
        <v>30147.05</v>
      </c>
      <c r="L83" s="8" t="str">
        <f>'REGIÃO 13 - HISTÓRICO'!I83</f>
        <v>Em elaboração</v>
      </c>
      <c r="M83" s="211"/>
    </row>
    <row r="84" spans="2:13" ht="31.2" x14ac:dyDescent="0.3">
      <c r="B84" s="32">
        <f>'REGIÃO 13 - HISTÓRICO'!B77</f>
        <v>0</v>
      </c>
      <c r="C84" s="76" t="s">
        <v>165</v>
      </c>
      <c r="D84" s="206" t="str">
        <f>_xlfn.XLOOKUP(tbResumoR13[[#This Row],[REGIÃO]],tbRegioes[Código Região],tbRegioes[Contrato],"")</f>
        <v>051.2024</v>
      </c>
      <c r="E84" s="25">
        <f>'REGIÃO 13 - HISTÓRICO'!C84</f>
        <v>153</v>
      </c>
      <c r="F84" s="208" t="s">
        <v>622</v>
      </c>
      <c r="G84" s="187" t="str">
        <f>'REGIÃO 13 - HISTÓRICO'!D84</f>
        <v>set/out/nov</v>
      </c>
      <c r="H84" s="8">
        <v>270</v>
      </c>
      <c r="I84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TO-485 - TRECHO TAIPAS DO TOCANTINS - ENTR. TO-110</v>
      </c>
      <c r="J84" s="74" t="s">
        <v>64</v>
      </c>
      <c r="K84" s="9">
        <f>'REGIÃO 13 - HISTÓRICO'!E84</f>
        <v>106989.84</v>
      </c>
      <c r="L84" s="8" t="str">
        <f>'REGIÃO 13 - HISTÓRICO'!I84</f>
        <v>Em elaboração</v>
      </c>
      <c r="M84" s="211"/>
    </row>
    <row r="85" spans="2:13" ht="31.2" x14ac:dyDescent="0.3">
      <c r="B85" s="32">
        <f>'REGIÃO 13 - HISTÓRICO'!B78</f>
        <v>0</v>
      </c>
      <c r="C85" s="76" t="s">
        <v>165</v>
      </c>
      <c r="D85" s="206" t="str">
        <f>_xlfn.XLOOKUP(tbResumoR13[[#This Row],[REGIÃO]],tbRegioes[Código Região],tbRegioes[Contrato],"")</f>
        <v>051.2024</v>
      </c>
      <c r="E85" s="25">
        <f>'REGIÃO 13 - HISTÓRICO'!C85</f>
        <v>154</v>
      </c>
      <c r="F85" s="208" t="s">
        <v>620</v>
      </c>
      <c r="G85" s="187" t="str">
        <f>'REGIÃO 13 - HISTÓRICO'!D85</f>
        <v>ago/set/out</v>
      </c>
      <c r="H85" s="8">
        <v>267</v>
      </c>
      <c r="I85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TO-476 - TRECHO RIO DA CONCEIÇÃO - ENTR. TO-477</v>
      </c>
      <c r="J85" s="74" t="s">
        <v>64</v>
      </c>
      <c r="K85" s="9">
        <f>'REGIÃO 13 - HISTÓRICO'!E85</f>
        <v>15959.88</v>
      </c>
      <c r="L85" s="8" t="str">
        <f>'REGIÃO 13 - HISTÓRICO'!I85</f>
        <v>Justificada</v>
      </c>
      <c r="M85" s="211"/>
    </row>
    <row r="86" spans="2:13" ht="31.2" x14ac:dyDescent="0.3">
      <c r="B86" s="32">
        <f>'REGIÃO 13 - HISTÓRICO'!B61</f>
        <v>0</v>
      </c>
      <c r="C86" s="76" t="s">
        <v>165</v>
      </c>
      <c r="D86" s="206" t="str">
        <f>_xlfn.XLOOKUP(tbResumoR13[[#This Row],[REGIÃO]],tbRegioes[Código Região],tbRegioes[Contrato],"")</f>
        <v>051.2024</v>
      </c>
      <c r="E86" s="25">
        <f>'REGIÃO 13 - HISTÓRICO'!C86</f>
        <v>155</v>
      </c>
      <c r="F86" s="208" t="s">
        <v>622</v>
      </c>
      <c r="G86" s="187" t="str">
        <f>'REGIÃO 13 - HISTÓRICO'!D86</f>
        <v>set/out/nov</v>
      </c>
      <c r="H86" s="8">
        <v>246</v>
      </c>
      <c r="I86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ALMAS - PORTO ALEGRE DO TOCANTINS</v>
      </c>
      <c r="J86" s="74" t="s">
        <v>598</v>
      </c>
      <c r="K86" s="9">
        <f>'REGIÃO 13 - HISTÓRICO'!E86</f>
        <v>88229.2</v>
      </c>
      <c r="L86" s="8" t="str">
        <f>'REGIÃO 13 - HISTÓRICO'!I86</f>
        <v>Em elaboração</v>
      </c>
      <c r="M86" s="211"/>
    </row>
    <row r="87" spans="2:13" ht="31.2" x14ac:dyDescent="0.3">
      <c r="B87" s="32">
        <f>'REGIÃO 13 - HISTÓRICO'!B62</f>
        <v>0</v>
      </c>
      <c r="C87" s="76" t="s">
        <v>165</v>
      </c>
      <c r="D87" s="206" t="str">
        <f>_xlfn.XLOOKUP(tbResumoR13[[#This Row],[REGIÃO]],tbRegioes[Código Região],tbRegioes[Contrato],"")</f>
        <v>051.2024</v>
      </c>
      <c r="E87" s="25">
        <f>'REGIÃO 13 - HISTÓRICO'!C87</f>
        <v>156</v>
      </c>
      <c r="F87" s="208" t="s">
        <v>622</v>
      </c>
      <c r="G87" s="187" t="str">
        <f>'REGIÃO 13 - HISTÓRICO'!D87</f>
        <v>set/out</v>
      </c>
      <c r="H87" s="8">
        <v>247</v>
      </c>
      <c r="I87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DIANÓPOLIS - NOVO JARDIM</v>
      </c>
      <c r="J87" s="74" t="s">
        <v>17</v>
      </c>
      <c r="K87" s="9">
        <f>'REGIÃO 13 - HISTÓRICO'!E87</f>
        <v>19582.259999999998</v>
      </c>
      <c r="L87" s="8" t="str">
        <f>'REGIÃO 13 - HISTÓRICO'!I87</f>
        <v>Em elaboração</v>
      </c>
      <c r="M87" s="211"/>
    </row>
    <row r="88" spans="2:13" ht="31.2" x14ac:dyDescent="0.3">
      <c r="B88" s="32">
        <f>'REGIÃO 13 - HISTÓRICO'!B84</f>
        <v>81</v>
      </c>
      <c r="C88" s="76" t="s">
        <v>165</v>
      </c>
      <c r="D88" s="26" t="str">
        <f>_xlfn.XLOOKUP(tbResumoR13[[#This Row],[REGIÃO]],tbRegioes[Código Região],tbRegioes[Contrato],"")</f>
        <v>051.2024</v>
      </c>
      <c r="E88" s="25">
        <f>'REGIÃO 13 - HISTÓRICO'!C88</f>
        <v>157</v>
      </c>
      <c r="F88" s="208" t="s">
        <v>620</v>
      </c>
      <c r="G88" s="187" t="str">
        <f>'REGIÃO 13 - HISTÓRICO'!D88</f>
        <v>ago/set/out</v>
      </c>
      <c r="H88" s="8">
        <v>249</v>
      </c>
      <c r="I88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PORTO ALEGRE DO TOCANTINS - DIANÓPOLIS</v>
      </c>
      <c r="J88" s="74" t="s">
        <v>597</v>
      </c>
      <c r="K88" s="9">
        <f>'REGIÃO 13 - HISTÓRICO'!E88</f>
        <v>209876.92</v>
      </c>
      <c r="L88" s="8" t="str">
        <f>'REGIÃO 13 - HISTÓRICO'!I88</f>
        <v>Em andamento</v>
      </c>
      <c r="M88" s="33"/>
    </row>
    <row r="89" spans="2:13" ht="31.2" x14ac:dyDescent="0.3">
      <c r="B89" s="32">
        <f>'REGIÃO 13 - HISTÓRICO'!B85</f>
        <v>82</v>
      </c>
      <c r="C89" s="76" t="s">
        <v>165</v>
      </c>
      <c r="D89" s="26" t="str">
        <f>_xlfn.XLOOKUP(tbResumoR13[[#This Row],[REGIÃO]],tbRegioes[Código Região],tbRegioes[Contrato],"")</f>
        <v>051.2024</v>
      </c>
      <c r="E89" s="25">
        <f>'REGIÃO 13 - HISTÓRICO'!C89</f>
        <v>158</v>
      </c>
      <c r="F89" s="208" t="s">
        <v>622</v>
      </c>
      <c r="G89" s="187" t="str">
        <f>'REGIÃO 13 - HISTÓRICO'!D89</f>
        <v>set/out/nov</v>
      </c>
      <c r="H89" s="8">
        <v>248</v>
      </c>
      <c r="I89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NOVO JARDIM - DIVISA TO-BA</v>
      </c>
      <c r="J89" s="74" t="s">
        <v>591</v>
      </c>
      <c r="K89" s="9">
        <f>'REGIÃO 13 - HISTÓRICO'!E89</f>
        <v>23697.25</v>
      </c>
      <c r="L89" s="8" t="str">
        <f>'REGIÃO 13 - HISTÓRICO'!I89</f>
        <v>Correção Fiscal</v>
      </c>
      <c r="M89" s="33"/>
    </row>
    <row r="90" spans="2:13" ht="31.2" x14ac:dyDescent="0.3">
      <c r="B90" s="32">
        <f>'REGIÃO 13 - HISTÓRICO'!B86</f>
        <v>83</v>
      </c>
      <c r="C90" s="76" t="s">
        <v>165</v>
      </c>
      <c r="D90" s="26" t="str">
        <f>_xlfn.XLOOKUP(tbResumoR13[[#This Row],[REGIÃO]],tbRegioes[Código Região],tbRegioes[Contrato],"")</f>
        <v>051.2024</v>
      </c>
      <c r="E90" s="25">
        <f>'REGIÃO 13 - HISTÓRICO'!C90</f>
        <v>159</v>
      </c>
      <c r="F90" s="208" t="s">
        <v>647</v>
      </c>
      <c r="G90" s="187" t="str">
        <f>'REGIÃO 13 - HISTÓRICO'!D90</f>
        <v>out/nov/dez</v>
      </c>
      <c r="H90" s="8">
        <v>253</v>
      </c>
      <c r="I90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AURORA DO TOCANTINS - LAVANDEIRA</v>
      </c>
      <c r="J90" s="74" t="s">
        <v>591</v>
      </c>
      <c r="K90" s="9">
        <f>'REGIÃO 13 - HISTÓRICO'!E90</f>
        <v>8773.52</v>
      </c>
      <c r="L90" s="8" t="str">
        <f>'REGIÃO 13 - HISTÓRICO'!I90</f>
        <v>Correção Fiscal</v>
      </c>
      <c r="M90" s="33"/>
    </row>
    <row r="91" spans="2:13" ht="31.2" x14ac:dyDescent="0.3">
      <c r="B91" s="32">
        <f>'REGIÃO 13 - HISTÓRICO'!B92</f>
        <v>89</v>
      </c>
      <c r="C91" s="76" t="s">
        <v>165</v>
      </c>
      <c r="D91" s="26" t="str">
        <f>_xlfn.XLOOKUP(tbResumoR13[[#This Row],[REGIÃO]],tbRegioes[Código Região],tbRegioes[Contrato],"")</f>
        <v>051.2024</v>
      </c>
      <c r="E91" s="25">
        <f>'REGIÃO 13 - HISTÓRICO'!C91</f>
        <v>160</v>
      </c>
      <c r="F91" s="208" t="s">
        <v>647</v>
      </c>
      <c r="G91" s="187" t="str">
        <f>'REGIÃO 13 - HISTÓRICO'!D91</f>
        <v>out/nov/dez</v>
      </c>
      <c r="H91" s="8">
        <v>256</v>
      </c>
      <c r="I91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ENTR. TO-040 - PONTE ALTA DO BOM JESUS</v>
      </c>
      <c r="J91" s="74" t="s">
        <v>591</v>
      </c>
      <c r="K91" s="9">
        <f>'REGIÃO 13 - HISTÓRICO'!E91</f>
        <v>20979.64</v>
      </c>
      <c r="L91" s="8" t="str">
        <f>'REGIÃO 13 - HISTÓRICO'!I91</f>
        <v>Correção Fiscal</v>
      </c>
      <c r="M91" s="33"/>
    </row>
    <row r="92" spans="2:13" ht="31.2" x14ac:dyDescent="0.3">
      <c r="B92" s="32">
        <f>'REGIÃO 13 - HISTÓRICO'!B93</f>
        <v>90</v>
      </c>
      <c r="C92" s="76" t="s">
        <v>165</v>
      </c>
      <c r="D92" s="26" t="str">
        <f>_xlfn.XLOOKUP(tbResumoR13[[#This Row],[REGIÃO]],tbRegioes[Código Região],tbRegioes[Contrato],"")</f>
        <v>051.2024</v>
      </c>
      <c r="E92" s="25">
        <f>'REGIÃO 13 - HISTÓRICO'!C92</f>
        <v>161</v>
      </c>
      <c r="F92" s="208" t="s">
        <v>647</v>
      </c>
      <c r="G92" s="187" t="str">
        <f>'REGIÃO 13 - HISTÓRICO'!D92</f>
        <v>out/nov/dez</v>
      </c>
      <c r="H92" s="8">
        <v>257</v>
      </c>
      <c r="I92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LAVANDEIRA - COMBINADO</v>
      </c>
      <c r="J92" s="74" t="s">
        <v>591</v>
      </c>
      <c r="K92" s="9">
        <f>'REGIÃO 13 - HISTÓRICO'!E92</f>
        <v>3684.51</v>
      </c>
      <c r="L92" s="8" t="str">
        <f>'REGIÃO 13 - HISTÓRICO'!I92</f>
        <v>Correção Fiscal</v>
      </c>
      <c r="M92" s="33"/>
    </row>
    <row r="93" spans="2:13" ht="31.2" x14ac:dyDescent="0.3">
      <c r="B93" s="32">
        <f>'REGIÃO 13 - HISTÓRICO'!B94</f>
        <v>91</v>
      </c>
      <c r="C93" s="76" t="s">
        <v>165</v>
      </c>
      <c r="D93" s="26" t="str">
        <f>_xlfn.XLOOKUP(tbResumoR13[[#This Row],[REGIÃO]],tbRegioes[Código Região],tbRegioes[Contrato],"")</f>
        <v>051.2024</v>
      </c>
      <c r="E93" s="25">
        <f>'REGIÃO 13 - HISTÓRICO'!C93</f>
        <v>162</v>
      </c>
      <c r="F93" s="208" t="s">
        <v>647</v>
      </c>
      <c r="G93" s="187" t="str">
        <f>'REGIÃO 13 - HISTÓRICO'!D93</f>
        <v>out/nov/dez</v>
      </c>
      <c r="H93" s="8">
        <v>258</v>
      </c>
      <c r="I93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PONTE ALTA DO BOM JESUS - ENTR. BR-242(TAGUATINGA)</v>
      </c>
      <c r="J93" s="74" t="s">
        <v>591</v>
      </c>
      <c r="K93" s="9">
        <f>'REGIÃO 13 - HISTÓRICO'!E93</f>
        <v>19604.919999999998</v>
      </c>
      <c r="L93" s="8" t="str">
        <f>'REGIÃO 13 - HISTÓRICO'!I93</f>
        <v>Correção Fiscal</v>
      </c>
      <c r="M93" s="33"/>
    </row>
    <row r="94" spans="2:13" ht="31.2" x14ac:dyDescent="0.3">
      <c r="B94" s="32">
        <f>'REGIÃO 13 - HISTÓRICO'!B95</f>
        <v>92</v>
      </c>
      <c r="C94" s="76" t="s">
        <v>165</v>
      </c>
      <c r="D94" s="26" t="str">
        <f>_xlfn.XLOOKUP(tbResumoR13[[#This Row],[REGIÃO]],tbRegioes[Código Região],tbRegioes[Contrato],"")</f>
        <v>051.2024</v>
      </c>
      <c r="E94" s="25">
        <f>'REGIÃO 13 - HISTÓRICO'!C94</f>
        <v>163</v>
      </c>
      <c r="F94" s="208" t="s">
        <v>647</v>
      </c>
      <c r="G94" s="187" t="str">
        <f>'REGIÃO 13 - HISTÓRICO'!D94</f>
        <v>out/nov/dez</v>
      </c>
      <c r="H94" s="8">
        <v>259</v>
      </c>
      <c r="I94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TO-110 - TRECHO TAGUATINGA - AURORA DO TOCANTINS</v>
      </c>
      <c r="J94" s="74" t="s">
        <v>591</v>
      </c>
      <c r="K94" s="9">
        <f>'REGIÃO 13 - HISTÓRICO'!E94</f>
        <v>24704.48</v>
      </c>
      <c r="L94" s="8" t="str">
        <f>'REGIÃO 13 - HISTÓRICO'!I94</f>
        <v>Correção Fiscal</v>
      </c>
      <c r="M94" s="33"/>
    </row>
    <row r="95" spans="2:13" ht="31.2" x14ac:dyDescent="0.3">
      <c r="B95" s="32">
        <f>'REGIÃO 13 - HISTÓRICO'!B96</f>
        <v>93</v>
      </c>
      <c r="C95" s="76" t="s">
        <v>165</v>
      </c>
      <c r="D95" s="26" t="str">
        <f>_xlfn.XLOOKUP(tbResumoR13[[#This Row],[REGIÃO]],tbRegioes[Código Região],tbRegioes[Contrato],"")</f>
        <v>051.2024</v>
      </c>
      <c r="E95" s="25">
        <f>'REGIÃO 13 - HISTÓRICO'!C95</f>
        <v>164</v>
      </c>
      <c r="F95" s="208" t="s">
        <v>622</v>
      </c>
      <c r="G95" s="187" t="str">
        <f>'REGIÃO 13 - HISTÓRICO'!D95</f>
        <v>set/out/nov</v>
      </c>
      <c r="H95" s="8">
        <v>245</v>
      </c>
      <c r="I95" s="7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>RODOVIA TO-040 - TRECHO ENTR. TO-369 - ENTR. TO-280 (ALMAS)</v>
      </c>
      <c r="J95" s="74" t="s">
        <v>591</v>
      </c>
      <c r="K95" s="9">
        <f>'REGIÃO 13 - HISTÓRICO'!E95</f>
        <v>449217.37</v>
      </c>
      <c r="L95" s="8" t="str">
        <f>'REGIÃO 13 - HISTÓRICO'!I95</f>
        <v>Correção Fiscal</v>
      </c>
      <c r="M95" s="194"/>
    </row>
    <row r="96" spans="2:13" x14ac:dyDescent="0.3">
      <c r="B96" s="32">
        <f>'REGIÃO 13 - HISTÓRICO'!B96</f>
        <v>93</v>
      </c>
      <c r="C96" s="205"/>
      <c r="D96" s="206" t="str">
        <f>_xlfn.XLOOKUP(tbResumoR13[[#This Row],[REGIÃO]],tbRegioes[Código Região],tbRegioes[Contrato],"")</f>
        <v/>
      </c>
      <c r="E96" s="207"/>
      <c r="F96" s="208"/>
      <c r="G96" s="187"/>
      <c r="H96" s="8"/>
      <c r="I96" s="212" t="str">
        <f>IF(tbResumoR13[[#This Row],[N° TRECHO]]="","",IFERROR(INDEX(Tabela6[TRECHO],MATCH(tbResumoR13[[#This Row],[N° TRECHO]],Tabela6[NÚMERO TRECHO],0)),IFERROR(INDEX(Tabela7[TRECHO],MATCH(tbResumoR13[[#This Row],[N° TRECHO]],Tabela7[NÚMERO TRECHO],0)),IFERROR(INDEX(Tabela8[TRECHO],MATCH(tbResumoR13[[#This Row],[N° TRECHO]],Tabela8[NÚMERO TRECHO],0)),"Trecho não cadastrado"))))</f>
        <v/>
      </c>
      <c r="J96" s="74"/>
      <c r="K96" s="209"/>
      <c r="L96" s="210"/>
      <c r="M96" s="211"/>
    </row>
    <row r="97" spans="2:13" x14ac:dyDescent="0.3">
      <c r="B97" s="32"/>
      <c r="C97" s="305"/>
      <c r="D97" s="306"/>
      <c r="E97" s="316"/>
      <c r="F97" s="308"/>
      <c r="G97" s="309"/>
      <c r="H97" s="310"/>
      <c r="I97" s="311"/>
      <c r="J97" s="312"/>
      <c r="K97" s="313"/>
      <c r="L97" s="314"/>
      <c r="M97" s="315"/>
    </row>
  </sheetData>
  <sheetProtection formatCells="0" formatColumns="0" formatRows="0" insertColumns="0" insertRows="0" insertHyperlinks="0" deleteColumns="0" deleteRows="0" sort="0" autoFilter="0" pivotTables="0"/>
  <mergeCells count="2">
    <mergeCell ref="B2:M2"/>
    <mergeCell ref="C97:M97"/>
  </mergeCells>
  <phoneticPr fontId="3" type="noConversion"/>
  <dataValidations count="1">
    <dataValidation allowBlank="1" showInputMessage="1" showErrorMessage="1" sqref="D4:D96" xr:uid="{42999EC1-AC81-4793-842C-B94A551FFC18}"/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097F0B4-A19D-44CC-ABE0-B6D4BD53A375}">
          <x14:formula1>
            <xm:f>'Tabelas Auxiliares'!$B$4:$B$9</xm:f>
          </x14:formula1>
          <xm:sqref>C4:C96</xm:sqref>
        </x14:dataValidation>
        <x14:dataValidation type="list" allowBlank="1" showInputMessage="1" showErrorMessage="1" xr:uid="{12298777-084C-4348-81D1-79F0390DF7FC}">
          <x14:formula1>
            <xm:f>'Tabelas Auxiliares'!$M$4:$M$11</xm:f>
          </x14:formula1>
          <xm:sqref>L4:L96</xm:sqref>
        </x14:dataValidation>
        <x14:dataValidation type="list" allowBlank="1" showInputMessage="1" showErrorMessage="1" xr:uid="{8BE01BA0-2282-4B44-A7F2-A2F8591F6984}">
          <x14:formula1>
            <xm:f>'Tabelas Auxiliares'!$H$3:$H$85</xm:f>
          </x14:formula1>
          <xm:sqref>J4:J96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2EDF-E67A-4755-971E-E1B9B41E599E}">
  <sheetPr codeName="Planilha7"/>
  <dimension ref="B2:AG97"/>
  <sheetViews>
    <sheetView zoomScale="85" zoomScaleNormal="85" workbookViewId="0">
      <pane xSplit="9" ySplit="3" topLeftCell="X76" activePane="bottomRight" state="frozen"/>
      <selection pane="topRight" activeCell="J1" sqref="J1"/>
      <selection pane="bottomLeft" activeCell="A4" sqref="A4"/>
      <selection pane="bottomRight" activeCell="AA90" sqref="AA90"/>
    </sheetView>
  </sheetViews>
  <sheetFormatPr defaultRowHeight="15.6" x14ac:dyDescent="0.3"/>
  <cols>
    <col min="1" max="1" width="3" customWidth="1"/>
    <col min="2" max="2" width="4.19921875" style="10" hidden="1" customWidth="1"/>
    <col min="3" max="3" width="11.69921875" style="10" customWidth="1"/>
    <col min="4" max="4" width="20" style="10" customWidth="1"/>
    <col min="5" max="7" width="22.5" customWidth="1"/>
    <col min="8" max="8" width="14.8984375" customWidth="1"/>
    <col min="9" max="9" width="22.5" style="35" customWidth="1"/>
    <col min="10" max="10" width="15.8984375" style="45" customWidth="1"/>
    <col min="11" max="11" width="14.69921875" style="10" customWidth="1"/>
    <col min="12" max="12" width="15.5" style="45" customWidth="1"/>
    <col min="13" max="13" width="14.796875" style="10" customWidth="1"/>
    <col min="14" max="14" width="15.59765625" customWidth="1"/>
    <col min="15" max="15" width="14.69921875" style="10" customWidth="1"/>
    <col min="16" max="16" width="15.59765625" customWidth="1"/>
    <col min="17" max="17" width="14.69921875" customWidth="1"/>
    <col min="18" max="18" width="15.59765625" customWidth="1"/>
    <col min="19" max="19" width="14.69921875" customWidth="1"/>
    <col min="20" max="20" width="15.59765625" customWidth="1"/>
    <col min="21" max="21" width="14.69921875" customWidth="1"/>
    <col min="22" max="22" width="15.59765625" customWidth="1"/>
    <col min="23" max="23" width="14.69921875" customWidth="1"/>
    <col min="24" max="24" width="15.59765625" customWidth="1"/>
    <col min="25" max="25" width="14.69921875" customWidth="1"/>
    <col min="26" max="26" width="15.59765625" customWidth="1"/>
    <col min="27" max="27" width="14.69921875" customWidth="1"/>
    <col min="28" max="28" width="15.59765625" customWidth="1"/>
    <col min="29" max="29" width="14.69921875" customWidth="1"/>
    <col min="30" max="30" width="15.59765625" customWidth="1"/>
    <col min="31" max="31" width="14.69921875" customWidth="1"/>
    <col min="32" max="32" width="15.59765625" customWidth="1"/>
    <col min="33" max="33" width="14.69921875" customWidth="1"/>
  </cols>
  <sheetData>
    <row r="2" spans="2:33" ht="30.6" customHeight="1" x14ac:dyDescent="0.3">
      <c r="B2" s="215" t="s">
        <v>183</v>
      </c>
      <c r="C2" s="216"/>
      <c r="D2" s="216"/>
      <c r="E2" s="216"/>
      <c r="F2" s="216"/>
      <c r="G2" s="216"/>
      <c r="H2" s="216"/>
      <c r="I2" s="216"/>
      <c r="J2" s="221">
        <v>46023</v>
      </c>
      <c r="K2" s="222"/>
      <c r="L2" s="223">
        <v>46054</v>
      </c>
      <c r="M2" s="224"/>
      <c r="N2" s="217">
        <v>46082</v>
      </c>
      <c r="O2" s="218"/>
      <c r="P2" s="219">
        <v>46113</v>
      </c>
      <c r="Q2" s="220"/>
      <c r="R2" s="221">
        <v>46143</v>
      </c>
      <c r="S2" s="222"/>
      <c r="T2" s="223">
        <v>46174</v>
      </c>
      <c r="U2" s="224"/>
      <c r="V2" s="217">
        <v>46204</v>
      </c>
      <c r="W2" s="218"/>
      <c r="X2" s="219">
        <v>46235</v>
      </c>
      <c r="Y2" s="220"/>
      <c r="Z2" s="221">
        <v>46266</v>
      </c>
      <c r="AA2" s="222"/>
      <c r="AB2" s="223">
        <v>46296</v>
      </c>
      <c r="AC2" s="224"/>
      <c r="AD2" s="217">
        <v>46327</v>
      </c>
      <c r="AE2" s="218"/>
      <c r="AF2" s="219">
        <v>46357</v>
      </c>
      <c r="AG2" s="220"/>
    </row>
    <row r="3" spans="2:33" ht="31.2" x14ac:dyDescent="0.3">
      <c r="B3" s="16" t="s">
        <v>3</v>
      </c>
      <c r="C3" s="16" t="s">
        <v>6</v>
      </c>
      <c r="D3" s="16" t="s">
        <v>24</v>
      </c>
      <c r="E3" s="16" t="s">
        <v>1</v>
      </c>
      <c r="F3" s="16" t="s">
        <v>25</v>
      </c>
      <c r="G3" s="16" t="s">
        <v>26</v>
      </c>
      <c r="H3" s="16" t="s">
        <v>28</v>
      </c>
      <c r="I3" s="48" t="s">
        <v>27</v>
      </c>
      <c r="J3" s="49" t="s">
        <v>23</v>
      </c>
      <c r="K3" s="13" t="s">
        <v>10</v>
      </c>
      <c r="L3" s="11" t="s">
        <v>23</v>
      </c>
      <c r="M3" s="11" t="s">
        <v>10</v>
      </c>
      <c r="N3" s="14" t="s">
        <v>23</v>
      </c>
      <c r="O3" s="14" t="s">
        <v>10</v>
      </c>
      <c r="P3" s="15" t="s">
        <v>23</v>
      </c>
      <c r="Q3" s="15" t="s">
        <v>10</v>
      </c>
      <c r="R3" s="13" t="s">
        <v>23</v>
      </c>
      <c r="S3" s="13" t="s">
        <v>10</v>
      </c>
      <c r="T3" s="11" t="s">
        <v>23</v>
      </c>
      <c r="U3" s="11" t="s">
        <v>10</v>
      </c>
      <c r="V3" s="14" t="s">
        <v>23</v>
      </c>
      <c r="W3" s="14" t="s">
        <v>10</v>
      </c>
      <c r="X3" s="15" t="s">
        <v>23</v>
      </c>
      <c r="Y3" s="15" t="s">
        <v>10</v>
      </c>
      <c r="Z3" s="13" t="s">
        <v>23</v>
      </c>
      <c r="AA3" s="13" t="s">
        <v>10</v>
      </c>
      <c r="AB3" s="11" t="s">
        <v>23</v>
      </c>
      <c r="AC3" s="11" t="s">
        <v>10</v>
      </c>
      <c r="AD3" s="14" t="s">
        <v>23</v>
      </c>
      <c r="AE3" s="14" t="s">
        <v>10</v>
      </c>
      <c r="AF3" s="15" t="s">
        <v>23</v>
      </c>
      <c r="AG3" s="15" t="s">
        <v>10</v>
      </c>
    </row>
    <row r="4" spans="2:33" x14ac:dyDescent="0.3">
      <c r="B4" s="29">
        <f t="shared" ref="B4:B13" si="0">ROW()-ROW($B$3)</f>
        <v>1</v>
      </c>
      <c r="C4" s="31">
        <v>73</v>
      </c>
      <c r="D4" s="12" t="s">
        <v>609</v>
      </c>
      <c r="E4" s="18">
        <v>98239.679999999993</v>
      </c>
      <c r="F4" s="18">
        <f t="shared" ref="F4:F67" si="1">SUM(J4,L4,N4,P4,R4,T4,V4,X4,Z4,AB4,AD4,AF4)</f>
        <v>82601.86</v>
      </c>
      <c r="G4" s="47">
        <f t="shared" ref="G4:G13" si="2">E4-F4</f>
        <v>15637.819999999992</v>
      </c>
      <c r="H4" s="46">
        <f t="shared" ref="H4:H67" si="3">IFERROR(F4/E4,0)</f>
        <v>0.84081971765380348</v>
      </c>
      <c r="I4" s="78" t="str" cm="1">
        <f t="array" ref="I4">IFERROR(LOOKUP(2,1/((MOD(COLUMN($K4:$AG4),2)=1)*($K4:$AG4&lt;&gt;"-")*($K4:$AG4&lt;&gt;"")),$K4:$AG4),"-")</f>
        <v>Concluída</v>
      </c>
      <c r="J4" s="44">
        <v>14461.95</v>
      </c>
      <c r="K4" s="21" t="s">
        <v>18</v>
      </c>
      <c r="L4" s="44"/>
      <c r="M4" s="21" t="s">
        <v>20</v>
      </c>
      <c r="N4" s="44">
        <v>68139.91</v>
      </c>
      <c r="O4" s="21" t="s">
        <v>19</v>
      </c>
      <c r="P4" s="44"/>
      <c r="Q4" s="21"/>
      <c r="R4" s="44"/>
      <c r="S4" s="21"/>
      <c r="T4" s="44"/>
      <c r="U4" s="21"/>
      <c r="V4" s="44"/>
      <c r="W4" s="21"/>
      <c r="X4" s="44"/>
      <c r="Y4" s="21"/>
      <c r="Z4" s="44"/>
      <c r="AA4" s="21"/>
      <c r="AB4" s="44"/>
      <c r="AC4" s="21"/>
      <c r="AD4" s="44"/>
      <c r="AE4" s="21"/>
      <c r="AF4" s="44"/>
      <c r="AG4" s="21"/>
    </row>
    <row r="5" spans="2:33" x14ac:dyDescent="0.3">
      <c r="B5" s="29">
        <f t="shared" si="0"/>
        <v>2</v>
      </c>
      <c r="C5" s="31">
        <v>74</v>
      </c>
      <c r="D5" s="12" t="s">
        <v>649</v>
      </c>
      <c r="E5" s="18">
        <v>329309.36</v>
      </c>
      <c r="F5" s="18">
        <f t="shared" si="1"/>
        <v>328999.46999999997</v>
      </c>
      <c r="G5" s="47">
        <f t="shared" si="2"/>
        <v>309.89000000001397</v>
      </c>
      <c r="H5" s="46">
        <f t="shared" si="3"/>
        <v>0.99905896996064725</v>
      </c>
      <c r="I5" s="78" t="str" cm="1">
        <f t="array" ref="I5">IFERROR(LOOKUP(2,1/((MOD(COLUMN($K5:$AG5),2)=1)*($K5:$AG5&lt;&gt;"-")*($K5:$AG5&lt;&gt;"")),$K5:$AG5),"-")</f>
        <v>Concluída</v>
      </c>
      <c r="J5" s="44">
        <v>197.02</v>
      </c>
      <c r="K5" s="21" t="s">
        <v>18</v>
      </c>
      <c r="L5" s="44">
        <v>317147.34999999998</v>
      </c>
      <c r="M5" s="21" t="s">
        <v>18</v>
      </c>
      <c r="N5" s="44">
        <v>11655.1</v>
      </c>
      <c r="O5" s="21" t="s">
        <v>19</v>
      </c>
      <c r="P5" s="44"/>
      <c r="Q5" s="21"/>
      <c r="R5" s="44"/>
      <c r="S5" s="21"/>
      <c r="T5" s="44"/>
      <c r="U5" s="21"/>
      <c r="V5" s="44"/>
      <c r="W5" s="21"/>
      <c r="X5" s="44"/>
      <c r="Y5" s="21"/>
      <c r="Z5" s="44"/>
      <c r="AA5" s="21"/>
      <c r="AB5" s="44"/>
      <c r="AC5" s="21"/>
      <c r="AD5" s="44"/>
      <c r="AE5" s="21"/>
      <c r="AF5" s="44"/>
      <c r="AG5" s="21"/>
    </row>
    <row r="6" spans="2:33" x14ac:dyDescent="0.3">
      <c r="B6" s="29">
        <f t="shared" si="0"/>
        <v>3</v>
      </c>
      <c r="C6" s="31">
        <v>75</v>
      </c>
      <c r="D6" s="12" t="s">
        <v>609</v>
      </c>
      <c r="E6" s="18">
        <v>140435.54</v>
      </c>
      <c r="F6" s="18">
        <f t="shared" si="1"/>
        <v>139709.41</v>
      </c>
      <c r="G6" s="47">
        <f t="shared" si="2"/>
        <v>726.13000000000466</v>
      </c>
      <c r="H6" s="46">
        <f t="shared" si="3"/>
        <v>0.99482944274647278</v>
      </c>
      <c r="I6" s="78" t="str" cm="1">
        <f t="array" ref="I6">IFERROR(LOOKUP(2,1/((MOD(COLUMN($K6:$AG6),2)=1)*($K6:$AG6&lt;&gt;"-")*($K6:$AG6&lt;&gt;"")),$K6:$AG6),"-")</f>
        <v>Concluída</v>
      </c>
      <c r="J6" s="44">
        <v>63035.519999999997</v>
      </c>
      <c r="K6" s="21" t="s">
        <v>18</v>
      </c>
      <c r="L6" s="44">
        <v>39736.42</v>
      </c>
      <c r="M6" s="21" t="s">
        <v>18</v>
      </c>
      <c r="N6" s="44">
        <v>36937.47</v>
      </c>
      <c r="O6" s="21" t="s">
        <v>19</v>
      </c>
      <c r="P6" s="44"/>
      <c r="Q6" s="21"/>
      <c r="R6" s="44"/>
      <c r="S6" s="21"/>
      <c r="T6" s="44"/>
      <c r="U6" s="21"/>
      <c r="V6" s="44"/>
      <c r="W6" s="21"/>
      <c r="X6" s="44"/>
      <c r="Y6" s="21"/>
      <c r="Z6" s="44"/>
      <c r="AA6" s="21"/>
      <c r="AB6" s="44"/>
      <c r="AC6" s="21"/>
      <c r="AD6" s="44"/>
      <c r="AE6" s="21"/>
      <c r="AF6" s="44"/>
      <c r="AG6" s="21"/>
    </row>
    <row r="7" spans="2:33" x14ac:dyDescent="0.3">
      <c r="B7" s="29">
        <f t="shared" si="0"/>
        <v>4</v>
      </c>
      <c r="C7" s="31">
        <v>76</v>
      </c>
      <c r="D7" s="12" t="s">
        <v>609</v>
      </c>
      <c r="E7" s="18">
        <v>157252.35</v>
      </c>
      <c r="F7" s="18">
        <f t="shared" si="1"/>
        <v>155888.88999999998</v>
      </c>
      <c r="G7" s="47">
        <f t="shared" si="2"/>
        <v>1363.460000000021</v>
      </c>
      <c r="H7" s="46">
        <f t="shared" si="3"/>
        <v>0.99132947774707325</v>
      </c>
      <c r="I7" s="78" t="str" cm="1">
        <f t="array" ref="I7">IFERROR(LOOKUP(2,1/((MOD(COLUMN($K7:$AG7),2)=1)*($K7:$AG7&lt;&gt;"-")*($K7:$AG7&lt;&gt;"")),$K7:$AG7),"-")</f>
        <v>Concluída</v>
      </c>
      <c r="J7" s="44">
        <v>196.18</v>
      </c>
      <c r="K7" s="21" t="s">
        <v>18</v>
      </c>
      <c r="L7" s="44"/>
      <c r="M7" s="21" t="s">
        <v>20</v>
      </c>
      <c r="N7" s="44">
        <v>155692.71</v>
      </c>
      <c r="O7" s="21" t="s">
        <v>19</v>
      </c>
      <c r="P7" s="44"/>
      <c r="Q7" s="21"/>
      <c r="R7" s="44"/>
      <c r="S7" s="21"/>
      <c r="T7" s="44"/>
      <c r="U7" s="21"/>
      <c r="V7" s="44"/>
      <c r="W7" s="21"/>
      <c r="X7" s="44"/>
      <c r="Y7" s="21"/>
      <c r="Z7" s="44"/>
      <c r="AA7" s="21"/>
      <c r="AB7" s="44"/>
      <c r="AC7" s="21"/>
      <c r="AD7" s="44"/>
      <c r="AE7" s="21"/>
      <c r="AF7" s="44"/>
      <c r="AG7" s="21"/>
    </row>
    <row r="8" spans="2:33" x14ac:dyDescent="0.3">
      <c r="B8" s="29">
        <f t="shared" si="0"/>
        <v>5</v>
      </c>
      <c r="C8" s="31">
        <v>77</v>
      </c>
      <c r="D8" s="12" t="s">
        <v>649</v>
      </c>
      <c r="E8" s="18">
        <v>1234328.1299999999</v>
      </c>
      <c r="F8" s="18">
        <f t="shared" si="1"/>
        <v>1210136.49</v>
      </c>
      <c r="G8" s="47">
        <f t="shared" si="2"/>
        <v>24191.639999999898</v>
      </c>
      <c r="H8" s="46">
        <f t="shared" si="3"/>
        <v>0.98040096517933206</v>
      </c>
      <c r="I8" s="78" t="str" cm="1">
        <f t="array" ref="I8">IFERROR(LOOKUP(2,1/((MOD(COLUMN($K8:$AG8),2)=1)*($K8:$AG8&lt;&gt;"-")*($K8:$AG8&lt;&gt;"")),$K8:$AG8),"-")</f>
        <v>Concluída</v>
      </c>
      <c r="J8" s="44">
        <v>886195.18</v>
      </c>
      <c r="K8" s="21" t="s">
        <v>18</v>
      </c>
      <c r="L8" s="44">
        <v>323941.31</v>
      </c>
      <c r="M8" s="21" t="s">
        <v>19</v>
      </c>
      <c r="N8" s="44"/>
      <c r="O8" s="21"/>
      <c r="P8" s="44"/>
      <c r="Q8" s="21"/>
      <c r="R8" s="44"/>
      <c r="S8" s="21"/>
      <c r="T8" s="44"/>
      <c r="U8" s="21"/>
      <c r="V8" s="44"/>
      <c r="W8" s="21"/>
      <c r="X8" s="44"/>
      <c r="Y8" s="21"/>
      <c r="Z8" s="44"/>
      <c r="AA8" s="21"/>
      <c r="AB8" s="44"/>
      <c r="AC8" s="21"/>
      <c r="AD8" s="44"/>
      <c r="AE8" s="21"/>
      <c r="AF8" s="44"/>
      <c r="AG8" s="21"/>
    </row>
    <row r="9" spans="2:33" x14ac:dyDescent="0.3">
      <c r="B9" s="29">
        <f t="shared" si="0"/>
        <v>6</v>
      </c>
      <c r="C9" s="31">
        <v>78</v>
      </c>
      <c r="D9" s="12" t="s">
        <v>609</v>
      </c>
      <c r="E9" s="18">
        <v>98271.39</v>
      </c>
      <c r="F9" s="18">
        <f t="shared" si="1"/>
        <v>96481.25</v>
      </c>
      <c r="G9" s="47">
        <f t="shared" si="2"/>
        <v>1790.1399999999994</v>
      </c>
      <c r="H9" s="46">
        <f t="shared" si="3"/>
        <v>0.98178371141387133</v>
      </c>
      <c r="I9" s="78" t="str" cm="1">
        <f t="array" ref="I9">IFERROR(LOOKUP(2,1/((MOD(COLUMN($K9:$AG9),2)=1)*($K9:$AG9&lt;&gt;"-")*($K9:$AG9&lt;&gt;"")),$K9:$AG9),"-")</f>
        <v>Concluída</v>
      </c>
      <c r="J9" s="44">
        <v>184.27</v>
      </c>
      <c r="K9" s="21" t="s">
        <v>18</v>
      </c>
      <c r="L9" s="44">
        <v>30179.98</v>
      </c>
      <c r="M9" s="21" t="s">
        <v>18</v>
      </c>
      <c r="N9" s="44">
        <v>66117</v>
      </c>
      <c r="O9" s="21" t="s">
        <v>19</v>
      </c>
      <c r="P9" s="44"/>
      <c r="Q9" s="21"/>
      <c r="R9" s="44"/>
      <c r="S9" s="21"/>
      <c r="T9" s="44"/>
      <c r="U9" s="21"/>
      <c r="V9" s="44"/>
      <c r="W9" s="21"/>
      <c r="X9" s="44"/>
      <c r="Y9" s="21"/>
      <c r="Z9" s="44"/>
      <c r="AA9" s="21"/>
      <c r="AB9" s="44"/>
      <c r="AC9" s="21"/>
      <c r="AD9" s="44"/>
      <c r="AE9" s="21"/>
      <c r="AF9" s="44"/>
      <c r="AG9" s="21"/>
    </row>
    <row r="10" spans="2:33" x14ac:dyDescent="0.3">
      <c r="B10" s="29">
        <f t="shared" si="0"/>
        <v>7</v>
      </c>
      <c r="C10" s="31">
        <v>79</v>
      </c>
      <c r="D10" s="12" t="s">
        <v>650</v>
      </c>
      <c r="E10" s="18">
        <v>569533.54</v>
      </c>
      <c r="F10" s="18">
        <f t="shared" si="1"/>
        <v>549759.97</v>
      </c>
      <c r="G10" s="47">
        <f t="shared" si="2"/>
        <v>19773.570000000065</v>
      </c>
      <c r="H10" s="46">
        <f t="shared" si="3"/>
        <v>0.96528111408504569</v>
      </c>
      <c r="I10" s="78" t="str" cm="1">
        <f t="array" ref="I10">IFERROR(LOOKUP(2,1/((MOD(COLUMN($K10:$AG10),2)=1)*($K10:$AG10&lt;&gt;"-")*($K10:$AG10&lt;&gt;"")),$K10:$AG10),"-")</f>
        <v>Concluída</v>
      </c>
      <c r="J10" s="44"/>
      <c r="K10" s="21"/>
      <c r="L10" s="44">
        <v>494827.35</v>
      </c>
      <c r="M10" s="21" t="s">
        <v>18</v>
      </c>
      <c r="N10" s="44">
        <v>54932.62</v>
      </c>
      <c r="O10" s="21" t="s">
        <v>19</v>
      </c>
      <c r="P10" s="44"/>
      <c r="Q10" s="21"/>
      <c r="R10" s="44"/>
      <c r="S10" s="21"/>
      <c r="T10" s="44"/>
      <c r="U10" s="21"/>
      <c r="V10" s="44"/>
      <c r="W10" s="21"/>
      <c r="X10" s="44"/>
      <c r="Y10" s="21"/>
      <c r="Z10" s="44"/>
      <c r="AA10" s="21"/>
      <c r="AB10" s="44"/>
      <c r="AC10" s="21"/>
      <c r="AD10" s="44"/>
      <c r="AE10" s="21"/>
      <c r="AF10" s="44"/>
      <c r="AG10" s="21"/>
    </row>
    <row r="11" spans="2:33" x14ac:dyDescent="0.3">
      <c r="B11" s="29">
        <f t="shared" si="0"/>
        <v>8</v>
      </c>
      <c r="C11" s="31">
        <v>80</v>
      </c>
      <c r="D11" s="12" t="s">
        <v>615</v>
      </c>
      <c r="E11" s="18">
        <v>361880.42</v>
      </c>
      <c r="F11" s="18">
        <f t="shared" si="1"/>
        <v>184280.95999999999</v>
      </c>
      <c r="G11" s="47">
        <f t="shared" si="2"/>
        <v>177599.46</v>
      </c>
      <c r="H11" s="46">
        <f t="shared" si="3"/>
        <v>0.50923164066185178</v>
      </c>
      <c r="I11" s="78" t="str" cm="1">
        <f t="array" ref="I11">IFERROR(LOOKUP(2,1/((MOD(COLUMN($K11:$AG11),2)=1)*($K11:$AG11&lt;&gt;"-")*($K11:$AG11&lt;&gt;"")),$K11:$AG11),"-")</f>
        <v>Concluída</v>
      </c>
      <c r="J11" s="44"/>
      <c r="K11" s="21"/>
      <c r="L11" s="44"/>
      <c r="M11" s="21" t="s">
        <v>20</v>
      </c>
      <c r="N11" s="44"/>
      <c r="O11" s="21" t="s">
        <v>20</v>
      </c>
      <c r="P11" s="44">
        <v>184280.95999999999</v>
      </c>
      <c r="Q11" s="21" t="s">
        <v>19</v>
      </c>
      <c r="R11" s="44"/>
      <c r="S11" s="21"/>
      <c r="T11" s="44"/>
      <c r="U11" s="21"/>
      <c r="V11" s="44"/>
      <c r="W11" s="21"/>
      <c r="X11" s="44"/>
      <c r="Y11" s="21"/>
      <c r="Z11" s="44"/>
      <c r="AA11" s="21"/>
      <c r="AB11" s="44"/>
      <c r="AC11" s="21"/>
      <c r="AD11" s="44"/>
      <c r="AE11" s="21"/>
      <c r="AF11" s="44"/>
      <c r="AG11" s="21"/>
    </row>
    <row r="12" spans="2:33" x14ac:dyDescent="0.3">
      <c r="B12" s="29">
        <f t="shared" si="0"/>
        <v>9</v>
      </c>
      <c r="C12" s="31">
        <v>81</v>
      </c>
      <c r="D12" s="12" t="s">
        <v>615</v>
      </c>
      <c r="E12" s="18">
        <v>616483.01</v>
      </c>
      <c r="F12" s="18">
        <f t="shared" si="1"/>
        <v>616238.34000000008</v>
      </c>
      <c r="G12" s="47">
        <f t="shared" si="2"/>
        <v>244.66999999992549</v>
      </c>
      <c r="H12" s="46">
        <f t="shared" si="3"/>
        <v>0.99960311963828508</v>
      </c>
      <c r="I12" s="78" t="str" cm="1">
        <f t="array" ref="I12">IFERROR(LOOKUP(2,1/((MOD(COLUMN($K12:$AG12),2)=1)*($K12:$AG12&lt;&gt;"-")*($K12:$AG12&lt;&gt;"")),$K12:$AG12),"-")</f>
        <v>Concluída</v>
      </c>
      <c r="J12" s="44"/>
      <c r="K12" s="21"/>
      <c r="L12" s="44">
        <v>305816.45</v>
      </c>
      <c r="M12" s="21" t="s">
        <v>18</v>
      </c>
      <c r="N12" s="44">
        <v>310421.89</v>
      </c>
      <c r="O12" s="21" t="s">
        <v>19</v>
      </c>
      <c r="P12" s="44"/>
      <c r="Q12" s="21"/>
      <c r="R12" s="44"/>
      <c r="S12" s="21"/>
      <c r="T12" s="44"/>
      <c r="U12" s="21"/>
      <c r="V12" s="44"/>
      <c r="W12" s="21"/>
      <c r="X12" s="44"/>
      <c r="Y12" s="21"/>
      <c r="Z12" s="44"/>
      <c r="AA12" s="21"/>
      <c r="AB12" s="44"/>
      <c r="AC12" s="21"/>
      <c r="AD12" s="44"/>
      <c r="AE12" s="21"/>
      <c r="AF12" s="44"/>
      <c r="AG12" s="21"/>
    </row>
    <row r="13" spans="2:33" x14ac:dyDescent="0.3">
      <c r="B13" s="29">
        <f t="shared" si="0"/>
        <v>10</v>
      </c>
      <c r="C13" s="31">
        <v>82</v>
      </c>
      <c r="D13" s="12" t="s">
        <v>650</v>
      </c>
      <c r="E13" s="18">
        <v>46532.4</v>
      </c>
      <c r="F13" s="18">
        <f t="shared" si="1"/>
        <v>37686.89</v>
      </c>
      <c r="G13" s="47">
        <f t="shared" si="2"/>
        <v>8845.510000000002</v>
      </c>
      <c r="H13" s="46">
        <f t="shared" si="3"/>
        <v>0.80990643078801006</v>
      </c>
      <c r="I13" s="78" t="str" cm="1">
        <f t="array" ref="I13">IFERROR(LOOKUP(2,1/((MOD(COLUMN($K13:$AG13),2)=1)*($K13:$AG13&lt;&gt;"-")*($K13:$AG13&lt;&gt;"")),$K13:$AG13),"-")</f>
        <v>Concluída</v>
      </c>
      <c r="J13" s="44"/>
      <c r="K13" s="21"/>
      <c r="L13" s="44"/>
      <c r="M13" s="21" t="s">
        <v>20</v>
      </c>
      <c r="N13" s="44">
        <v>37686.89</v>
      </c>
      <c r="O13" s="21" t="s">
        <v>19</v>
      </c>
      <c r="P13" s="44"/>
      <c r="Q13" s="21"/>
      <c r="R13" s="44"/>
      <c r="S13" s="21"/>
      <c r="T13" s="44"/>
      <c r="U13" s="21"/>
      <c r="V13" s="44"/>
      <c r="W13" s="21"/>
      <c r="X13" s="44"/>
      <c r="Y13" s="21"/>
      <c r="Z13" s="44"/>
      <c r="AA13" s="21"/>
      <c r="AB13" s="44"/>
      <c r="AC13" s="21"/>
      <c r="AD13" s="44"/>
      <c r="AE13" s="21"/>
      <c r="AF13" s="44"/>
      <c r="AG13" s="21"/>
    </row>
    <row r="14" spans="2:33" x14ac:dyDescent="0.3">
      <c r="B14" s="29"/>
      <c r="C14" s="31">
        <v>83</v>
      </c>
      <c r="D14" s="12" t="s">
        <v>610</v>
      </c>
      <c r="E14" s="18">
        <v>396115.31</v>
      </c>
      <c r="F14" s="18">
        <f t="shared" si="1"/>
        <v>270038.45</v>
      </c>
      <c r="G14" s="47">
        <f t="shared" ref="G14:G30" si="4">E14-F14</f>
        <v>126076.85999999999</v>
      </c>
      <c r="H14" s="46">
        <f t="shared" si="3"/>
        <v>0.6817167708059555</v>
      </c>
      <c r="I14" s="78" t="str" cm="1">
        <f t="array" ref="I14">IFERROR(LOOKUP(2,1/((MOD(COLUMN($K14:$AG14),2)=1)*($K14:$AG14&lt;&gt;"-")*($K14:$AG14&lt;&gt;"")),$K14:$AG14),"-")</f>
        <v>Concluída</v>
      </c>
      <c r="J14" s="44"/>
      <c r="K14" s="21"/>
      <c r="L14" s="44"/>
      <c r="M14" s="21"/>
      <c r="N14" s="44">
        <v>270038.45</v>
      </c>
      <c r="O14" s="21" t="s">
        <v>19</v>
      </c>
      <c r="P14" s="44"/>
      <c r="Q14" s="21"/>
      <c r="R14" s="44"/>
      <c r="S14" s="21"/>
      <c r="T14" s="44"/>
      <c r="U14" s="21"/>
      <c r="V14" s="44"/>
      <c r="W14" s="21"/>
      <c r="X14" s="44"/>
      <c r="Y14" s="21"/>
      <c r="Z14" s="44"/>
      <c r="AA14" s="21"/>
      <c r="AB14" s="44"/>
      <c r="AC14" s="21"/>
      <c r="AD14" s="44"/>
      <c r="AE14" s="21"/>
      <c r="AF14" s="44"/>
      <c r="AG14" s="21"/>
    </row>
    <row r="15" spans="2:33" x14ac:dyDescent="0.3">
      <c r="B15" s="29"/>
      <c r="C15" s="31">
        <v>84</v>
      </c>
      <c r="D15" s="12" t="s">
        <v>610</v>
      </c>
      <c r="E15" s="18">
        <v>304771.96000000002</v>
      </c>
      <c r="F15" s="18">
        <f t="shared" si="1"/>
        <v>303326.71999999997</v>
      </c>
      <c r="G15" s="47">
        <f t="shared" si="4"/>
        <v>1445.2400000000489</v>
      </c>
      <c r="H15" s="46">
        <f t="shared" si="3"/>
        <v>0.9952579627075927</v>
      </c>
      <c r="I15" s="78" t="str" cm="1">
        <f t="array" ref="I15">IFERROR(LOOKUP(2,1/((MOD(COLUMN($K15:$AG15),2)=1)*($K15:$AG15&lt;&gt;"-")*($K15:$AG15&lt;&gt;"")),$K15:$AG15),"-")</f>
        <v>Concluída</v>
      </c>
      <c r="J15" s="44"/>
      <c r="K15" s="21"/>
      <c r="L15" s="44"/>
      <c r="M15" s="21"/>
      <c r="N15" s="44">
        <v>303326.71999999997</v>
      </c>
      <c r="O15" s="21" t="s">
        <v>19</v>
      </c>
      <c r="P15" s="44"/>
      <c r="Q15" s="21"/>
      <c r="R15" s="44"/>
      <c r="S15" s="21"/>
      <c r="T15" s="44"/>
      <c r="U15" s="21"/>
      <c r="V15" s="44"/>
      <c r="W15" s="21"/>
      <c r="X15" s="44"/>
      <c r="Y15" s="21"/>
      <c r="Z15" s="44"/>
      <c r="AA15" s="21"/>
      <c r="AB15" s="44"/>
      <c r="AC15" s="21"/>
      <c r="AD15" s="44"/>
      <c r="AE15" s="21"/>
      <c r="AF15" s="44"/>
      <c r="AG15" s="21"/>
    </row>
    <row r="16" spans="2:33" x14ac:dyDescent="0.3">
      <c r="B16" s="29"/>
      <c r="C16" s="31">
        <v>85</v>
      </c>
      <c r="D16" s="12" t="s">
        <v>610</v>
      </c>
      <c r="E16" s="18">
        <v>64506.29</v>
      </c>
      <c r="F16" s="18">
        <f t="shared" si="1"/>
        <v>64506.29</v>
      </c>
      <c r="G16" s="47">
        <f t="shared" si="4"/>
        <v>0</v>
      </c>
      <c r="H16" s="46">
        <f t="shared" si="3"/>
        <v>1</v>
      </c>
      <c r="I16" s="78" t="str" cm="1">
        <f t="array" ref="I16">IFERROR(LOOKUP(2,1/((MOD(COLUMN($K16:$AG16),2)=1)*($K16:$AG16&lt;&gt;"-")*($K16:$AG16&lt;&gt;"")),$K16:$AG16),"-")</f>
        <v>Concluída</v>
      </c>
      <c r="J16" s="44"/>
      <c r="K16" s="21"/>
      <c r="L16" s="44"/>
      <c r="M16" s="21"/>
      <c r="N16" s="44">
        <v>64506.29</v>
      </c>
      <c r="O16" s="21" t="s">
        <v>19</v>
      </c>
      <c r="P16" s="44"/>
      <c r="Q16" s="21"/>
      <c r="R16" s="44"/>
      <c r="S16" s="21"/>
      <c r="T16" s="44"/>
      <c r="U16" s="21"/>
      <c r="V16" s="44"/>
      <c r="W16" s="21"/>
      <c r="X16" s="44"/>
      <c r="Y16" s="21"/>
      <c r="Z16" s="44"/>
      <c r="AA16" s="21"/>
      <c r="AB16" s="44"/>
      <c r="AC16" s="21"/>
      <c r="AD16" s="44"/>
      <c r="AE16" s="21"/>
      <c r="AF16" s="44"/>
      <c r="AG16" s="21"/>
    </row>
    <row r="17" spans="2:33" x14ac:dyDescent="0.3">
      <c r="B17" s="29"/>
      <c r="C17" s="31">
        <v>86</v>
      </c>
      <c r="D17" s="12" t="s">
        <v>642</v>
      </c>
      <c r="E17" s="18">
        <v>10233.94</v>
      </c>
      <c r="F17" s="18">
        <f t="shared" si="1"/>
        <v>6205</v>
      </c>
      <c r="G17" s="47">
        <f t="shared" si="4"/>
        <v>4028.9400000000005</v>
      </c>
      <c r="H17" s="46">
        <f t="shared" si="3"/>
        <v>0.60631584707356112</v>
      </c>
      <c r="I17" s="78" t="str" cm="1">
        <f t="array" ref="I17">IFERROR(LOOKUP(2,1/((MOD(COLUMN($K17:$AG17),2)=1)*($K17:$AG17&lt;&gt;"-")*($K17:$AG17&lt;&gt;"")),$K17:$AG17),"-")</f>
        <v>Justificada</v>
      </c>
      <c r="J17" s="44"/>
      <c r="K17" s="21"/>
      <c r="L17" s="44"/>
      <c r="M17" s="21"/>
      <c r="N17" s="44"/>
      <c r="O17" s="21" t="s">
        <v>20</v>
      </c>
      <c r="P17" s="44">
        <v>6205</v>
      </c>
      <c r="Q17" s="21" t="s">
        <v>20</v>
      </c>
      <c r="R17" s="44"/>
      <c r="S17" s="21"/>
      <c r="T17" s="44"/>
      <c r="U17" s="21"/>
      <c r="V17" s="44"/>
      <c r="W17" s="21"/>
      <c r="X17" s="44"/>
      <c r="Y17" s="21"/>
      <c r="Z17" s="44"/>
      <c r="AA17" s="21"/>
      <c r="AB17" s="44"/>
      <c r="AC17" s="21"/>
      <c r="AD17" s="44"/>
      <c r="AE17" s="21"/>
      <c r="AF17" s="44"/>
      <c r="AG17" s="21"/>
    </row>
    <row r="18" spans="2:33" x14ac:dyDescent="0.3">
      <c r="B18" s="29"/>
      <c r="C18" s="31">
        <v>87</v>
      </c>
      <c r="D18" s="12" t="s">
        <v>642</v>
      </c>
      <c r="E18" s="18">
        <v>7238.27</v>
      </c>
      <c r="F18" s="18">
        <f t="shared" si="1"/>
        <v>812.14</v>
      </c>
      <c r="G18" s="47">
        <f t="shared" si="4"/>
        <v>6426.13</v>
      </c>
      <c r="H18" s="46">
        <f t="shared" si="3"/>
        <v>0.11220084357173744</v>
      </c>
      <c r="I18" s="78" t="str" cm="1">
        <f t="array" ref="I18">IFERROR(LOOKUP(2,1/((MOD(COLUMN($K18:$AG18),2)=1)*($K18:$AG18&lt;&gt;"-")*($K18:$AG18&lt;&gt;"")),$K18:$AG18),"-")</f>
        <v>Concluída</v>
      </c>
      <c r="J18" s="44"/>
      <c r="K18" s="21"/>
      <c r="L18" s="44"/>
      <c r="M18" s="21"/>
      <c r="N18" s="44">
        <v>450</v>
      </c>
      <c r="O18" s="21" t="s">
        <v>18</v>
      </c>
      <c r="P18" s="44">
        <v>362.14</v>
      </c>
      <c r="Q18" s="21" t="s">
        <v>19</v>
      </c>
      <c r="R18" s="44"/>
      <c r="S18" s="21"/>
      <c r="T18" s="44"/>
      <c r="U18" s="21"/>
      <c r="V18" s="44"/>
      <c r="W18" s="21"/>
      <c r="X18" s="44"/>
      <c r="Y18" s="21"/>
      <c r="Z18" s="44"/>
      <c r="AA18" s="21"/>
      <c r="AB18" s="44"/>
      <c r="AC18" s="21"/>
      <c r="AD18" s="44"/>
      <c r="AE18" s="21"/>
      <c r="AF18" s="44"/>
      <c r="AG18" s="21"/>
    </row>
    <row r="19" spans="2:33" x14ac:dyDescent="0.3">
      <c r="B19" s="29"/>
      <c r="C19" s="31">
        <v>88</v>
      </c>
      <c r="D19" s="12" t="s">
        <v>610</v>
      </c>
      <c r="E19" s="18">
        <v>193211.69</v>
      </c>
      <c r="F19" s="18">
        <f t="shared" si="1"/>
        <v>193171.26</v>
      </c>
      <c r="G19" s="47">
        <f t="shared" si="4"/>
        <v>40.429999999993015</v>
      </c>
      <c r="H19" s="46">
        <f t="shared" si="3"/>
        <v>0.99979074765093146</v>
      </c>
      <c r="I19" s="78" t="str" cm="1">
        <f t="array" ref="I19">IFERROR(LOOKUP(2,1/((MOD(COLUMN($K19:$AG19),2)=1)*($K19:$AG19&lt;&gt;"-")*($K19:$AG19&lt;&gt;"")),$K19:$AG19),"-")</f>
        <v>Concluída</v>
      </c>
      <c r="J19" s="44"/>
      <c r="K19" s="21"/>
      <c r="L19" s="44"/>
      <c r="M19" s="21"/>
      <c r="N19" s="44">
        <v>1985.16</v>
      </c>
      <c r="O19" s="21" t="s">
        <v>18</v>
      </c>
      <c r="P19" s="44">
        <v>191186.1</v>
      </c>
      <c r="Q19" s="21" t="s">
        <v>19</v>
      </c>
      <c r="R19" s="44"/>
      <c r="S19" s="21"/>
      <c r="T19" s="44"/>
      <c r="U19" s="21"/>
      <c r="V19" s="44"/>
      <c r="W19" s="21"/>
      <c r="X19" s="44"/>
      <c r="Y19" s="21"/>
      <c r="Z19" s="44"/>
      <c r="AA19" s="21"/>
      <c r="AB19" s="44"/>
      <c r="AC19" s="21"/>
      <c r="AD19" s="44"/>
      <c r="AE19" s="21"/>
      <c r="AF19" s="44"/>
      <c r="AG19" s="21"/>
    </row>
    <row r="20" spans="2:33" x14ac:dyDescent="0.3">
      <c r="B20" s="29"/>
      <c r="C20" s="31">
        <v>89</v>
      </c>
      <c r="D20" s="12" t="s">
        <v>642</v>
      </c>
      <c r="E20" s="18">
        <v>16279.15</v>
      </c>
      <c r="F20" s="18">
        <f t="shared" si="1"/>
        <v>15568.7</v>
      </c>
      <c r="G20" s="47">
        <f t="shared" si="4"/>
        <v>710.44999999999891</v>
      </c>
      <c r="H20" s="46">
        <f t="shared" si="3"/>
        <v>0.95635828651987365</v>
      </c>
      <c r="I20" s="78" t="str" cm="1">
        <f t="array" ref="I20">IFERROR(LOOKUP(2,1/((MOD(COLUMN($K20:$AG20),2)=1)*($K20:$AG20&lt;&gt;"-")*($K20:$AG20&lt;&gt;"")),$K20:$AG20),"-")</f>
        <v>Concluída</v>
      </c>
      <c r="J20" s="44"/>
      <c r="K20" s="21"/>
      <c r="L20" s="44"/>
      <c r="M20" s="21"/>
      <c r="N20" s="44">
        <v>15568.7</v>
      </c>
      <c r="O20" s="21" t="s">
        <v>19</v>
      </c>
      <c r="P20" s="44"/>
      <c r="Q20" s="21"/>
      <c r="R20" s="44"/>
      <c r="S20" s="21"/>
      <c r="T20" s="44"/>
      <c r="U20" s="21"/>
      <c r="V20" s="44"/>
      <c r="W20" s="21"/>
      <c r="X20" s="44"/>
      <c r="Y20" s="21"/>
      <c r="Z20" s="44"/>
      <c r="AA20" s="21"/>
      <c r="AB20" s="44"/>
      <c r="AC20" s="21"/>
      <c r="AD20" s="44"/>
      <c r="AE20" s="21"/>
      <c r="AF20" s="44"/>
      <c r="AG20" s="21"/>
    </row>
    <row r="21" spans="2:33" x14ac:dyDescent="0.3">
      <c r="B21" s="29"/>
      <c r="C21" s="31">
        <v>90</v>
      </c>
      <c r="D21" s="12" t="s">
        <v>642</v>
      </c>
      <c r="E21" s="18">
        <v>3366.65</v>
      </c>
      <c r="F21" s="18">
        <f t="shared" si="1"/>
        <v>813.44</v>
      </c>
      <c r="G21" s="47">
        <f t="shared" si="4"/>
        <v>2553.21</v>
      </c>
      <c r="H21" s="46">
        <f t="shared" si="3"/>
        <v>0.24161703770810747</v>
      </c>
      <c r="I21" s="78" t="str" cm="1">
        <f t="array" ref="I21">IFERROR(LOOKUP(2,1/((MOD(COLUMN($K21:$AG21),2)=1)*($K21:$AG21&lt;&gt;"-")*($K21:$AG21&lt;&gt;"")),$K21:$AG21),"-")</f>
        <v>Concluída</v>
      </c>
      <c r="J21" s="44"/>
      <c r="K21" s="21"/>
      <c r="L21" s="44"/>
      <c r="M21" s="21"/>
      <c r="N21" s="44">
        <v>813.44</v>
      </c>
      <c r="O21" s="21" t="s">
        <v>18</v>
      </c>
      <c r="P21" s="44">
        <v>0</v>
      </c>
      <c r="Q21" s="21" t="s">
        <v>19</v>
      </c>
      <c r="R21" s="44"/>
      <c r="S21" s="21"/>
      <c r="T21" s="44"/>
      <c r="U21" s="21"/>
      <c r="V21" s="44"/>
      <c r="W21" s="21"/>
      <c r="X21" s="44"/>
      <c r="Y21" s="21"/>
      <c r="Z21" s="44"/>
      <c r="AA21" s="21"/>
      <c r="AB21" s="44"/>
      <c r="AC21" s="21"/>
      <c r="AD21" s="44"/>
      <c r="AE21" s="21"/>
      <c r="AF21" s="44"/>
      <c r="AG21" s="21"/>
    </row>
    <row r="22" spans="2:33" x14ac:dyDescent="0.3">
      <c r="B22" s="29"/>
      <c r="C22" s="31">
        <v>91</v>
      </c>
      <c r="D22" s="12" t="s">
        <v>642</v>
      </c>
      <c r="E22" s="18">
        <v>15049.96</v>
      </c>
      <c r="F22" s="18">
        <f t="shared" si="1"/>
        <v>14775.92</v>
      </c>
      <c r="G22" s="47">
        <f t="shared" si="4"/>
        <v>274.03999999999905</v>
      </c>
      <c r="H22" s="46">
        <f t="shared" si="3"/>
        <v>0.98179131373106643</v>
      </c>
      <c r="I22" s="78" t="str" cm="1">
        <f t="array" ref="I22">IFERROR(LOOKUP(2,1/((MOD(COLUMN($K22:$AG22),2)=1)*($K22:$AG22&lt;&gt;"-")*($K22:$AG22&lt;&gt;"")),$K22:$AG22),"-")</f>
        <v>Concluída</v>
      </c>
      <c r="J22" s="44"/>
      <c r="K22" s="21"/>
      <c r="L22" s="44"/>
      <c r="M22" s="21"/>
      <c r="N22" s="44">
        <v>1192.8399999999999</v>
      </c>
      <c r="O22" s="21" t="s">
        <v>18</v>
      </c>
      <c r="P22" s="44">
        <v>13583.08</v>
      </c>
      <c r="Q22" s="21" t="s">
        <v>19</v>
      </c>
      <c r="R22" s="44"/>
      <c r="S22" s="21"/>
      <c r="T22" s="44"/>
      <c r="U22" s="21"/>
      <c r="V22" s="44"/>
      <c r="W22" s="21"/>
      <c r="X22" s="44"/>
      <c r="Y22" s="21"/>
      <c r="Z22" s="44"/>
      <c r="AA22" s="21"/>
      <c r="AB22" s="44"/>
      <c r="AC22" s="21"/>
      <c r="AD22" s="44"/>
      <c r="AE22" s="21"/>
      <c r="AF22" s="44"/>
      <c r="AG22" s="21"/>
    </row>
    <row r="23" spans="2:33" x14ac:dyDescent="0.3">
      <c r="B23" s="29"/>
      <c r="C23" s="31">
        <v>92</v>
      </c>
      <c r="D23" s="12" t="s">
        <v>623</v>
      </c>
      <c r="E23" s="18">
        <v>18985.419999999998</v>
      </c>
      <c r="F23" s="18">
        <f t="shared" si="1"/>
        <v>18525.96</v>
      </c>
      <c r="G23" s="47">
        <f t="shared" si="4"/>
        <v>459.45999999999913</v>
      </c>
      <c r="H23" s="46">
        <f t="shared" si="3"/>
        <v>0.97579932390223656</v>
      </c>
      <c r="I23" s="78" t="str" cm="1">
        <f t="array" ref="I23">IFERROR(LOOKUP(2,1/((MOD(COLUMN($K23:$AG23),2)=1)*($K23:$AG23&lt;&gt;"-")*($K23:$AG23&lt;&gt;"")),$K23:$AG23),"-")</f>
        <v>Concluída</v>
      </c>
      <c r="J23" s="44"/>
      <c r="K23" s="21"/>
      <c r="L23" s="44"/>
      <c r="M23" s="21"/>
      <c r="N23" s="44">
        <v>972</v>
      </c>
      <c r="O23" s="21" t="s">
        <v>18</v>
      </c>
      <c r="P23" s="44">
        <v>17553.96</v>
      </c>
      <c r="Q23" s="21" t="s">
        <v>19</v>
      </c>
      <c r="R23" s="44"/>
      <c r="S23" s="21"/>
      <c r="T23" s="44"/>
      <c r="U23" s="21"/>
      <c r="V23" s="44"/>
      <c r="W23" s="21"/>
      <c r="X23" s="44"/>
      <c r="Y23" s="21"/>
      <c r="Z23" s="44"/>
      <c r="AA23" s="21"/>
      <c r="AB23" s="44"/>
      <c r="AC23" s="21"/>
      <c r="AD23" s="44"/>
      <c r="AE23" s="21"/>
      <c r="AF23" s="44"/>
      <c r="AG23" s="21"/>
    </row>
    <row r="24" spans="2:33" x14ac:dyDescent="0.3">
      <c r="B24" s="29"/>
      <c r="C24" s="31">
        <v>93</v>
      </c>
      <c r="D24" s="12" t="s">
        <v>610</v>
      </c>
      <c r="E24" s="18">
        <v>796996.03</v>
      </c>
      <c r="F24" s="18">
        <f t="shared" si="1"/>
        <v>795578.28</v>
      </c>
      <c r="G24" s="47">
        <f t="shared" si="4"/>
        <v>1417.75</v>
      </c>
      <c r="H24" s="46">
        <f t="shared" si="3"/>
        <v>0.99822113292082526</v>
      </c>
      <c r="I24" s="78" t="str" cm="1">
        <f t="array" ref="I24">IFERROR(LOOKUP(2,1/((MOD(COLUMN($K24:$AG24),2)=1)*($K24:$AG24&lt;&gt;"-")*($K24:$AG24&lt;&gt;"")),$K24:$AG24),"-")</f>
        <v>Concluída</v>
      </c>
      <c r="J24" s="44"/>
      <c r="K24" s="21"/>
      <c r="L24" s="44"/>
      <c r="M24" s="21"/>
      <c r="N24" s="44">
        <v>420.39</v>
      </c>
      <c r="O24" s="21" t="s">
        <v>18</v>
      </c>
      <c r="P24" s="44">
        <v>564768.51</v>
      </c>
      <c r="Q24" s="21" t="s">
        <v>18</v>
      </c>
      <c r="R24" s="44">
        <v>230389.38</v>
      </c>
      <c r="S24" s="21" t="s">
        <v>19</v>
      </c>
      <c r="T24" s="44"/>
      <c r="U24" s="21"/>
      <c r="V24" s="44"/>
      <c r="W24" s="21"/>
      <c r="X24" s="44"/>
      <c r="Y24" s="21"/>
      <c r="Z24" s="44"/>
      <c r="AA24" s="21"/>
      <c r="AB24" s="44"/>
      <c r="AC24" s="21"/>
      <c r="AD24" s="44"/>
      <c r="AE24" s="21"/>
      <c r="AF24" s="44"/>
      <c r="AG24" s="21"/>
    </row>
    <row r="25" spans="2:33" x14ac:dyDescent="0.3">
      <c r="B25" s="29"/>
      <c r="C25" s="31">
        <v>94</v>
      </c>
      <c r="D25" s="12" t="s">
        <v>610</v>
      </c>
      <c r="E25" s="18">
        <v>983850.17</v>
      </c>
      <c r="F25" s="18">
        <f t="shared" si="1"/>
        <v>939482.29</v>
      </c>
      <c r="G25" s="47">
        <f t="shared" si="4"/>
        <v>44367.880000000005</v>
      </c>
      <c r="H25" s="46">
        <f t="shared" si="3"/>
        <v>0.95490382443090904</v>
      </c>
      <c r="I25" s="78" t="str" cm="1">
        <f t="array" ref="I25">IFERROR(LOOKUP(2,1/((MOD(COLUMN($K25:$AG25),2)=1)*($K25:$AG25&lt;&gt;"-")*($K25:$AG25&lt;&gt;"")),$K25:$AG25),"-")</f>
        <v>Concluída</v>
      </c>
      <c r="J25" s="44"/>
      <c r="K25" s="21"/>
      <c r="L25" s="44"/>
      <c r="M25" s="21"/>
      <c r="N25" s="44">
        <v>252.23</v>
      </c>
      <c r="O25" s="21" t="s">
        <v>18</v>
      </c>
      <c r="P25" s="44">
        <v>738309.36</v>
      </c>
      <c r="Q25" s="21" t="s">
        <v>18</v>
      </c>
      <c r="R25" s="44">
        <v>200920.7</v>
      </c>
      <c r="S25" s="21" t="s">
        <v>19</v>
      </c>
      <c r="T25" s="44"/>
      <c r="U25" s="21"/>
      <c r="V25" s="44"/>
      <c r="W25" s="21"/>
      <c r="X25" s="44"/>
      <c r="Y25" s="21"/>
      <c r="Z25" s="44"/>
      <c r="AA25" s="21"/>
      <c r="AB25" s="44"/>
      <c r="AC25" s="21"/>
      <c r="AD25" s="44"/>
      <c r="AE25" s="21"/>
      <c r="AF25" s="44"/>
      <c r="AG25" s="21"/>
    </row>
    <row r="26" spans="2:33" x14ac:dyDescent="0.3">
      <c r="B26" s="29"/>
      <c r="C26" s="31">
        <v>95</v>
      </c>
      <c r="D26" s="12" t="s">
        <v>642</v>
      </c>
      <c r="E26" s="18">
        <v>32126.995999999999</v>
      </c>
      <c r="F26" s="18">
        <f t="shared" si="1"/>
        <v>30104.78</v>
      </c>
      <c r="G26" s="47">
        <f t="shared" si="4"/>
        <v>2022.2160000000003</v>
      </c>
      <c r="H26" s="46">
        <f t="shared" si="3"/>
        <v>0.93705555290634701</v>
      </c>
      <c r="I26" s="78" t="str" cm="1">
        <f t="array" ref="I26">IFERROR(LOOKUP(2,1/((MOD(COLUMN($K26:$AG26),2)=1)*($K26:$AG26&lt;&gt;"-")*($K26:$AG26&lt;&gt;"")),$K26:$AG26),"-")</f>
        <v>Concluída</v>
      </c>
      <c r="J26" s="44"/>
      <c r="K26" s="21"/>
      <c r="L26" s="44"/>
      <c r="M26" s="21"/>
      <c r="N26" s="44">
        <v>30104.78</v>
      </c>
      <c r="O26" s="21" t="s">
        <v>19</v>
      </c>
      <c r="P26" s="44"/>
      <c r="Q26" s="21"/>
      <c r="R26" s="44"/>
      <c r="S26" s="21"/>
      <c r="T26" s="44"/>
      <c r="U26" s="21"/>
      <c r="V26" s="44"/>
      <c r="W26" s="21"/>
      <c r="X26" s="44"/>
      <c r="Y26" s="21"/>
      <c r="Z26" s="44"/>
      <c r="AA26" s="21"/>
      <c r="AB26" s="44"/>
      <c r="AC26" s="21"/>
      <c r="AD26" s="44"/>
      <c r="AE26" s="21"/>
      <c r="AF26" s="44"/>
      <c r="AG26" s="21"/>
    </row>
    <row r="27" spans="2:33" x14ac:dyDescent="0.3">
      <c r="B27" s="29"/>
      <c r="C27" s="31">
        <v>96</v>
      </c>
      <c r="D27" s="12" t="s">
        <v>610</v>
      </c>
      <c r="E27" s="18">
        <v>197054.75</v>
      </c>
      <c r="F27" s="18">
        <f t="shared" si="1"/>
        <v>11585.16</v>
      </c>
      <c r="G27" s="47">
        <f t="shared" si="4"/>
        <v>185469.59</v>
      </c>
      <c r="H27" s="46">
        <f t="shared" si="3"/>
        <v>5.8791579497576178E-2</v>
      </c>
      <c r="I27" s="78" t="str" cm="1">
        <f t="array" ref="I27">IFERROR(LOOKUP(2,1/((MOD(COLUMN($K27:$AG27),2)=1)*($K27:$AG27&lt;&gt;"-")*($K27:$AG27&lt;&gt;"")),$K27:$AG27),"-")</f>
        <v>Concluída</v>
      </c>
      <c r="J27" s="44"/>
      <c r="K27" s="21"/>
      <c r="L27" s="44"/>
      <c r="M27" s="21"/>
      <c r="N27" s="44"/>
      <c r="O27" s="21" t="s">
        <v>20</v>
      </c>
      <c r="P27" s="44">
        <v>11585.16</v>
      </c>
      <c r="Q27" s="21" t="s">
        <v>18</v>
      </c>
      <c r="R27" s="44">
        <v>0</v>
      </c>
      <c r="S27" s="21" t="s">
        <v>19</v>
      </c>
      <c r="T27" s="44"/>
      <c r="U27" s="21"/>
      <c r="V27" s="44"/>
      <c r="W27" s="21"/>
      <c r="X27" s="44"/>
      <c r="Y27" s="21"/>
      <c r="Z27" s="44"/>
      <c r="AA27" s="21"/>
      <c r="AB27" s="44"/>
      <c r="AC27" s="21"/>
      <c r="AD27" s="44"/>
      <c r="AE27" s="21"/>
      <c r="AF27" s="44"/>
      <c r="AG27" s="21"/>
    </row>
    <row r="28" spans="2:33" x14ac:dyDescent="0.3">
      <c r="B28" s="29"/>
      <c r="C28" s="31">
        <v>97</v>
      </c>
      <c r="D28" s="12" t="s">
        <v>610</v>
      </c>
      <c r="E28" s="18">
        <v>151527.19</v>
      </c>
      <c r="F28" s="18">
        <f t="shared" si="1"/>
        <v>92809.56</v>
      </c>
      <c r="G28" s="47">
        <f t="shared" si="4"/>
        <v>58717.630000000005</v>
      </c>
      <c r="H28" s="46">
        <f t="shared" si="3"/>
        <v>0.61249443086748978</v>
      </c>
      <c r="I28" s="78" t="str" cm="1">
        <f t="array" ref="I28">IFERROR(LOOKUP(2,1/((MOD(COLUMN($K28:$AG28),2)=1)*($K28:$AG28&lt;&gt;"-")*($K28:$AG28&lt;&gt;"")),$K28:$AG28),"-")</f>
        <v>Concluída</v>
      </c>
      <c r="J28" s="44"/>
      <c r="K28" s="21"/>
      <c r="L28" s="44"/>
      <c r="M28" s="21"/>
      <c r="N28" s="44">
        <v>25767.42</v>
      </c>
      <c r="O28" s="21" t="s">
        <v>18</v>
      </c>
      <c r="P28" s="44">
        <v>15091.32</v>
      </c>
      <c r="Q28" s="21" t="s">
        <v>18</v>
      </c>
      <c r="R28" s="44">
        <v>51950.82</v>
      </c>
      <c r="S28" s="21" t="s">
        <v>19</v>
      </c>
      <c r="T28" s="44"/>
      <c r="U28" s="21"/>
      <c r="V28" s="44"/>
      <c r="W28" s="21"/>
      <c r="X28" s="44"/>
      <c r="Y28" s="21"/>
      <c r="Z28" s="44"/>
      <c r="AA28" s="21"/>
      <c r="AB28" s="44"/>
      <c r="AC28" s="21"/>
      <c r="AD28" s="44"/>
      <c r="AE28" s="21"/>
      <c r="AF28" s="44"/>
      <c r="AG28" s="21"/>
    </row>
    <row r="29" spans="2:33" x14ac:dyDescent="0.3">
      <c r="B29" s="29"/>
      <c r="C29" s="31">
        <v>98</v>
      </c>
      <c r="D29" s="12" t="s">
        <v>643</v>
      </c>
      <c r="E29" s="18">
        <v>10999.6</v>
      </c>
      <c r="F29" s="18">
        <f t="shared" si="1"/>
        <v>10936.64</v>
      </c>
      <c r="G29" s="47">
        <f t="shared" si="4"/>
        <v>62.960000000000946</v>
      </c>
      <c r="H29" s="46">
        <f t="shared" si="3"/>
        <v>0.99427615549656345</v>
      </c>
      <c r="I29" s="78" t="str" cm="1">
        <f t="array" ref="I29">IFERROR(LOOKUP(2,1/((MOD(COLUMN($K29:$AG29),2)=1)*($K29:$AG29&lt;&gt;"-")*($K29:$AG29&lt;&gt;"")),$K29:$AG29),"-")</f>
        <v>Concluída</v>
      </c>
      <c r="J29" s="44"/>
      <c r="K29" s="21"/>
      <c r="L29" s="44"/>
      <c r="M29" s="21"/>
      <c r="N29" s="44"/>
      <c r="O29" s="21"/>
      <c r="P29" s="44">
        <v>10936.64</v>
      </c>
      <c r="Q29" s="21" t="s">
        <v>18</v>
      </c>
      <c r="R29" s="44">
        <v>0</v>
      </c>
      <c r="S29" s="21" t="s">
        <v>19</v>
      </c>
      <c r="T29" s="44"/>
      <c r="U29" s="21"/>
      <c r="V29" s="44"/>
      <c r="W29" s="21"/>
      <c r="X29" s="44"/>
      <c r="Y29" s="21"/>
      <c r="Z29" s="44"/>
      <c r="AA29" s="21"/>
      <c r="AB29" s="44"/>
      <c r="AC29" s="21"/>
      <c r="AD29" s="44"/>
      <c r="AE29" s="21"/>
      <c r="AF29" s="44"/>
      <c r="AG29" s="21"/>
    </row>
    <row r="30" spans="2:33" x14ac:dyDescent="0.3">
      <c r="B30" s="29"/>
      <c r="C30" s="31">
        <v>99</v>
      </c>
      <c r="D30" s="12" t="s">
        <v>643</v>
      </c>
      <c r="E30" s="18">
        <v>50762.38</v>
      </c>
      <c r="F30" s="18">
        <f t="shared" si="1"/>
        <v>49725.35</v>
      </c>
      <c r="G30" s="47">
        <f t="shared" si="4"/>
        <v>1037.0299999999988</v>
      </c>
      <c r="H30" s="46">
        <f t="shared" si="3"/>
        <v>0.97957089482408033</v>
      </c>
      <c r="I30" s="78" t="str" cm="1">
        <f t="array" ref="I30">IFERROR(LOOKUP(2,1/((MOD(COLUMN($K30:$AG30),2)=1)*($K30:$AG30&lt;&gt;"-")*($K30:$AG30&lt;&gt;"")),$K30:$AG30),"-")</f>
        <v>Concluída</v>
      </c>
      <c r="J30" s="44"/>
      <c r="K30" s="21"/>
      <c r="L30" s="44"/>
      <c r="M30" s="21"/>
      <c r="N30" s="44"/>
      <c r="O30" s="21"/>
      <c r="P30" s="44">
        <v>49725.35</v>
      </c>
      <c r="Q30" s="21" t="s">
        <v>19</v>
      </c>
      <c r="R30" s="44"/>
      <c r="S30" s="21"/>
      <c r="T30" s="44"/>
      <c r="U30" s="21"/>
      <c r="V30" s="44"/>
      <c r="W30" s="21"/>
      <c r="X30" s="44"/>
      <c r="Y30" s="21"/>
      <c r="Z30" s="44"/>
      <c r="AA30" s="21"/>
      <c r="AB30" s="44"/>
      <c r="AC30" s="21"/>
      <c r="AD30" s="44"/>
      <c r="AE30" s="21"/>
      <c r="AF30" s="44"/>
      <c r="AG30" s="21"/>
    </row>
    <row r="31" spans="2:33" x14ac:dyDescent="0.3">
      <c r="B31" s="29"/>
      <c r="C31" s="31">
        <v>100</v>
      </c>
      <c r="D31" s="12" t="s">
        <v>643</v>
      </c>
      <c r="E31" s="18">
        <v>148489.23000000001</v>
      </c>
      <c r="F31" s="18">
        <f t="shared" si="1"/>
        <v>148244.07999999999</v>
      </c>
      <c r="G31" s="47">
        <f t="shared" ref="G31:G94" si="5">E31-F31</f>
        <v>245.15000000002328</v>
      </c>
      <c r="H31" s="46">
        <f t="shared" si="3"/>
        <v>0.99834903851275936</v>
      </c>
      <c r="I31" s="78" t="str" cm="1">
        <f t="array" ref="I31">IFERROR(LOOKUP(2,1/((MOD(COLUMN($K31:$AG31),2)=1)*($K31:$AG31&lt;&gt;"-")*($K31:$AG31&lt;&gt;"")),$K31:$AG31),"-")</f>
        <v>Concluída</v>
      </c>
      <c r="J31" s="44"/>
      <c r="K31" s="21"/>
      <c r="L31" s="44"/>
      <c r="M31" s="21"/>
      <c r="N31" s="44"/>
      <c r="O31" s="21"/>
      <c r="P31" s="44">
        <v>148244.07999999999</v>
      </c>
      <c r="Q31" s="21" t="s">
        <v>19</v>
      </c>
      <c r="R31" s="44"/>
      <c r="S31" s="21"/>
      <c r="T31" s="44"/>
      <c r="U31" s="21"/>
      <c r="V31" s="44"/>
      <c r="W31" s="21"/>
      <c r="X31" s="44"/>
      <c r="Y31" s="21"/>
      <c r="Z31" s="44"/>
      <c r="AA31" s="21"/>
      <c r="AB31" s="44"/>
      <c r="AC31" s="21"/>
      <c r="AD31" s="44"/>
      <c r="AE31" s="21"/>
      <c r="AF31" s="44"/>
      <c r="AG31" s="21"/>
    </row>
    <row r="32" spans="2:33" x14ac:dyDescent="0.3">
      <c r="B32" s="29"/>
      <c r="C32" s="31">
        <v>101</v>
      </c>
      <c r="D32" s="12" t="s">
        <v>643</v>
      </c>
      <c r="E32" s="18">
        <v>0</v>
      </c>
      <c r="F32" s="18">
        <f t="shared" si="1"/>
        <v>0</v>
      </c>
      <c r="G32" s="47">
        <f t="shared" si="5"/>
        <v>0</v>
      </c>
      <c r="H32" s="46">
        <f t="shared" si="3"/>
        <v>0</v>
      </c>
      <c r="I32" s="78" t="str" cm="1">
        <f t="array" ref="I32">IFERROR(LOOKUP(2,1/((MOD(COLUMN($K32:$AG32),2)=1)*($K32:$AG32&lt;&gt;"-")*($K32:$AG32&lt;&gt;"")),$K32:$AG32),"-")</f>
        <v>Em elaboração</v>
      </c>
      <c r="J32" s="44"/>
      <c r="K32" s="21"/>
      <c r="L32" s="44"/>
      <c r="M32" s="21"/>
      <c r="N32" s="44"/>
      <c r="O32" s="21"/>
      <c r="P32" s="44"/>
      <c r="Q32" s="21" t="s">
        <v>38</v>
      </c>
      <c r="R32" s="44"/>
      <c r="S32" s="21"/>
      <c r="T32" s="44"/>
      <c r="U32" s="21"/>
      <c r="V32" s="44"/>
      <c r="W32" s="21"/>
      <c r="X32" s="44"/>
      <c r="Y32" s="21"/>
      <c r="Z32" s="44"/>
      <c r="AA32" s="21"/>
      <c r="AB32" s="44"/>
      <c r="AC32" s="21"/>
      <c r="AD32" s="44"/>
      <c r="AE32" s="21"/>
      <c r="AF32" s="44"/>
      <c r="AG32" s="21"/>
    </row>
    <row r="33" spans="2:33" x14ac:dyDescent="0.3">
      <c r="B33" s="29"/>
      <c r="C33" s="31">
        <v>102</v>
      </c>
      <c r="D33" s="12" t="s">
        <v>643</v>
      </c>
      <c r="E33" s="18">
        <v>276626.44</v>
      </c>
      <c r="F33" s="18">
        <f t="shared" si="1"/>
        <v>271401.14</v>
      </c>
      <c r="G33" s="47">
        <f t="shared" si="5"/>
        <v>5225.2999999999884</v>
      </c>
      <c r="H33" s="46">
        <f t="shared" si="3"/>
        <v>0.9811106270246619</v>
      </c>
      <c r="I33" s="78" t="str" cm="1">
        <f t="array" ref="I33">IFERROR(LOOKUP(2,1/((MOD(COLUMN($K33:$AG33),2)=1)*($K33:$AG33&lt;&gt;"-")*($K33:$AG33&lt;&gt;"")),$K33:$AG33),"-")</f>
        <v>Concluída</v>
      </c>
      <c r="J33" s="44"/>
      <c r="K33" s="21"/>
      <c r="L33" s="44"/>
      <c r="M33" s="21"/>
      <c r="N33" s="44"/>
      <c r="O33" s="21"/>
      <c r="P33" s="44">
        <v>271401.14</v>
      </c>
      <c r="Q33" s="21" t="s">
        <v>19</v>
      </c>
      <c r="R33" s="44"/>
      <c r="S33" s="21"/>
      <c r="T33" s="44"/>
      <c r="U33" s="21"/>
      <c r="V33" s="44"/>
      <c r="W33" s="21"/>
      <c r="X33" s="44"/>
      <c r="Y33" s="21"/>
      <c r="Z33" s="44"/>
      <c r="AA33" s="21"/>
      <c r="AB33" s="44"/>
      <c r="AC33" s="21"/>
      <c r="AD33" s="44"/>
      <c r="AE33" s="21"/>
      <c r="AF33" s="44"/>
      <c r="AG33" s="21"/>
    </row>
    <row r="34" spans="2:33" x14ac:dyDescent="0.3">
      <c r="B34" s="29"/>
      <c r="C34" s="31">
        <v>103</v>
      </c>
      <c r="D34" s="12" t="s">
        <v>643</v>
      </c>
      <c r="E34" s="18">
        <v>63466.15</v>
      </c>
      <c r="F34" s="18">
        <f t="shared" si="1"/>
        <v>63124.46</v>
      </c>
      <c r="G34" s="47">
        <f t="shared" si="5"/>
        <v>341.69000000000233</v>
      </c>
      <c r="H34" s="46">
        <f t="shared" si="3"/>
        <v>0.99461618516327199</v>
      </c>
      <c r="I34" s="78" t="str" cm="1">
        <f t="array" ref="I34">IFERROR(LOOKUP(2,1/((MOD(COLUMN($K34:$AG34),2)=1)*($K34:$AG34&lt;&gt;"-")*($K34:$AG34&lt;&gt;"")),$K34:$AG34),"-")</f>
        <v>Concluída</v>
      </c>
      <c r="J34" s="44"/>
      <c r="K34" s="21"/>
      <c r="L34" s="44"/>
      <c r="M34" s="21"/>
      <c r="N34" s="44"/>
      <c r="O34" s="21"/>
      <c r="P34" s="44">
        <v>49021.86</v>
      </c>
      <c r="Q34" s="21" t="s">
        <v>18</v>
      </c>
      <c r="R34" s="44">
        <v>14102.6</v>
      </c>
      <c r="S34" s="21" t="s">
        <v>19</v>
      </c>
      <c r="T34" s="44"/>
      <c r="U34" s="21"/>
      <c r="V34" s="44"/>
      <c r="W34" s="21"/>
      <c r="X34" s="44"/>
      <c r="Y34" s="21"/>
      <c r="Z34" s="44"/>
      <c r="AA34" s="21"/>
      <c r="AB34" s="44"/>
      <c r="AC34" s="21"/>
      <c r="AD34" s="44"/>
      <c r="AE34" s="21"/>
      <c r="AF34" s="44"/>
      <c r="AG34" s="21"/>
    </row>
    <row r="35" spans="2:33" x14ac:dyDescent="0.3">
      <c r="B35" s="29"/>
      <c r="C35" s="31">
        <v>104</v>
      </c>
      <c r="D35" s="12" t="s">
        <v>643</v>
      </c>
      <c r="E35" s="18">
        <v>248930.16</v>
      </c>
      <c r="F35" s="18">
        <f t="shared" si="1"/>
        <v>245523.85</v>
      </c>
      <c r="G35" s="47">
        <f t="shared" si="5"/>
        <v>3406.3099999999977</v>
      </c>
      <c r="H35" s="46">
        <f t="shared" si="3"/>
        <v>0.98631620210262994</v>
      </c>
      <c r="I35" s="78" t="str" cm="1">
        <f t="array" ref="I35">IFERROR(LOOKUP(2,1/((MOD(COLUMN($K35:$AG35),2)=1)*($K35:$AG35&lt;&gt;"-")*($K35:$AG35&lt;&gt;"")),$K35:$AG35),"-")</f>
        <v>Concluída</v>
      </c>
      <c r="J35" s="44"/>
      <c r="K35" s="21"/>
      <c r="L35" s="44"/>
      <c r="M35" s="21"/>
      <c r="N35" s="44"/>
      <c r="O35" s="21"/>
      <c r="P35" s="44">
        <v>245523.85</v>
      </c>
      <c r="Q35" s="21" t="s">
        <v>19</v>
      </c>
      <c r="R35" s="44"/>
      <c r="S35" s="21"/>
      <c r="T35" s="44"/>
      <c r="U35" s="21"/>
      <c r="V35" s="44"/>
      <c r="W35" s="21"/>
      <c r="X35" s="44"/>
      <c r="Y35" s="21"/>
      <c r="Z35" s="44"/>
      <c r="AA35" s="21"/>
      <c r="AB35" s="44"/>
      <c r="AC35" s="21"/>
      <c r="AD35" s="44"/>
      <c r="AE35" s="21"/>
      <c r="AF35" s="44"/>
      <c r="AG35" s="21"/>
    </row>
    <row r="36" spans="2:33" x14ac:dyDescent="0.3">
      <c r="B36" s="29"/>
      <c r="C36" s="31">
        <v>105</v>
      </c>
      <c r="D36" s="12" t="s">
        <v>643</v>
      </c>
      <c r="E36" s="18">
        <v>100161.65</v>
      </c>
      <c r="F36" s="18">
        <f t="shared" si="1"/>
        <v>0</v>
      </c>
      <c r="G36" s="47">
        <f t="shared" si="5"/>
        <v>100161.65</v>
      </c>
      <c r="H36" s="46">
        <f t="shared" si="3"/>
        <v>0</v>
      </c>
      <c r="I36" s="78" t="str" cm="1">
        <f t="array" ref="I36">IFERROR(LOOKUP(2,1/((MOD(COLUMN($K36:$AG36),2)=1)*($K36:$AG36&lt;&gt;"-")*($K36:$AG36&lt;&gt;"")),$K36:$AG36),"-")</f>
        <v>Em elaboração</v>
      </c>
      <c r="J36" s="44"/>
      <c r="K36" s="21"/>
      <c r="L36" s="44"/>
      <c r="M36" s="21"/>
      <c r="N36" s="44"/>
      <c r="O36" s="21"/>
      <c r="P36" s="44"/>
      <c r="Q36" s="21" t="s">
        <v>38</v>
      </c>
      <c r="R36" s="44"/>
      <c r="S36" s="21"/>
      <c r="T36" s="44"/>
      <c r="U36" s="21"/>
      <c r="V36" s="44"/>
      <c r="W36" s="21"/>
      <c r="X36" s="44"/>
      <c r="Y36" s="21"/>
      <c r="Z36" s="44"/>
      <c r="AA36" s="21"/>
      <c r="AB36" s="44"/>
      <c r="AC36" s="21"/>
      <c r="AD36" s="44"/>
      <c r="AE36" s="21"/>
      <c r="AF36" s="44"/>
      <c r="AG36" s="21"/>
    </row>
    <row r="37" spans="2:33" x14ac:dyDescent="0.3">
      <c r="B37" s="29"/>
      <c r="C37" s="31">
        <v>106</v>
      </c>
      <c r="D37" s="12" t="s">
        <v>651</v>
      </c>
      <c r="E37" s="18">
        <v>2654.59</v>
      </c>
      <c r="F37" s="18">
        <f t="shared" si="1"/>
        <v>2647.35</v>
      </c>
      <c r="G37" s="47">
        <f t="shared" si="5"/>
        <v>7.2400000000002365</v>
      </c>
      <c r="H37" s="46">
        <f t="shared" si="3"/>
        <v>0.99727264850692565</v>
      </c>
      <c r="I37" s="78" t="str" cm="1">
        <f t="array" ref="I37">IFERROR(LOOKUP(2,1/((MOD(COLUMN($K37:$AG37),2)=1)*($K37:$AG37&lt;&gt;"-")*($K37:$AG37&lt;&gt;"")),$K37:$AG37),"-")</f>
        <v>Concluída</v>
      </c>
      <c r="J37" s="44"/>
      <c r="K37" s="21"/>
      <c r="L37" s="44"/>
      <c r="M37" s="21"/>
      <c r="N37" s="44"/>
      <c r="O37" s="21"/>
      <c r="P37" s="44">
        <v>2647.35</v>
      </c>
      <c r="Q37" s="21" t="s">
        <v>19</v>
      </c>
      <c r="R37" s="44"/>
      <c r="S37" s="21"/>
      <c r="T37" s="44"/>
      <c r="U37" s="21"/>
      <c r="V37" s="44"/>
      <c r="W37" s="21"/>
      <c r="X37" s="44"/>
      <c r="Y37" s="21"/>
      <c r="Z37" s="44"/>
      <c r="AA37" s="21"/>
      <c r="AB37" s="44"/>
      <c r="AC37" s="21"/>
      <c r="AD37" s="44"/>
      <c r="AE37" s="21"/>
      <c r="AF37" s="44"/>
      <c r="AG37" s="21"/>
    </row>
    <row r="38" spans="2:33" x14ac:dyDescent="0.3">
      <c r="B38" s="29"/>
      <c r="C38" s="31">
        <v>107</v>
      </c>
      <c r="D38" s="12" t="s">
        <v>643</v>
      </c>
      <c r="E38" s="18">
        <v>56625.7</v>
      </c>
      <c r="F38" s="18">
        <f t="shared" si="1"/>
        <v>51214.22</v>
      </c>
      <c r="G38" s="47">
        <f t="shared" si="5"/>
        <v>5411.4799999999959</v>
      </c>
      <c r="H38" s="46">
        <f t="shared" si="3"/>
        <v>0.90443420566986377</v>
      </c>
      <c r="I38" s="78" t="str" cm="1">
        <f t="array" ref="I38">IFERROR(LOOKUP(2,1/((MOD(COLUMN($K38:$AG38),2)=1)*($K38:$AG38&lt;&gt;"-")*($K38:$AG38&lt;&gt;"")),$K38:$AG38),"-")</f>
        <v>Concluída</v>
      </c>
      <c r="J38" s="44"/>
      <c r="K38" s="21"/>
      <c r="L38" s="44"/>
      <c r="M38" s="21"/>
      <c r="N38" s="44"/>
      <c r="O38" s="21"/>
      <c r="P38" s="44">
        <v>51214.22</v>
      </c>
      <c r="Q38" s="21" t="s">
        <v>19</v>
      </c>
      <c r="R38" s="44"/>
      <c r="S38" s="21"/>
      <c r="T38" s="44"/>
      <c r="U38" s="21"/>
      <c r="V38" s="44"/>
      <c r="W38" s="21"/>
      <c r="X38" s="44"/>
      <c r="Y38" s="21"/>
      <c r="Z38" s="44"/>
      <c r="AA38" s="21"/>
      <c r="AB38" s="44"/>
      <c r="AC38" s="21"/>
      <c r="AD38" s="44"/>
      <c r="AE38" s="21"/>
      <c r="AF38" s="44"/>
      <c r="AG38" s="21"/>
    </row>
    <row r="39" spans="2:33" x14ac:dyDescent="0.3">
      <c r="B39" s="29"/>
      <c r="C39" s="31">
        <v>108</v>
      </c>
      <c r="D39" s="12" t="s">
        <v>643</v>
      </c>
      <c r="E39" s="18">
        <v>116153.36</v>
      </c>
      <c r="F39" s="18">
        <f t="shared" si="1"/>
        <v>115821.22</v>
      </c>
      <c r="G39" s="47">
        <f t="shared" si="5"/>
        <v>332.13999999999942</v>
      </c>
      <c r="H39" s="46">
        <f t="shared" si="3"/>
        <v>0.99714050458807224</v>
      </c>
      <c r="I39" s="78" t="str" cm="1">
        <f t="array" ref="I39">IFERROR(LOOKUP(2,1/((MOD(COLUMN($K39:$AG39),2)=1)*($K39:$AG39&lt;&gt;"-")*($K39:$AG39&lt;&gt;"")),$K39:$AG39),"-")</f>
        <v>Concluída</v>
      </c>
      <c r="J39" s="44"/>
      <c r="K39" s="21"/>
      <c r="L39" s="44"/>
      <c r="M39" s="21"/>
      <c r="N39" s="44"/>
      <c r="O39" s="21"/>
      <c r="P39" s="44">
        <v>115821.22</v>
      </c>
      <c r="Q39" s="21" t="s">
        <v>19</v>
      </c>
      <c r="R39" s="44"/>
      <c r="S39" s="21"/>
      <c r="T39" s="44"/>
      <c r="U39" s="21"/>
      <c r="V39" s="44"/>
      <c r="W39" s="21"/>
      <c r="X39" s="44"/>
      <c r="Y39" s="21"/>
      <c r="Z39" s="44"/>
      <c r="AA39" s="21"/>
      <c r="AB39" s="44"/>
      <c r="AC39" s="21"/>
      <c r="AD39" s="44"/>
      <c r="AE39" s="21"/>
      <c r="AF39" s="44"/>
      <c r="AG39" s="21"/>
    </row>
    <row r="40" spans="2:33" x14ac:dyDescent="0.3">
      <c r="B40" s="29"/>
      <c r="C40" s="31">
        <v>109</v>
      </c>
      <c r="D40" s="12" t="s">
        <v>643</v>
      </c>
      <c r="E40" s="18">
        <v>606290.87</v>
      </c>
      <c r="F40" s="18">
        <f t="shared" si="1"/>
        <v>606290.87</v>
      </c>
      <c r="G40" s="47">
        <f t="shared" si="5"/>
        <v>0</v>
      </c>
      <c r="H40" s="46">
        <f t="shared" si="3"/>
        <v>1</v>
      </c>
      <c r="I40" s="78" t="str" cm="1">
        <f t="array" ref="I40">IFERROR(LOOKUP(2,1/((MOD(COLUMN($K40:$AG40),2)=1)*($K40:$AG40&lt;&gt;"-")*($K40:$AG40&lt;&gt;"")),$K40:$AG40),"-")</f>
        <v>Concluída</v>
      </c>
      <c r="J40" s="44"/>
      <c r="K40" s="21"/>
      <c r="L40" s="44"/>
      <c r="M40" s="21"/>
      <c r="N40" s="44"/>
      <c r="O40" s="21"/>
      <c r="P40" s="44">
        <v>0</v>
      </c>
      <c r="Q40" s="21" t="s">
        <v>20</v>
      </c>
      <c r="R40" s="44">
        <v>580445.03</v>
      </c>
      <c r="S40" s="21" t="s">
        <v>18</v>
      </c>
      <c r="T40" s="44">
        <v>25845.84</v>
      </c>
      <c r="U40" s="21" t="s">
        <v>19</v>
      </c>
      <c r="V40" s="44"/>
      <c r="W40" s="21"/>
      <c r="X40" s="44"/>
      <c r="Y40" s="21"/>
      <c r="Z40" s="44"/>
      <c r="AA40" s="21"/>
      <c r="AB40" s="44"/>
      <c r="AC40" s="21"/>
      <c r="AD40" s="44"/>
      <c r="AE40" s="21"/>
      <c r="AF40" s="44"/>
      <c r="AG40" s="21"/>
    </row>
    <row r="41" spans="2:33" x14ac:dyDescent="0.3">
      <c r="B41" s="29"/>
      <c r="C41" s="31">
        <v>110</v>
      </c>
      <c r="D41" s="12" t="s">
        <v>643</v>
      </c>
      <c r="E41" s="18">
        <v>387768.02</v>
      </c>
      <c r="F41" s="18">
        <f t="shared" si="1"/>
        <v>387690.94</v>
      </c>
      <c r="G41" s="47">
        <f t="shared" si="5"/>
        <v>77.080000000016298</v>
      </c>
      <c r="H41" s="46">
        <f t="shared" si="3"/>
        <v>0.99980122135910021</v>
      </c>
      <c r="I41" s="78" t="str" cm="1">
        <f t="array" ref="I41">IFERROR(LOOKUP(2,1/((MOD(COLUMN($K41:$AG41),2)=1)*($K41:$AG41&lt;&gt;"-")*($K41:$AG41&lt;&gt;"")),$K41:$AG41),"-")</f>
        <v>Concluída</v>
      </c>
      <c r="J41" s="44"/>
      <c r="K41" s="21"/>
      <c r="L41" s="44"/>
      <c r="M41" s="21"/>
      <c r="N41" s="44"/>
      <c r="O41" s="21"/>
      <c r="P41" s="44">
        <v>75379.5</v>
      </c>
      <c r="Q41" s="21" t="s">
        <v>18</v>
      </c>
      <c r="R41" s="44">
        <v>312311.44</v>
      </c>
      <c r="S41" s="21" t="s">
        <v>19</v>
      </c>
      <c r="T41" s="44"/>
      <c r="U41" s="21"/>
      <c r="V41" s="44"/>
      <c r="W41" s="21"/>
      <c r="X41" s="44"/>
      <c r="Y41" s="21"/>
      <c r="Z41" s="44"/>
      <c r="AA41" s="21"/>
      <c r="AB41" s="44"/>
      <c r="AC41" s="21"/>
      <c r="AD41" s="44"/>
      <c r="AE41" s="21"/>
      <c r="AF41" s="44"/>
      <c r="AG41" s="21"/>
    </row>
    <row r="42" spans="2:33" x14ac:dyDescent="0.3">
      <c r="B42" s="29"/>
      <c r="C42" s="31">
        <v>111</v>
      </c>
      <c r="D42" s="12" t="s">
        <v>643</v>
      </c>
      <c r="E42" s="18">
        <v>387352.27</v>
      </c>
      <c r="F42" s="18">
        <f t="shared" si="1"/>
        <v>387153.93</v>
      </c>
      <c r="G42" s="47">
        <f t="shared" si="5"/>
        <v>198.34000000002561</v>
      </c>
      <c r="H42" s="46">
        <f t="shared" si="3"/>
        <v>0.99948795962909931</v>
      </c>
      <c r="I42" s="78" t="str" cm="1">
        <f t="array" ref="I42">IFERROR(LOOKUP(2,1/((MOD(COLUMN($K42:$AG42),2)=1)*($K42:$AG42&lt;&gt;"-")*($K42:$AG42&lt;&gt;"")),$K42:$AG42),"-")</f>
        <v>Concluída</v>
      </c>
      <c r="J42" s="44"/>
      <c r="K42" s="21"/>
      <c r="L42" s="44"/>
      <c r="M42" s="21"/>
      <c r="N42" s="44"/>
      <c r="O42" s="21"/>
      <c r="P42" s="44">
        <v>53855.64</v>
      </c>
      <c r="Q42" s="21" t="s">
        <v>18</v>
      </c>
      <c r="R42" s="44">
        <v>333298.28999999998</v>
      </c>
      <c r="S42" s="21" t="s">
        <v>19</v>
      </c>
      <c r="T42" s="44"/>
      <c r="U42" s="21"/>
      <c r="V42" s="44"/>
      <c r="W42" s="21"/>
      <c r="X42" s="44"/>
      <c r="Y42" s="21"/>
      <c r="Z42" s="44"/>
      <c r="AA42" s="21"/>
      <c r="AB42" s="44"/>
      <c r="AC42" s="21"/>
      <c r="AD42" s="44"/>
      <c r="AE42" s="21"/>
      <c r="AF42" s="44"/>
      <c r="AG42" s="21"/>
    </row>
    <row r="43" spans="2:33" x14ac:dyDescent="0.3">
      <c r="B43" s="29"/>
      <c r="C43" s="31">
        <v>112</v>
      </c>
      <c r="D43" s="12" t="s">
        <v>613</v>
      </c>
      <c r="E43" s="18">
        <v>7321.94</v>
      </c>
      <c r="F43" s="18">
        <f t="shared" si="1"/>
        <v>7034.33</v>
      </c>
      <c r="G43" s="47">
        <f t="shared" si="5"/>
        <v>287.60999999999967</v>
      </c>
      <c r="H43" s="46">
        <f t="shared" si="3"/>
        <v>0.96071942681857547</v>
      </c>
      <c r="I43" s="78" t="str" cm="1">
        <f t="array" ref="I43">IFERROR(LOOKUP(2,1/((MOD(COLUMN($K43:$AG43),2)=1)*($K43:$AG43&lt;&gt;"-")*($K43:$AG43&lt;&gt;"")),$K43:$AG43),"-")</f>
        <v>Concluída</v>
      </c>
      <c r="J43" s="44"/>
      <c r="K43" s="21"/>
      <c r="L43" s="44"/>
      <c r="M43" s="21"/>
      <c r="N43" s="44"/>
      <c r="O43" s="21"/>
      <c r="P43" s="44"/>
      <c r="Q43" s="21"/>
      <c r="R43" s="44">
        <v>7034.33</v>
      </c>
      <c r="S43" s="21" t="s">
        <v>19</v>
      </c>
      <c r="T43" s="44"/>
      <c r="U43" s="21"/>
      <c r="V43" s="44"/>
      <c r="W43" s="21"/>
      <c r="X43" s="44"/>
      <c r="Y43" s="21"/>
      <c r="Z43" s="44"/>
      <c r="AA43" s="21"/>
      <c r="AB43" s="44"/>
      <c r="AC43" s="21"/>
      <c r="AD43" s="44"/>
      <c r="AE43" s="21"/>
      <c r="AF43" s="44"/>
      <c r="AG43" s="21"/>
    </row>
    <row r="44" spans="2:33" x14ac:dyDescent="0.3">
      <c r="B44" s="29"/>
      <c r="C44" s="31">
        <v>113</v>
      </c>
      <c r="D44" s="12" t="s">
        <v>613</v>
      </c>
      <c r="E44" s="18">
        <v>20572.21</v>
      </c>
      <c r="F44" s="18">
        <f t="shared" si="1"/>
        <v>19587.560000000001</v>
      </c>
      <c r="G44" s="47">
        <f t="shared" si="5"/>
        <v>984.64999999999782</v>
      </c>
      <c r="H44" s="46">
        <f t="shared" si="3"/>
        <v>0.95213688757795112</v>
      </c>
      <c r="I44" s="78" t="str" cm="1">
        <f t="array" ref="I44">IFERROR(LOOKUP(2,1/((MOD(COLUMN($K44:$AG44),2)=1)*($K44:$AG44&lt;&gt;"-")*($K44:$AG44&lt;&gt;"")),$K44:$AG44),"-")</f>
        <v>Concluída</v>
      </c>
      <c r="J44" s="44"/>
      <c r="K44" s="21"/>
      <c r="L44" s="44"/>
      <c r="M44" s="21"/>
      <c r="N44" s="44"/>
      <c r="O44" s="21"/>
      <c r="P44" s="44"/>
      <c r="Q44" s="21"/>
      <c r="R44" s="44"/>
      <c r="S44" s="21" t="s">
        <v>20</v>
      </c>
      <c r="T44" s="44">
        <v>19587.560000000001</v>
      </c>
      <c r="U44" s="21" t="s">
        <v>19</v>
      </c>
      <c r="V44" s="44"/>
      <c r="W44" s="21"/>
      <c r="X44" s="44"/>
      <c r="Y44" s="21"/>
      <c r="Z44" s="44"/>
      <c r="AA44" s="21"/>
      <c r="AB44" s="44"/>
      <c r="AC44" s="21"/>
      <c r="AD44" s="44"/>
      <c r="AE44" s="21"/>
      <c r="AF44" s="44"/>
      <c r="AG44" s="21"/>
    </row>
    <row r="45" spans="2:33" x14ac:dyDescent="0.3">
      <c r="B45" s="29"/>
      <c r="C45" s="31">
        <v>114</v>
      </c>
      <c r="D45" s="12" t="s">
        <v>613</v>
      </c>
      <c r="E45" s="18">
        <v>47211.18</v>
      </c>
      <c r="F45" s="18">
        <f t="shared" si="1"/>
        <v>45257.29</v>
      </c>
      <c r="G45" s="47">
        <f t="shared" si="5"/>
        <v>1953.8899999999994</v>
      </c>
      <c r="H45" s="46">
        <f t="shared" si="3"/>
        <v>0.95861382833472919</v>
      </c>
      <c r="I45" s="78" t="str" cm="1">
        <f t="array" ref="I45">IFERROR(LOOKUP(2,1/((MOD(COLUMN($K45:$AG45),2)=1)*($K45:$AG45&lt;&gt;"-")*($K45:$AG45&lt;&gt;"")),$K45:$AG45),"-")</f>
        <v>Concluída</v>
      </c>
      <c r="J45" s="44"/>
      <c r="K45" s="21"/>
      <c r="L45" s="44"/>
      <c r="M45" s="21"/>
      <c r="N45" s="44"/>
      <c r="O45" s="21"/>
      <c r="P45" s="44"/>
      <c r="Q45" s="21"/>
      <c r="R45" s="44">
        <v>45257.29</v>
      </c>
      <c r="S45" s="21" t="s">
        <v>19</v>
      </c>
      <c r="T45" s="44"/>
      <c r="U45" s="21"/>
      <c r="V45" s="44"/>
      <c r="W45" s="21"/>
      <c r="X45" s="44"/>
      <c r="Y45" s="21"/>
      <c r="Z45" s="44"/>
      <c r="AA45" s="21"/>
      <c r="AB45" s="44"/>
      <c r="AC45" s="21"/>
      <c r="AD45" s="44"/>
      <c r="AE45" s="21"/>
      <c r="AF45" s="44"/>
      <c r="AG45" s="21"/>
    </row>
    <row r="46" spans="2:33" x14ac:dyDescent="0.3">
      <c r="B46" s="29"/>
      <c r="C46" s="31">
        <v>115</v>
      </c>
      <c r="D46" s="12" t="s">
        <v>613</v>
      </c>
      <c r="E46" s="18">
        <v>7303.59</v>
      </c>
      <c r="F46" s="18">
        <f t="shared" si="1"/>
        <v>6957.53</v>
      </c>
      <c r="G46" s="47">
        <f t="shared" si="5"/>
        <v>346.0600000000004</v>
      </c>
      <c r="H46" s="46">
        <f t="shared" si="3"/>
        <v>0.9526178221942907</v>
      </c>
      <c r="I46" s="78" t="str" cm="1">
        <f t="array" ref="I46">IFERROR(LOOKUP(2,1/((MOD(COLUMN($K46:$AG46),2)=1)*($K46:$AG46&lt;&gt;"-")*($K46:$AG46&lt;&gt;"")),$K46:$AG46),"-")</f>
        <v>Concluída</v>
      </c>
      <c r="J46" s="44"/>
      <c r="K46" s="21"/>
      <c r="L46" s="44"/>
      <c r="M46" s="21"/>
      <c r="N46" s="44"/>
      <c r="O46" s="21"/>
      <c r="P46" s="44"/>
      <c r="Q46" s="21"/>
      <c r="R46" s="44">
        <v>6957.53</v>
      </c>
      <c r="S46" s="21" t="s">
        <v>19</v>
      </c>
      <c r="T46" s="44"/>
      <c r="U46" s="21"/>
      <c r="V46" s="44"/>
      <c r="W46" s="21"/>
      <c r="X46" s="44"/>
      <c r="Y46" s="21"/>
      <c r="Z46" s="44"/>
      <c r="AA46" s="21"/>
      <c r="AB46" s="44"/>
      <c r="AC46" s="21"/>
      <c r="AD46" s="44"/>
      <c r="AE46" s="21"/>
      <c r="AF46" s="44"/>
      <c r="AG46" s="21"/>
    </row>
    <row r="47" spans="2:33" x14ac:dyDescent="0.3">
      <c r="B47" s="29"/>
      <c r="C47" s="31">
        <v>116</v>
      </c>
      <c r="D47" s="12" t="s">
        <v>612</v>
      </c>
      <c r="E47" s="18">
        <v>2939.67</v>
      </c>
      <c r="F47" s="18">
        <f t="shared" si="1"/>
        <v>2370.5</v>
      </c>
      <c r="G47" s="47">
        <f t="shared" si="5"/>
        <v>569.17000000000007</v>
      </c>
      <c r="H47" s="46">
        <f t="shared" si="3"/>
        <v>0.80638302938765238</v>
      </c>
      <c r="I47" s="78" t="str" cm="1">
        <f t="array" ref="I47">IFERROR(LOOKUP(2,1/((MOD(COLUMN($K47:$AG47),2)=1)*($K47:$AG47&lt;&gt;"-")*($K47:$AG47&lt;&gt;"")),$K47:$AG47),"-")</f>
        <v>Concluída</v>
      </c>
      <c r="J47" s="44"/>
      <c r="K47" s="21"/>
      <c r="L47" s="44"/>
      <c r="M47" s="21"/>
      <c r="N47" s="44"/>
      <c r="O47" s="21"/>
      <c r="P47" s="44"/>
      <c r="Q47" s="21"/>
      <c r="R47" s="44">
        <v>2370.5</v>
      </c>
      <c r="S47" s="21" t="s">
        <v>19</v>
      </c>
      <c r="T47" s="44"/>
      <c r="U47" s="21"/>
      <c r="V47" s="44"/>
      <c r="W47" s="21"/>
      <c r="X47" s="44"/>
      <c r="Y47" s="21"/>
      <c r="Z47" s="44"/>
      <c r="AA47" s="21"/>
      <c r="AB47" s="44"/>
      <c r="AC47" s="21"/>
      <c r="AD47" s="44"/>
      <c r="AE47" s="21"/>
      <c r="AF47" s="44"/>
      <c r="AG47" s="21"/>
    </row>
    <row r="48" spans="2:33" x14ac:dyDescent="0.3">
      <c r="B48" s="29"/>
      <c r="C48" s="31">
        <v>117</v>
      </c>
      <c r="D48" s="12" t="s">
        <v>613</v>
      </c>
      <c r="E48" s="18">
        <v>15577.24</v>
      </c>
      <c r="F48" s="18">
        <f t="shared" si="1"/>
        <v>14924.13</v>
      </c>
      <c r="G48" s="47">
        <f t="shared" si="5"/>
        <v>653.11000000000058</v>
      </c>
      <c r="H48" s="46">
        <f t="shared" si="3"/>
        <v>0.9580728036545626</v>
      </c>
      <c r="I48" s="78" t="str" cm="1">
        <f t="array" ref="I48">IFERROR(LOOKUP(2,1/((MOD(COLUMN($K48:$AG48),2)=1)*($K48:$AG48&lt;&gt;"-")*($K48:$AG48&lt;&gt;"")),$K48:$AG48),"-")</f>
        <v>Concluída</v>
      </c>
      <c r="J48" s="44"/>
      <c r="K48" s="21"/>
      <c r="L48" s="44"/>
      <c r="M48" s="21"/>
      <c r="N48" s="44"/>
      <c r="O48" s="21"/>
      <c r="P48" s="44"/>
      <c r="Q48" s="21"/>
      <c r="R48" s="44">
        <v>2370.5</v>
      </c>
      <c r="S48" s="21" t="s">
        <v>18</v>
      </c>
      <c r="T48" s="44">
        <v>12553.63</v>
      </c>
      <c r="U48" s="21" t="s">
        <v>19</v>
      </c>
      <c r="V48" s="44"/>
      <c r="W48" s="21"/>
      <c r="X48" s="44"/>
      <c r="Y48" s="21"/>
      <c r="Z48" s="44"/>
      <c r="AA48" s="21"/>
      <c r="AB48" s="44"/>
      <c r="AC48" s="21"/>
      <c r="AD48" s="44"/>
      <c r="AE48" s="21"/>
      <c r="AF48" s="44"/>
      <c r="AG48" s="21"/>
    </row>
    <row r="49" spans="2:33" x14ac:dyDescent="0.3">
      <c r="B49" s="29"/>
      <c r="C49" s="31">
        <v>118</v>
      </c>
      <c r="D49" s="12" t="s">
        <v>613</v>
      </c>
      <c r="E49" s="18">
        <v>59112.09</v>
      </c>
      <c r="F49" s="18">
        <f t="shared" si="1"/>
        <v>58503.100000000006</v>
      </c>
      <c r="G49" s="47">
        <f t="shared" si="5"/>
        <v>608.98999999999069</v>
      </c>
      <c r="H49" s="46">
        <f t="shared" si="3"/>
        <v>0.9896977082014865</v>
      </c>
      <c r="I49" s="78" t="str" cm="1">
        <f t="array" ref="I49">IFERROR(LOOKUP(2,1/((MOD(COLUMN($K49:$AG49),2)=1)*($K49:$AG49&lt;&gt;"-")*($K49:$AG49&lt;&gt;"")),$K49:$AG49),"-")</f>
        <v>Concluída</v>
      </c>
      <c r="J49" s="44"/>
      <c r="K49" s="21"/>
      <c r="L49" s="44"/>
      <c r="M49" s="21"/>
      <c r="N49" s="44"/>
      <c r="O49" s="21"/>
      <c r="P49" s="44"/>
      <c r="Q49" s="21"/>
      <c r="R49" s="44">
        <v>4292.0200000000004</v>
      </c>
      <c r="S49" s="21" t="s">
        <v>18</v>
      </c>
      <c r="T49" s="44">
        <v>54211.08</v>
      </c>
      <c r="U49" s="21" t="s">
        <v>19</v>
      </c>
      <c r="V49" s="44"/>
      <c r="W49" s="21"/>
      <c r="X49" s="44"/>
      <c r="Y49" s="21"/>
      <c r="Z49" s="44"/>
      <c r="AA49" s="21"/>
      <c r="AB49" s="44"/>
      <c r="AC49" s="21"/>
      <c r="AD49" s="44"/>
      <c r="AE49" s="21"/>
      <c r="AF49" s="44"/>
      <c r="AG49" s="21"/>
    </row>
    <row r="50" spans="2:33" x14ac:dyDescent="0.3">
      <c r="B50" s="29"/>
      <c r="C50" s="31">
        <v>119</v>
      </c>
      <c r="D50" s="12" t="s">
        <v>613</v>
      </c>
      <c r="E50" s="18">
        <v>175856.52</v>
      </c>
      <c r="F50" s="18">
        <f t="shared" si="1"/>
        <v>163530.84</v>
      </c>
      <c r="G50" s="47">
        <f t="shared" si="5"/>
        <v>12325.679999999993</v>
      </c>
      <c r="H50" s="46">
        <f t="shared" si="3"/>
        <v>0.92991058847292107</v>
      </c>
      <c r="I50" s="78" t="str" cm="1">
        <f t="array" ref="I50">IFERROR(LOOKUP(2,1/((MOD(COLUMN($K50:$AG50),2)=1)*($K50:$AG50&lt;&gt;"-")*($K50:$AG50&lt;&gt;"")),$K50:$AG50),"-")</f>
        <v>Concluída</v>
      </c>
      <c r="J50" s="44"/>
      <c r="K50" s="21"/>
      <c r="L50" s="44"/>
      <c r="M50" s="21"/>
      <c r="N50" s="44"/>
      <c r="O50" s="21"/>
      <c r="P50" s="44"/>
      <c r="Q50" s="21"/>
      <c r="R50" s="44">
        <v>163530.84</v>
      </c>
      <c r="S50" s="21" t="s">
        <v>18</v>
      </c>
      <c r="T50" s="44"/>
      <c r="U50" s="21" t="s">
        <v>20</v>
      </c>
      <c r="V50" s="44">
        <v>0</v>
      </c>
      <c r="W50" s="21" t="s">
        <v>19</v>
      </c>
      <c r="X50" s="44"/>
      <c r="Y50" s="21"/>
      <c r="Z50" s="44"/>
      <c r="AA50" s="21"/>
      <c r="AB50" s="44"/>
      <c r="AC50" s="21"/>
      <c r="AD50" s="44"/>
      <c r="AE50" s="21"/>
      <c r="AF50" s="44"/>
      <c r="AG50" s="21"/>
    </row>
    <row r="51" spans="2:33" x14ac:dyDescent="0.3">
      <c r="B51" s="29"/>
      <c r="C51" s="31">
        <v>120</v>
      </c>
      <c r="D51" s="12" t="s">
        <v>644</v>
      </c>
      <c r="E51" s="18">
        <v>87575.96</v>
      </c>
      <c r="F51" s="18">
        <f t="shared" si="1"/>
        <v>87213.71</v>
      </c>
      <c r="G51" s="47">
        <f t="shared" si="5"/>
        <v>362.25</v>
      </c>
      <c r="H51" s="46">
        <f t="shared" si="3"/>
        <v>0.99586359087585219</v>
      </c>
      <c r="I51" s="78" t="str" cm="1">
        <f t="array" ref="I51">IFERROR(LOOKUP(2,1/((MOD(COLUMN($K51:$AG51),2)=1)*($K51:$AG51&lt;&gt;"-")*($K51:$AG51&lt;&gt;"")),$K51:$AG51),"-")</f>
        <v>Concluída</v>
      </c>
      <c r="J51" s="44"/>
      <c r="K51" s="21"/>
      <c r="L51" s="44"/>
      <c r="M51" s="21"/>
      <c r="N51" s="44"/>
      <c r="O51" s="21"/>
      <c r="P51" s="44"/>
      <c r="Q51" s="21"/>
      <c r="R51" s="44"/>
      <c r="S51" s="21"/>
      <c r="T51" s="44">
        <v>87213.71</v>
      </c>
      <c r="U51" s="21" t="s">
        <v>19</v>
      </c>
      <c r="V51" s="44"/>
      <c r="W51" s="21"/>
      <c r="X51" s="44"/>
      <c r="Y51" s="21"/>
      <c r="Z51" s="44"/>
      <c r="AA51" s="21"/>
      <c r="AB51" s="44"/>
      <c r="AC51" s="21"/>
      <c r="AD51" s="44"/>
      <c r="AE51" s="21"/>
      <c r="AF51" s="44"/>
      <c r="AG51" s="21"/>
    </row>
    <row r="52" spans="2:33" x14ac:dyDescent="0.3">
      <c r="B52" s="29"/>
      <c r="C52" s="31">
        <v>121</v>
      </c>
      <c r="D52" s="12" t="s">
        <v>613</v>
      </c>
      <c r="E52" s="18">
        <v>100565.04</v>
      </c>
      <c r="F52" s="18">
        <f t="shared" si="1"/>
        <v>99435.97</v>
      </c>
      <c r="G52" s="47">
        <f t="shared" si="5"/>
        <v>1129.0699999999924</v>
      </c>
      <c r="H52" s="46">
        <f t="shared" si="3"/>
        <v>0.98877273851827641</v>
      </c>
      <c r="I52" s="78" t="str" cm="1">
        <f t="array" ref="I52">IFERROR(LOOKUP(2,1/((MOD(COLUMN($K52:$AG52),2)=1)*($K52:$AG52&lt;&gt;"-")*($K52:$AG52&lt;&gt;"")),$K52:$AG52),"-")</f>
        <v>Concluída</v>
      </c>
      <c r="J52" s="44"/>
      <c r="K52" s="21"/>
      <c r="L52" s="44"/>
      <c r="M52" s="21"/>
      <c r="N52" s="44"/>
      <c r="O52" s="21"/>
      <c r="P52" s="44"/>
      <c r="Q52" s="21"/>
      <c r="R52" s="44">
        <v>79531.509999999995</v>
      </c>
      <c r="S52" s="21" t="s">
        <v>18</v>
      </c>
      <c r="T52" s="44">
        <v>19904.46</v>
      </c>
      <c r="U52" s="21" t="s">
        <v>19</v>
      </c>
      <c r="V52" s="44"/>
      <c r="W52" s="21"/>
      <c r="X52" s="44"/>
      <c r="Y52" s="21"/>
      <c r="Z52" s="44"/>
      <c r="AA52" s="21"/>
      <c r="AB52" s="44"/>
      <c r="AC52" s="21"/>
      <c r="AD52" s="44"/>
      <c r="AE52" s="21"/>
      <c r="AF52" s="44"/>
      <c r="AG52" s="21"/>
    </row>
    <row r="53" spans="2:33" x14ac:dyDescent="0.3">
      <c r="B53" s="29"/>
      <c r="C53" s="31">
        <v>122</v>
      </c>
      <c r="D53" s="12" t="s">
        <v>613</v>
      </c>
      <c r="E53" s="18">
        <v>1195633.1000000001</v>
      </c>
      <c r="F53" s="18">
        <f t="shared" si="1"/>
        <v>1194211.72</v>
      </c>
      <c r="G53" s="47">
        <f t="shared" si="5"/>
        <v>1421.3800000001211</v>
      </c>
      <c r="H53" s="46">
        <f t="shared" si="3"/>
        <v>0.9988111904897915</v>
      </c>
      <c r="I53" s="78" t="str" cm="1">
        <f t="array" ref="I53">IFERROR(LOOKUP(2,1/((MOD(COLUMN($K53:$AG53),2)=1)*($K53:$AG53&lt;&gt;"-")*($K53:$AG53&lt;&gt;"")),$K53:$AG53),"-")</f>
        <v>Concluída</v>
      </c>
      <c r="J53" s="44"/>
      <c r="K53" s="21"/>
      <c r="L53" s="44"/>
      <c r="M53" s="21"/>
      <c r="N53" s="44"/>
      <c r="O53" s="21"/>
      <c r="P53" s="44"/>
      <c r="Q53" s="21"/>
      <c r="R53" s="44">
        <v>432322.41</v>
      </c>
      <c r="S53" s="21" t="s">
        <v>18</v>
      </c>
      <c r="T53" s="44">
        <v>761889.31</v>
      </c>
      <c r="U53" s="21" t="s">
        <v>19</v>
      </c>
      <c r="V53" s="44"/>
      <c r="W53" s="21"/>
      <c r="X53" s="44"/>
      <c r="Y53" s="21"/>
      <c r="Z53" s="44"/>
      <c r="AA53" s="21"/>
      <c r="AB53" s="44"/>
      <c r="AC53" s="21"/>
      <c r="AD53" s="44"/>
      <c r="AE53" s="21"/>
      <c r="AF53" s="44"/>
      <c r="AG53" s="21"/>
    </row>
    <row r="54" spans="2:33" x14ac:dyDescent="0.3">
      <c r="B54" s="29"/>
      <c r="C54" s="31">
        <v>123</v>
      </c>
      <c r="D54" s="12" t="s">
        <v>613</v>
      </c>
      <c r="E54" s="18">
        <v>756922.17</v>
      </c>
      <c r="F54" s="18">
        <f t="shared" si="1"/>
        <v>756239.52</v>
      </c>
      <c r="G54" s="47">
        <f t="shared" si="5"/>
        <v>682.65000000002328</v>
      </c>
      <c r="H54" s="46">
        <f t="shared" si="3"/>
        <v>0.99909812391939845</v>
      </c>
      <c r="I54" s="78" t="str" cm="1">
        <f t="array" ref="I54">IFERROR(LOOKUP(2,1/((MOD(COLUMN($K54:$AG54),2)=1)*($K54:$AG54&lt;&gt;"-")*($K54:$AG54&lt;&gt;"")),$K54:$AG54),"-")</f>
        <v>Concluída</v>
      </c>
      <c r="J54" s="44"/>
      <c r="K54" s="21"/>
      <c r="L54" s="44"/>
      <c r="M54" s="21"/>
      <c r="N54" s="44"/>
      <c r="O54" s="21"/>
      <c r="P54" s="44"/>
      <c r="Q54" s="21"/>
      <c r="R54" s="44"/>
      <c r="S54" s="21" t="s">
        <v>20</v>
      </c>
      <c r="T54" s="44"/>
      <c r="U54" s="21" t="s">
        <v>20</v>
      </c>
      <c r="V54" s="44">
        <v>756239.52</v>
      </c>
      <c r="W54" s="21" t="s">
        <v>19</v>
      </c>
      <c r="X54" s="44"/>
      <c r="Y54" s="21"/>
      <c r="Z54" s="44"/>
      <c r="AA54" s="21"/>
      <c r="AB54" s="44"/>
      <c r="AC54" s="21"/>
      <c r="AD54" s="44"/>
      <c r="AE54" s="21"/>
      <c r="AF54" s="44"/>
      <c r="AG54" s="21"/>
    </row>
    <row r="55" spans="2:33" x14ac:dyDescent="0.3">
      <c r="B55" s="29"/>
      <c r="C55" s="31">
        <v>124</v>
      </c>
      <c r="D55" s="12" t="s">
        <v>644</v>
      </c>
      <c r="E55" s="18">
        <v>149397.29</v>
      </c>
      <c r="F55" s="18">
        <f t="shared" si="1"/>
        <v>148347.86000000002</v>
      </c>
      <c r="G55" s="47">
        <f t="shared" si="5"/>
        <v>1049.429999999993</v>
      </c>
      <c r="H55" s="46">
        <f t="shared" si="3"/>
        <v>0.99297557539363668</v>
      </c>
      <c r="I55" s="78" t="str" cm="1">
        <f t="array" ref="I55">IFERROR(LOOKUP(2,1/((MOD(COLUMN($K55:$AG55),2)=1)*($K55:$AG55&lt;&gt;"-")*($K55:$AG55&lt;&gt;"")),$K55:$AG55),"-")</f>
        <v>Concluída</v>
      </c>
      <c r="J55" s="44"/>
      <c r="K55" s="21"/>
      <c r="L55" s="44"/>
      <c r="M55" s="21"/>
      <c r="N55" s="44"/>
      <c r="O55" s="21"/>
      <c r="P55" s="44"/>
      <c r="Q55" s="21"/>
      <c r="R55" s="44"/>
      <c r="S55" s="21"/>
      <c r="T55" s="44">
        <v>138507.51</v>
      </c>
      <c r="U55" s="21" t="s">
        <v>18</v>
      </c>
      <c r="V55" s="44">
        <v>9840.35</v>
      </c>
      <c r="W55" s="21" t="s">
        <v>19</v>
      </c>
      <c r="X55" s="44"/>
      <c r="Y55" s="21"/>
      <c r="Z55" s="44"/>
      <c r="AA55" s="21"/>
      <c r="AB55" s="44"/>
      <c r="AC55" s="21"/>
      <c r="AD55" s="44"/>
      <c r="AE55" s="21"/>
      <c r="AF55" s="44"/>
      <c r="AG55" s="21"/>
    </row>
    <row r="56" spans="2:33" x14ac:dyDescent="0.3">
      <c r="B56" s="29"/>
      <c r="C56" s="31">
        <v>125</v>
      </c>
      <c r="D56" s="12" t="s">
        <v>644</v>
      </c>
      <c r="E56" s="18">
        <v>107878.55</v>
      </c>
      <c r="F56" s="18">
        <f t="shared" si="1"/>
        <v>106171.62</v>
      </c>
      <c r="G56" s="47">
        <f t="shared" si="5"/>
        <v>1706.9300000000076</v>
      </c>
      <c r="H56" s="46">
        <f t="shared" si="3"/>
        <v>0.98417729937971909</v>
      </c>
      <c r="I56" s="78" t="str" cm="1">
        <f t="array" ref="I56">IFERROR(LOOKUP(2,1/((MOD(COLUMN($K56:$AG56),2)=1)*($K56:$AG56&lt;&gt;"-")*($K56:$AG56&lt;&gt;"")),$K56:$AG56),"-")</f>
        <v>Concluída</v>
      </c>
      <c r="J56" s="44"/>
      <c r="K56" s="21"/>
      <c r="L56" s="44"/>
      <c r="M56" s="21"/>
      <c r="N56" s="44"/>
      <c r="O56" s="21"/>
      <c r="P56" s="44"/>
      <c r="Q56" s="21"/>
      <c r="R56" s="44"/>
      <c r="S56" s="21"/>
      <c r="T56" s="44">
        <v>106171.62</v>
      </c>
      <c r="U56" s="21" t="s">
        <v>19</v>
      </c>
      <c r="V56" s="44"/>
      <c r="W56" s="21"/>
      <c r="X56" s="44"/>
      <c r="Y56" s="21"/>
      <c r="Z56" s="44"/>
      <c r="AA56" s="21"/>
      <c r="AB56" s="44"/>
      <c r="AC56" s="21"/>
      <c r="AD56" s="44"/>
      <c r="AE56" s="21"/>
      <c r="AF56" s="44"/>
      <c r="AG56" s="21"/>
    </row>
    <row r="57" spans="2:33" x14ac:dyDescent="0.3">
      <c r="B57" s="29"/>
      <c r="C57" s="31">
        <v>126</v>
      </c>
      <c r="D57" s="12" t="s">
        <v>644</v>
      </c>
      <c r="E57" s="18">
        <v>46047.78</v>
      </c>
      <c r="F57" s="18">
        <f t="shared" si="1"/>
        <v>45239.27</v>
      </c>
      <c r="G57" s="47">
        <f t="shared" si="5"/>
        <v>808.51000000000204</v>
      </c>
      <c r="H57" s="46">
        <f t="shared" si="3"/>
        <v>0.98244193313988204</v>
      </c>
      <c r="I57" s="78" t="str" cm="1">
        <f t="array" ref="I57">IFERROR(LOOKUP(2,1/((MOD(COLUMN($K57:$AG57),2)=1)*($K57:$AG57&lt;&gt;"-")*($K57:$AG57&lt;&gt;"")),$K57:$AG57),"-")</f>
        <v>Concluída</v>
      </c>
      <c r="J57" s="44"/>
      <c r="K57" s="21"/>
      <c r="L57" s="44"/>
      <c r="M57" s="21"/>
      <c r="N57" s="44"/>
      <c r="O57" s="21"/>
      <c r="P57" s="44"/>
      <c r="Q57" s="21"/>
      <c r="R57" s="44"/>
      <c r="S57" s="21"/>
      <c r="T57" s="44">
        <v>45239.27</v>
      </c>
      <c r="U57" s="21" t="s">
        <v>19</v>
      </c>
      <c r="V57" s="44"/>
      <c r="W57" s="21"/>
      <c r="X57" s="44"/>
      <c r="Y57" s="21"/>
      <c r="Z57" s="44"/>
      <c r="AA57" s="21"/>
      <c r="AB57" s="44"/>
      <c r="AC57" s="21"/>
      <c r="AD57" s="44"/>
      <c r="AE57" s="21"/>
      <c r="AF57" s="44"/>
      <c r="AG57" s="21"/>
    </row>
    <row r="58" spans="2:33" x14ac:dyDescent="0.3">
      <c r="B58" s="29"/>
      <c r="C58" s="31">
        <v>127</v>
      </c>
      <c r="D58" s="12" t="s">
        <v>644</v>
      </c>
      <c r="E58" s="18">
        <v>41401.660000000003</v>
      </c>
      <c r="F58" s="18">
        <f t="shared" si="1"/>
        <v>40329.120000000003</v>
      </c>
      <c r="G58" s="47">
        <f t="shared" si="5"/>
        <v>1072.5400000000009</v>
      </c>
      <c r="H58" s="46">
        <f t="shared" si="3"/>
        <v>0.97409427544692651</v>
      </c>
      <c r="I58" s="78" t="str" cm="1">
        <f t="array" ref="I58">IFERROR(LOOKUP(2,1/((MOD(COLUMN($K58:$AG58),2)=1)*($K58:$AG58&lt;&gt;"-")*($K58:$AG58&lt;&gt;"")),$K58:$AG58),"-")</f>
        <v>Concluída</v>
      </c>
      <c r="J58" s="44"/>
      <c r="K58" s="21"/>
      <c r="L58" s="44"/>
      <c r="M58" s="21"/>
      <c r="N58" s="44"/>
      <c r="O58" s="21"/>
      <c r="P58" s="44"/>
      <c r="Q58" s="21"/>
      <c r="R58" s="44"/>
      <c r="S58" s="21"/>
      <c r="T58" s="44">
        <v>40329.120000000003</v>
      </c>
      <c r="U58" s="21" t="s">
        <v>19</v>
      </c>
      <c r="V58" s="44"/>
      <c r="W58" s="21"/>
      <c r="X58" s="44"/>
      <c r="Y58" s="21"/>
      <c r="Z58" s="44"/>
      <c r="AA58" s="21"/>
      <c r="AB58" s="44"/>
      <c r="AC58" s="21"/>
      <c r="AD58" s="44"/>
      <c r="AE58" s="21"/>
      <c r="AF58" s="44"/>
      <c r="AG58" s="21"/>
    </row>
    <row r="59" spans="2:33" x14ac:dyDescent="0.3">
      <c r="B59" s="29"/>
      <c r="C59" s="31">
        <v>128</v>
      </c>
      <c r="D59" s="12" t="s">
        <v>644</v>
      </c>
      <c r="E59" s="18">
        <v>159130.31</v>
      </c>
      <c r="F59" s="18">
        <f t="shared" si="1"/>
        <v>158408.68</v>
      </c>
      <c r="G59" s="47">
        <f t="shared" si="5"/>
        <v>721.63000000000466</v>
      </c>
      <c r="H59" s="46">
        <f t="shared" si="3"/>
        <v>0.99546516311066069</v>
      </c>
      <c r="I59" s="78" t="str" cm="1">
        <f t="array" ref="I59">IFERROR(LOOKUP(2,1/((MOD(COLUMN($K59:$AG59),2)=1)*($K59:$AG59&lt;&gt;"-")*($K59:$AG59&lt;&gt;"")),$K59:$AG59),"-")</f>
        <v>Concluída</v>
      </c>
      <c r="J59" s="44"/>
      <c r="K59" s="21"/>
      <c r="L59" s="44"/>
      <c r="M59" s="21"/>
      <c r="N59" s="44"/>
      <c r="O59" s="21"/>
      <c r="P59" s="44"/>
      <c r="Q59" s="21"/>
      <c r="R59" s="44"/>
      <c r="S59" s="21"/>
      <c r="T59" s="44">
        <v>158408.68</v>
      </c>
      <c r="U59" s="21" t="s">
        <v>19</v>
      </c>
      <c r="V59" s="44"/>
      <c r="W59" s="21"/>
      <c r="X59" s="44"/>
      <c r="Y59" s="21"/>
      <c r="Z59" s="44"/>
      <c r="AA59" s="21"/>
      <c r="AB59" s="44"/>
      <c r="AC59" s="21"/>
      <c r="AD59" s="44"/>
      <c r="AE59" s="21"/>
      <c r="AF59" s="44"/>
      <c r="AG59" s="21"/>
    </row>
    <row r="60" spans="2:33" x14ac:dyDescent="0.3">
      <c r="B60" s="29"/>
      <c r="C60" s="31">
        <v>129</v>
      </c>
      <c r="D60" s="12" t="s">
        <v>627</v>
      </c>
      <c r="E60" s="18">
        <v>42064.800000000003</v>
      </c>
      <c r="F60" s="18">
        <f t="shared" si="1"/>
        <v>0</v>
      </c>
      <c r="G60" s="47">
        <f t="shared" si="5"/>
        <v>42064.800000000003</v>
      </c>
      <c r="H60" s="46">
        <f t="shared" si="3"/>
        <v>0</v>
      </c>
      <c r="I60" s="78" t="str" cm="1">
        <f t="array" ref="I60">IFERROR(LOOKUP(2,1/((MOD(COLUMN($K60:$AG60),2)=1)*($K60:$AG60&lt;&gt;"-")*($K60:$AG60&lt;&gt;"")),$K60:$AG60),"-")</f>
        <v>Em elaboração</v>
      </c>
      <c r="J60" s="44"/>
      <c r="K60" s="21"/>
      <c r="L60" s="44"/>
      <c r="M60" s="21"/>
      <c r="N60" s="44"/>
      <c r="O60" s="21"/>
      <c r="P60" s="44"/>
      <c r="Q60" s="21"/>
      <c r="R60" s="44"/>
      <c r="S60" s="21"/>
      <c r="T60" s="44"/>
      <c r="U60" s="21"/>
      <c r="V60" s="44"/>
      <c r="W60" s="21"/>
      <c r="X60" s="44"/>
      <c r="Y60" s="21"/>
      <c r="Z60" s="44"/>
      <c r="AA60" s="21" t="s">
        <v>38</v>
      </c>
      <c r="AB60" s="44"/>
      <c r="AC60" s="21"/>
      <c r="AD60" s="44"/>
      <c r="AE60" s="21"/>
      <c r="AF60" s="44"/>
      <c r="AG60" s="21"/>
    </row>
    <row r="61" spans="2:33" x14ac:dyDescent="0.3">
      <c r="B61" s="29"/>
      <c r="C61" s="31">
        <v>130</v>
      </c>
      <c r="D61" s="12" t="s">
        <v>626</v>
      </c>
      <c r="E61" s="18">
        <v>98704.7</v>
      </c>
      <c r="F61" s="18">
        <f t="shared" si="1"/>
        <v>98697.93</v>
      </c>
      <c r="G61" s="47">
        <f t="shared" si="5"/>
        <v>6.7700000000040745</v>
      </c>
      <c r="H61" s="46">
        <f t="shared" si="3"/>
        <v>0.99993141157411958</v>
      </c>
      <c r="I61" s="78" t="str" cm="1">
        <f t="array" ref="I61">IFERROR(LOOKUP(2,1/((MOD(COLUMN($K61:$AG61),2)=1)*($K61:$AG61&lt;&gt;"-")*($K61:$AG61&lt;&gt;"")),$K61:$AG61),"-")</f>
        <v>Concluída</v>
      </c>
      <c r="J61" s="44"/>
      <c r="K61" s="21"/>
      <c r="L61" s="44"/>
      <c r="M61" s="21"/>
      <c r="N61" s="44"/>
      <c r="O61" s="21"/>
      <c r="P61" s="44"/>
      <c r="Q61" s="21"/>
      <c r="R61" s="44"/>
      <c r="S61" s="21"/>
      <c r="T61" s="44"/>
      <c r="U61" s="21"/>
      <c r="V61" s="44">
        <v>98697.93</v>
      </c>
      <c r="W61" s="21" t="s">
        <v>19</v>
      </c>
      <c r="X61" s="44"/>
      <c r="Y61" s="21"/>
      <c r="Z61" s="44"/>
      <c r="AA61" s="21"/>
      <c r="AB61" s="44"/>
      <c r="AC61" s="21"/>
      <c r="AD61" s="44"/>
      <c r="AE61" s="21"/>
      <c r="AF61" s="44"/>
      <c r="AG61" s="21"/>
    </row>
    <row r="62" spans="2:33" x14ac:dyDescent="0.3">
      <c r="B62" s="29"/>
      <c r="C62" s="31">
        <v>131</v>
      </c>
      <c r="D62" s="12" t="s">
        <v>626</v>
      </c>
      <c r="E62" s="18">
        <v>56637</v>
      </c>
      <c r="F62" s="18">
        <f t="shared" si="1"/>
        <v>0</v>
      </c>
      <c r="G62" s="47">
        <f t="shared" si="5"/>
        <v>56637</v>
      </c>
      <c r="H62" s="46">
        <f t="shared" si="3"/>
        <v>0</v>
      </c>
      <c r="I62" s="78" t="str" cm="1">
        <f t="array" ref="I62">IFERROR(LOOKUP(2,1/((MOD(COLUMN($K62:$AG62),2)=1)*($K62:$AG62&lt;&gt;"-")*($K62:$AG62&lt;&gt;"")),$K62:$AG62),"-")</f>
        <v>Justificada</v>
      </c>
      <c r="J62" s="44"/>
      <c r="K62" s="21"/>
      <c r="L62" s="44"/>
      <c r="M62" s="21"/>
      <c r="N62" s="44"/>
      <c r="O62" s="21"/>
      <c r="P62" s="44"/>
      <c r="Q62" s="21"/>
      <c r="R62" s="44"/>
      <c r="S62" s="21"/>
      <c r="T62" s="44"/>
      <c r="U62" s="21"/>
      <c r="V62" s="44"/>
      <c r="W62" s="21" t="s">
        <v>20</v>
      </c>
      <c r="X62" s="44"/>
      <c r="Y62" s="21" t="s">
        <v>20</v>
      </c>
      <c r="Z62" s="44"/>
      <c r="AA62" s="21" t="s">
        <v>20</v>
      </c>
      <c r="AB62" s="44"/>
      <c r="AC62" s="21"/>
      <c r="AD62" s="44"/>
      <c r="AE62" s="21"/>
      <c r="AF62" s="44"/>
      <c r="AG62" s="21"/>
    </row>
    <row r="63" spans="2:33" x14ac:dyDescent="0.3">
      <c r="B63" s="29"/>
      <c r="C63" s="31">
        <v>132</v>
      </c>
      <c r="D63" s="12" t="s">
        <v>626</v>
      </c>
      <c r="E63" s="18">
        <v>606412.76</v>
      </c>
      <c r="F63" s="18">
        <f t="shared" si="1"/>
        <v>606412.75</v>
      </c>
      <c r="G63" s="47">
        <f t="shared" si="5"/>
        <v>1.0000000009313226E-2</v>
      </c>
      <c r="H63" s="46">
        <f t="shared" si="3"/>
        <v>0.99999998350958186</v>
      </c>
      <c r="I63" s="78" t="str" cm="1">
        <f t="array" ref="I63">IFERROR(LOOKUP(2,1/((MOD(COLUMN($K63:$AG63),2)=1)*($K63:$AG63&lt;&gt;"-")*($K63:$AG63&lt;&gt;"")),$K63:$AG63),"-")</f>
        <v>Concluída</v>
      </c>
      <c r="J63" s="44"/>
      <c r="K63" s="21"/>
      <c r="L63" s="44"/>
      <c r="M63" s="21"/>
      <c r="N63" s="44"/>
      <c r="O63" s="21"/>
      <c r="P63" s="44"/>
      <c r="Q63" s="21"/>
      <c r="R63" s="44"/>
      <c r="S63" s="21"/>
      <c r="T63" s="44"/>
      <c r="U63" s="21"/>
      <c r="V63" s="44">
        <v>606412.75</v>
      </c>
      <c r="W63" s="21" t="s">
        <v>19</v>
      </c>
      <c r="X63" s="44"/>
      <c r="Y63" s="21"/>
      <c r="Z63" s="44"/>
      <c r="AA63" s="21"/>
      <c r="AB63" s="44"/>
      <c r="AC63" s="21"/>
      <c r="AD63" s="44"/>
      <c r="AE63" s="21"/>
      <c r="AF63" s="44"/>
      <c r="AG63" s="21"/>
    </row>
    <row r="64" spans="2:33" x14ac:dyDescent="0.3">
      <c r="B64" s="29"/>
      <c r="C64" s="31">
        <v>133</v>
      </c>
      <c r="D64" s="12" t="s">
        <v>627</v>
      </c>
      <c r="E64" s="18">
        <v>49898.400000000001</v>
      </c>
      <c r="F64" s="18">
        <f t="shared" si="1"/>
        <v>0</v>
      </c>
      <c r="G64" s="47">
        <f t="shared" si="5"/>
        <v>49898.400000000001</v>
      </c>
      <c r="H64" s="46">
        <f t="shared" si="3"/>
        <v>0</v>
      </c>
      <c r="I64" s="78" t="str" cm="1">
        <f t="array" ref="I64">IFERROR(LOOKUP(2,1/((MOD(COLUMN($K64:$AG64),2)=1)*($K64:$AG64&lt;&gt;"-")*($K64:$AG64&lt;&gt;"")),$K64:$AG64),"-")</f>
        <v>Justificada</v>
      </c>
      <c r="J64" s="44"/>
      <c r="K64" s="21"/>
      <c r="L64" s="44"/>
      <c r="M64" s="21"/>
      <c r="N64" s="44"/>
      <c r="O64" s="21"/>
      <c r="P64" s="44"/>
      <c r="Q64" s="21"/>
      <c r="R64" s="44"/>
      <c r="S64" s="21"/>
      <c r="T64" s="44"/>
      <c r="U64" s="21"/>
      <c r="V64" s="44"/>
      <c r="W64" s="21"/>
      <c r="X64" s="44"/>
      <c r="Y64" s="21"/>
      <c r="Z64" s="44"/>
      <c r="AA64" s="21" t="s">
        <v>20</v>
      </c>
      <c r="AB64" s="44"/>
      <c r="AC64" s="21"/>
      <c r="AD64" s="44"/>
      <c r="AE64" s="21"/>
      <c r="AF64" s="44"/>
      <c r="AG64" s="21"/>
    </row>
    <row r="65" spans="2:33" x14ac:dyDescent="0.3">
      <c r="B65" s="29"/>
      <c r="C65" s="31">
        <v>134</v>
      </c>
      <c r="D65" s="12" t="s">
        <v>644</v>
      </c>
      <c r="E65" s="18">
        <v>79209</v>
      </c>
      <c r="F65" s="18">
        <f t="shared" si="1"/>
        <v>79209</v>
      </c>
      <c r="G65" s="47">
        <f t="shared" si="5"/>
        <v>0</v>
      </c>
      <c r="H65" s="46">
        <f t="shared" si="3"/>
        <v>1</v>
      </c>
      <c r="I65" s="78" t="str" cm="1">
        <f t="array" ref="I65">IFERROR(LOOKUP(2,1/((MOD(COLUMN($K65:$AG65),2)=1)*($K65:$AG65&lt;&gt;"-")*($K65:$AG65&lt;&gt;"")),$K65:$AG65),"-")</f>
        <v>Concluída</v>
      </c>
      <c r="J65" s="44"/>
      <c r="K65" s="21"/>
      <c r="L65" s="44"/>
      <c r="M65" s="21"/>
      <c r="N65" s="44"/>
      <c r="O65" s="21"/>
      <c r="P65" s="44"/>
      <c r="Q65" s="21"/>
      <c r="R65" s="44"/>
      <c r="S65" s="21"/>
      <c r="T65" s="44"/>
      <c r="U65" s="21"/>
      <c r="V65" s="44"/>
      <c r="W65" s="21" t="s">
        <v>20</v>
      </c>
      <c r="X65" s="44">
        <v>79209</v>
      </c>
      <c r="Y65" s="21" t="s">
        <v>19</v>
      </c>
      <c r="Z65" s="44"/>
      <c r="AA65" s="21"/>
      <c r="AB65" s="44"/>
      <c r="AC65" s="21"/>
      <c r="AD65" s="44"/>
      <c r="AE65" s="21"/>
      <c r="AF65" s="44"/>
      <c r="AG65" s="21"/>
    </row>
    <row r="66" spans="2:33" x14ac:dyDescent="0.3">
      <c r="B66" s="29"/>
      <c r="C66" s="31">
        <v>135</v>
      </c>
      <c r="D66" s="12" t="s">
        <v>626</v>
      </c>
      <c r="E66" s="18">
        <v>107981.74</v>
      </c>
      <c r="F66" s="18">
        <f t="shared" si="1"/>
        <v>107324.57</v>
      </c>
      <c r="G66" s="47">
        <f t="shared" si="5"/>
        <v>657.16999999999825</v>
      </c>
      <c r="H66" s="46">
        <f t="shared" si="3"/>
        <v>0.99391406361853407</v>
      </c>
      <c r="I66" s="78" t="str" cm="1">
        <f t="array" ref="I66">IFERROR(LOOKUP(2,1/((MOD(COLUMN($K66:$AG66),2)=1)*($K66:$AG66&lt;&gt;"-")*($K66:$AG66&lt;&gt;"")),$K66:$AG66),"-")</f>
        <v>Concluída</v>
      </c>
      <c r="J66" s="44"/>
      <c r="K66" s="21"/>
      <c r="L66" s="44"/>
      <c r="M66" s="21"/>
      <c r="N66" s="44"/>
      <c r="O66" s="21"/>
      <c r="P66" s="44"/>
      <c r="Q66" s="21"/>
      <c r="R66" s="44"/>
      <c r="S66" s="21"/>
      <c r="T66" s="44"/>
      <c r="U66" s="21"/>
      <c r="V66" s="44">
        <v>107324.57</v>
      </c>
      <c r="W66" s="21" t="s">
        <v>19</v>
      </c>
      <c r="X66" s="44"/>
      <c r="Y66" s="21"/>
      <c r="Z66" s="44"/>
      <c r="AA66" s="21"/>
      <c r="AB66" s="44"/>
      <c r="AC66" s="21"/>
      <c r="AD66" s="44"/>
      <c r="AE66" s="21"/>
      <c r="AF66" s="44"/>
      <c r="AG66" s="21"/>
    </row>
    <row r="67" spans="2:33" x14ac:dyDescent="0.3">
      <c r="B67" s="29"/>
      <c r="C67" s="31">
        <v>136</v>
      </c>
      <c r="D67" s="12" t="s">
        <v>638</v>
      </c>
      <c r="E67" s="18">
        <v>322716.33</v>
      </c>
      <c r="F67" s="18">
        <f t="shared" si="1"/>
        <v>0</v>
      </c>
      <c r="G67" s="47">
        <f t="shared" si="5"/>
        <v>322716.33</v>
      </c>
      <c r="H67" s="46">
        <f t="shared" si="3"/>
        <v>0</v>
      </c>
      <c r="I67" s="78" t="str" cm="1">
        <f t="array" ref="I67">IFERROR(LOOKUP(2,1/((MOD(COLUMN($K67:$AG67),2)=1)*($K67:$AG67&lt;&gt;"-")*($K67:$AG67&lt;&gt;"")),$K67:$AG67),"-")</f>
        <v>Análise Gestor</v>
      </c>
      <c r="J67" s="44"/>
      <c r="K67" s="21"/>
      <c r="L67" s="44"/>
      <c r="M67" s="21"/>
      <c r="N67" s="44"/>
      <c r="O67" s="21"/>
      <c r="P67" s="44"/>
      <c r="Q67" s="21"/>
      <c r="R67" s="44"/>
      <c r="S67" s="21"/>
      <c r="T67" s="44"/>
      <c r="U67" s="21"/>
      <c r="V67" s="44"/>
      <c r="W67" s="21"/>
      <c r="X67" s="44"/>
      <c r="Y67" s="21"/>
      <c r="Z67" s="44"/>
      <c r="AA67" s="21" t="s">
        <v>607</v>
      </c>
      <c r="AB67" s="44"/>
      <c r="AC67" s="21"/>
      <c r="AD67" s="44"/>
      <c r="AE67" s="21"/>
      <c r="AF67" s="44"/>
      <c r="AG67" s="21"/>
    </row>
    <row r="68" spans="2:33" x14ac:dyDescent="0.3">
      <c r="B68" s="29"/>
      <c r="C68" s="31">
        <v>137</v>
      </c>
      <c r="D68" s="12" t="s">
        <v>626</v>
      </c>
      <c r="E68" s="18">
        <v>245722.63</v>
      </c>
      <c r="F68" s="18">
        <f t="shared" ref="F68:F95" si="6">SUM(J68,L68,N68,P68,R68,T68,V68,X68,Z68,AB68,AD68,AF68)</f>
        <v>245051.69</v>
      </c>
      <c r="G68" s="47">
        <f t="shared" si="5"/>
        <v>670.94000000000233</v>
      </c>
      <c r="H68" s="46">
        <f t="shared" ref="H68:H95" si="7">IFERROR(F68/E68,0)</f>
        <v>0.99726952295765348</v>
      </c>
      <c r="I68" s="78" t="str" cm="1">
        <f t="array" ref="I68">IFERROR(LOOKUP(2,1/((MOD(COLUMN($K68:$AG68),2)=1)*($K68:$AG68&lt;&gt;"-")*($K68:$AG68&lt;&gt;"")),$K68:$AG68),"-")</f>
        <v>Concluída</v>
      </c>
      <c r="J68" s="44"/>
      <c r="K68" s="21"/>
      <c r="L68" s="44"/>
      <c r="M68" s="21"/>
      <c r="N68" s="44"/>
      <c r="O68" s="21"/>
      <c r="P68" s="44"/>
      <c r="Q68" s="21"/>
      <c r="R68" s="44"/>
      <c r="S68" s="21"/>
      <c r="T68" s="44"/>
      <c r="U68" s="21"/>
      <c r="V68" s="44">
        <v>149064.91</v>
      </c>
      <c r="W68" s="21" t="s">
        <v>18</v>
      </c>
      <c r="X68" s="44">
        <v>95986.78</v>
      </c>
      <c r="Y68" s="21" t="s">
        <v>19</v>
      </c>
      <c r="Z68" s="44"/>
      <c r="AA68" s="21"/>
      <c r="AB68" s="44"/>
      <c r="AC68" s="21"/>
      <c r="AD68" s="44"/>
      <c r="AE68" s="21"/>
      <c r="AF68" s="44"/>
      <c r="AG68" s="21"/>
    </row>
    <row r="69" spans="2:33" x14ac:dyDescent="0.3">
      <c r="B69" s="29"/>
      <c r="C69" s="31">
        <v>138</v>
      </c>
      <c r="D69" s="12" t="s">
        <v>626</v>
      </c>
      <c r="E69" s="18">
        <v>107300.67</v>
      </c>
      <c r="F69" s="18">
        <f t="shared" si="6"/>
        <v>95210.040000000008</v>
      </c>
      <c r="G69" s="47">
        <f t="shared" si="5"/>
        <v>12090.62999999999</v>
      </c>
      <c r="H69" s="46">
        <f t="shared" si="7"/>
        <v>0.88732008849525368</v>
      </c>
      <c r="I69" s="78" t="str" cm="1">
        <f t="array" ref="I69">IFERROR(LOOKUP(2,1/((MOD(COLUMN($K69:$AG69),2)=1)*($K69:$AG69&lt;&gt;"-")*($K69:$AG69&lt;&gt;"")),$K69:$AG69),"-")</f>
        <v>Concluída</v>
      </c>
      <c r="J69" s="44"/>
      <c r="K69" s="21"/>
      <c r="L69" s="44"/>
      <c r="M69" s="21"/>
      <c r="N69" s="44"/>
      <c r="O69" s="21"/>
      <c r="P69" s="44"/>
      <c r="Q69" s="21"/>
      <c r="R69" s="44"/>
      <c r="S69" s="21"/>
      <c r="T69" s="44"/>
      <c r="U69" s="21"/>
      <c r="V69" s="44">
        <v>18658.490000000002</v>
      </c>
      <c r="W69" s="21" t="s">
        <v>18</v>
      </c>
      <c r="X69" s="44">
        <v>76551.55</v>
      </c>
      <c r="Y69" s="21" t="s">
        <v>19</v>
      </c>
      <c r="Z69" s="44"/>
      <c r="AA69" s="21"/>
      <c r="AB69" s="44"/>
      <c r="AC69" s="21"/>
      <c r="AD69" s="44"/>
      <c r="AE69" s="21"/>
      <c r="AF69" s="44"/>
      <c r="AG69" s="21"/>
    </row>
    <row r="70" spans="2:33" x14ac:dyDescent="0.3">
      <c r="B70" s="29"/>
      <c r="C70" s="31">
        <v>139</v>
      </c>
      <c r="D70" s="12" t="s">
        <v>626</v>
      </c>
      <c r="E70" s="18">
        <v>91034.06</v>
      </c>
      <c r="F70" s="18">
        <f t="shared" si="6"/>
        <v>81288.03</v>
      </c>
      <c r="G70" s="47">
        <f t="shared" si="5"/>
        <v>9746.0299999999988</v>
      </c>
      <c r="H70" s="46">
        <f t="shared" si="7"/>
        <v>0.89294083994496132</v>
      </c>
      <c r="I70" s="78" t="str" cm="1">
        <f t="array" ref="I70">IFERROR(LOOKUP(2,1/((MOD(COLUMN($K70:$AG70),2)=1)*($K70:$AG70&lt;&gt;"-")*($K70:$AG70&lt;&gt;"")),$K70:$AG70),"-")</f>
        <v>Concluída</v>
      </c>
      <c r="J70" s="44"/>
      <c r="K70" s="21"/>
      <c r="L70" s="44"/>
      <c r="M70" s="21"/>
      <c r="N70" s="44"/>
      <c r="O70" s="21"/>
      <c r="P70" s="44"/>
      <c r="Q70" s="21"/>
      <c r="R70" s="44"/>
      <c r="S70" s="21"/>
      <c r="T70" s="44"/>
      <c r="U70" s="21"/>
      <c r="V70" s="44">
        <v>13730.57</v>
      </c>
      <c r="W70" s="21" t="s">
        <v>18</v>
      </c>
      <c r="X70" s="44">
        <v>67557.460000000006</v>
      </c>
      <c r="Y70" s="21" t="s">
        <v>19</v>
      </c>
      <c r="Z70" s="44"/>
      <c r="AA70" s="21"/>
      <c r="AB70" s="44"/>
      <c r="AC70" s="21"/>
      <c r="AD70" s="44"/>
      <c r="AE70" s="21"/>
      <c r="AF70" s="44"/>
      <c r="AG70" s="21"/>
    </row>
    <row r="71" spans="2:33" x14ac:dyDescent="0.3">
      <c r="B71" s="29">
        <f t="shared" ref="B71:B96" si="8">ROW()-ROW($B$3)</f>
        <v>68</v>
      </c>
      <c r="C71" s="31">
        <v>140</v>
      </c>
      <c r="D71" s="12" t="s">
        <v>626</v>
      </c>
      <c r="E71" s="18">
        <v>100136.05</v>
      </c>
      <c r="F71" s="18">
        <f t="shared" si="6"/>
        <v>90662.75</v>
      </c>
      <c r="G71" s="47">
        <f t="shared" si="5"/>
        <v>9473.3000000000029</v>
      </c>
      <c r="H71" s="46">
        <f t="shared" si="7"/>
        <v>0.90539570913771816</v>
      </c>
      <c r="I71" s="78" t="str" cm="1">
        <f t="array" ref="I71">IFERROR(LOOKUP(2,1/((MOD(COLUMN($K71:$AG71),2)=1)*($K71:$AG71&lt;&gt;"-")*($K71:$AG71&lt;&gt;"")),$K71:$AG71),"-")</f>
        <v>Concluída</v>
      </c>
      <c r="J71" s="44"/>
      <c r="K71" s="21"/>
      <c r="L71" s="44"/>
      <c r="M71" s="21"/>
      <c r="N71" s="44"/>
      <c r="O71" s="21"/>
      <c r="P71" s="44"/>
      <c r="Q71" s="21"/>
      <c r="R71" s="44"/>
      <c r="S71" s="21"/>
      <c r="T71" s="44"/>
      <c r="U71" s="21"/>
      <c r="V71" s="44">
        <v>15188.95</v>
      </c>
      <c r="W71" s="21" t="s">
        <v>18</v>
      </c>
      <c r="X71" s="44">
        <v>75473.8</v>
      </c>
      <c r="Y71" s="21" t="s">
        <v>19</v>
      </c>
      <c r="Z71" s="44"/>
      <c r="AA71" s="21"/>
      <c r="AB71" s="44"/>
      <c r="AC71" s="21"/>
      <c r="AD71" s="44"/>
      <c r="AE71" s="21"/>
      <c r="AF71" s="44"/>
      <c r="AG71" s="21"/>
    </row>
    <row r="72" spans="2:33" x14ac:dyDescent="0.3">
      <c r="B72" s="29">
        <f t="shared" si="8"/>
        <v>69</v>
      </c>
      <c r="C72" s="31">
        <v>141</v>
      </c>
      <c r="D72" s="12" t="s">
        <v>626</v>
      </c>
      <c r="E72" s="18">
        <v>21439.75</v>
      </c>
      <c r="F72" s="18">
        <f t="shared" si="6"/>
        <v>3335.79</v>
      </c>
      <c r="G72" s="47">
        <f t="shared" si="5"/>
        <v>18103.96</v>
      </c>
      <c r="H72" s="46">
        <f t="shared" si="7"/>
        <v>0.15558903438706143</v>
      </c>
      <c r="I72" s="78" t="str" cm="1">
        <f t="array" ref="I72">IFERROR(LOOKUP(2,1/((MOD(COLUMN($K72:$AG72),2)=1)*($K72:$AG72&lt;&gt;"-")*($K72:$AG72&lt;&gt;"")),$K72:$AG72),"-")</f>
        <v>Em andamento</v>
      </c>
      <c r="J72" s="44"/>
      <c r="K72" s="21"/>
      <c r="L72" s="44"/>
      <c r="M72" s="21"/>
      <c r="N72" s="44"/>
      <c r="O72" s="21"/>
      <c r="P72" s="44"/>
      <c r="Q72" s="21"/>
      <c r="R72" s="44"/>
      <c r="S72" s="21"/>
      <c r="T72" s="44"/>
      <c r="U72" s="21"/>
      <c r="V72" s="44">
        <v>84.08</v>
      </c>
      <c r="W72" s="21" t="s">
        <v>18</v>
      </c>
      <c r="X72" s="44">
        <v>3251.71</v>
      </c>
      <c r="Y72" s="21" t="s">
        <v>18</v>
      </c>
      <c r="Z72" s="44"/>
      <c r="AA72" s="21"/>
      <c r="AB72" s="44"/>
      <c r="AC72" s="21"/>
      <c r="AD72" s="44"/>
      <c r="AE72" s="21"/>
      <c r="AF72" s="44"/>
      <c r="AG72" s="21"/>
    </row>
    <row r="73" spans="2:33" x14ac:dyDescent="0.3">
      <c r="B73" s="29">
        <f t="shared" si="8"/>
        <v>70</v>
      </c>
      <c r="C73" s="31">
        <v>142</v>
      </c>
      <c r="D73" s="12" t="s">
        <v>626</v>
      </c>
      <c r="E73" s="18">
        <v>46302.31</v>
      </c>
      <c r="F73" s="18">
        <f t="shared" si="6"/>
        <v>9468.4499999999989</v>
      </c>
      <c r="G73" s="47">
        <f t="shared" si="5"/>
        <v>36833.86</v>
      </c>
      <c r="H73" s="46">
        <f t="shared" si="7"/>
        <v>0.20449195731271289</v>
      </c>
      <c r="I73" s="78" t="str" cm="1">
        <f t="array" ref="I73">IFERROR(LOOKUP(2,1/((MOD(COLUMN($K73:$AG73),2)=1)*($K73:$AG73&lt;&gt;"-")*($K73:$AG73&lt;&gt;"")),$K73:$AG73),"-")</f>
        <v>Em andamento</v>
      </c>
      <c r="J73" s="44"/>
      <c r="K73" s="21"/>
      <c r="L73" s="44"/>
      <c r="M73" s="21"/>
      <c r="N73" s="44"/>
      <c r="O73" s="21"/>
      <c r="P73" s="44"/>
      <c r="Q73" s="21"/>
      <c r="R73" s="44"/>
      <c r="S73" s="21"/>
      <c r="T73" s="44"/>
      <c r="U73" s="21"/>
      <c r="V73" s="44">
        <v>252.23</v>
      </c>
      <c r="W73" s="21" t="s">
        <v>18</v>
      </c>
      <c r="X73" s="44">
        <v>9216.2199999999993</v>
      </c>
      <c r="Y73" s="21" t="s">
        <v>18</v>
      </c>
      <c r="Z73" s="44"/>
      <c r="AA73" s="21"/>
      <c r="AB73" s="44"/>
      <c r="AC73" s="21"/>
      <c r="AD73" s="44"/>
      <c r="AE73" s="21"/>
      <c r="AF73" s="44"/>
      <c r="AG73" s="21"/>
    </row>
    <row r="74" spans="2:33" x14ac:dyDescent="0.3">
      <c r="B74" s="29">
        <f t="shared" si="8"/>
        <v>71</v>
      </c>
      <c r="C74" s="31">
        <v>143</v>
      </c>
      <c r="D74" s="12" t="s">
        <v>626</v>
      </c>
      <c r="E74" s="18">
        <v>57043.47</v>
      </c>
      <c r="F74" s="18">
        <f t="shared" si="6"/>
        <v>9423.7699999999986</v>
      </c>
      <c r="G74" s="47">
        <f t="shared" si="5"/>
        <v>47619.700000000004</v>
      </c>
      <c r="H74" s="46">
        <f t="shared" si="7"/>
        <v>0.16520330898523528</v>
      </c>
      <c r="I74" s="78" t="str" cm="1">
        <f t="array" ref="I74">IFERROR(LOOKUP(2,1/((MOD(COLUMN($K74:$AG74),2)=1)*($K74:$AG74&lt;&gt;"-")*($K74:$AG74&lt;&gt;"")),$K74:$AG74),"-")</f>
        <v>Em andamento</v>
      </c>
      <c r="J74" s="44"/>
      <c r="K74" s="21"/>
      <c r="L74" s="44"/>
      <c r="M74" s="21"/>
      <c r="N74" s="44"/>
      <c r="O74" s="21"/>
      <c r="P74" s="44"/>
      <c r="Q74" s="21"/>
      <c r="R74" s="44"/>
      <c r="S74" s="21"/>
      <c r="T74" s="44"/>
      <c r="U74" s="21"/>
      <c r="V74" s="44">
        <v>420.39</v>
      </c>
      <c r="W74" s="21" t="s">
        <v>18</v>
      </c>
      <c r="X74" s="44">
        <v>9003.3799999999992</v>
      </c>
      <c r="Y74" s="21" t="s">
        <v>18</v>
      </c>
      <c r="Z74" s="44"/>
      <c r="AA74" s="21"/>
      <c r="AB74" s="44"/>
      <c r="AC74" s="21"/>
      <c r="AD74" s="44"/>
      <c r="AE74" s="21"/>
      <c r="AF74" s="44"/>
      <c r="AG74" s="21"/>
    </row>
    <row r="75" spans="2:33" x14ac:dyDescent="0.3">
      <c r="B75" s="29"/>
      <c r="C75" s="31">
        <v>144</v>
      </c>
      <c r="D75" s="12" t="s">
        <v>624</v>
      </c>
      <c r="E75" s="18">
        <v>68167.67</v>
      </c>
      <c r="F75" s="18">
        <f t="shared" si="6"/>
        <v>2383.7800000000002</v>
      </c>
      <c r="G75" s="47">
        <f t="shared" si="5"/>
        <v>65783.89</v>
      </c>
      <c r="H75" s="46">
        <f t="shared" si="7"/>
        <v>3.49693630426271E-2</v>
      </c>
      <c r="I75" s="78" t="str" cm="1">
        <f t="array" ref="I75">IFERROR(LOOKUP(2,1/((MOD(COLUMN($K75:$AG75),2)=1)*($K75:$AG75&lt;&gt;"-")*($K75:$AG75&lt;&gt;"")),$K75:$AG75),"-")</f>
        <v>Em andamento</v>
      </c>
      <c r="J75" s="44"/>
      <c r="K75" s="21"/>
      <c r="L75" s="44"/>
      <c r="M75" s="21"/>
      <c r="N75" s="44"/>
      <c r="O75" s="21"/>
      <c r="P75" s="44"/>
      <c r="Q75" s="21"/>
      <c r="R75" s="44"/>
      <c r="S75" s="21"/>
      <c r="T75" s="44"/>
      <c r="U75" s="21"/>
      <c r="V75" s="44"/>
      <c r="W75" s="21"/>
      <c r="X75" s="44">
        <v>2383.7800000000002</v>
      </c>
      <c r="Y75" s="21" t="s">
        <v>18</v>
      </c>
      <c r="Z75" s="44"/>
      <c r="AA75" s="21"/>
      <c r="AB75" s="44"/>
      <c r="AC75" s="21"/>
      <c r="AD75" s="44"/>
      <c r="AE75" s="21"/>
      <c r="AF75" s="44"/>
      <c r="AG75" s="21"/>
    </row>
    <row r="76" spans="2:33" x14ac:dyDescent="0.3">
      <c r="B76" s="29"/>
      <c r="C76" s="31">
        <v>145</v>
      </c>
      <c r="D76" s="12" t="s">
        <v>626</v>
      </c>
      <c r="E76" s="18">
        <v>540998.06999999995</v>
      </c>
      <c r="F76" s="18">
        <f t="shared" si="6"/>
        <v>300916.39</v>
      </c>
      <c r="G76" s="47">
        <f t="shared" si="5"/>
        <v>240081.67999999993</v>
      </c>
      <c r="H76" s="46">
        <f t="shared" si="7"/>
        <v>0.55622451666047545</v>
      </c>
      <c r="I76" s="78" t="str" cm="1">
        <f t="array" ref="I76">IFERROR(LOOKUP(2,1/((MOD(COLUMN($K76:$AG76),2)=1)*($K76:$AG76&lt;&gt;"-")*($K76:$AG76&lt;&gt;"")),$K76:$AG76),"-")</f>
        <v>Justificada</v>
      </c>
      <c r="J76" s="44"/>
      <c r="K76" s="21"/>
      <c r="L76" s="44"/>
      <c r="M76" s="21"/>
      <c r="N76" s="44"/>
      <c r="O76" s="21"/>
      <c r="P76" s="44"/>
      <c r="Q76" s="21"/>
      <c r="R76" s="44"/>
      <c r="S76" s="21"/>
      <c r="T76" s="44"/>
      <c r="U76" s="21"/>
      <c r="V76" s="44">
        <v>300916.39</v>
      </c>
      <c r="W76" s="21" t="s">
        <v>18</v>
      </c>
      <c r="X76" s="44"/>
      <c r="Y76" s="21" t="s">
        <v>20</v>
      </c>
      <c r="Z76" s="44"/>
      <c r="AA76" s="21"/>
      <c r="AB76" s="44"/>
      <c r="AC76" s="21"/>
      <c r="AD76" s="44"/>
      <c r="AE76" s="21"/>
      <c r="AF76" s="44"/>
      <c r="AG76" s="21"/>
    </row>
    <row r="77" spans="2:33" x14ac:dyDescent="0.3">
      <c r="B77" s="29"/>
      <c r="C77" s="31">
        <v>146</v>
      </c>
      <c r="D77" s="12" t="s">
        <v>624</v>
      </c>
      <c r="E77" s="18">
        <v>20730.63</v>
      </c>
      <c r="F77" s="18">
        <f t="shared" si="6"/>
        <v>20730.63</v>
      </c>
      <c r="G77" s="47">
        <f t="shared" si="5"/>
        <v>0</v>
      </c>
      <c r="H77" s="46">
        <f t="shared" si="7"/>
        <v>1</v>
      </c>
      <c r="I77" s="78" t="str" cm="1">
        <f t="array" ref="I77">IFERROR(LOOKUP(2,1/((MOD(COLUMN($K77:$AG77),2)=1)*($K77:$AG77&lt;&gt;"-")*($K77:$AG77&lt;&gt;"")),$K77:$AG77),"-")</f>
        <v>Concluída</v>
      </c>
      <c r="J77" s="44"/>
      <c r="K77" s="21"/>
      <c r="L77" s="44"/>
      <c r="M77" s="21"/>
      <c r="N77" s="44"/>
      <c r="O77" s="21"/>
      <c r="P77" s="44"/>
      <c r="Q77" s="21"/>
      <c r="R77" s="44"/>
      <c r="S77" s="21"/>
      <c r="T77" s="44"/>
      <c r="U77" s="21"/>
      <c r="V77" s="44"/>
      <c r="W77" s="21"/>
      <c r="X77" s="44">
        <v>20730.63</v>
      </c>
      <c r="Y77" s="21" t="s">
        <v>19</v>
      </c>
      <c r="Z77" s="44"/>
      <c r="AA77" s="21"/>
      <c r="AB77" s="44"/>
      <c r="AC77" s="21"/>
      <c r="AD77" s="44"/>
      <c r="AE77" s="21"/>
      <c r="AF77" s="44"/>
      <c r="AG77" s="21"/>
    </row>
    <row r="78" spans="2:33" x14ac:dyDescent="0.3">
      <c r="B78" s="29"/>
      <c r="C78" s="31">
        <v>147</v>
      </c>
      <c r="D78" s="12" t="s">
        <v>624</v>
      </c>
      <c r="E78" s="18">
        <v>364234.92</v>
      </c>
      <c r="F78" s="18">
        <f t="shared" si="6"/>
        <v>0</v>
      </c>
      <c r="G78" s="47">
        <f t="shared" si="5"/>
        <v>364234.92</v>
      </c>
      <c r="H78" s="46">
        <f t="shared" si="7"/>
        <v>0</v>
      </c>
      <c r="I78" s="78" t="str" cm="1">
        <f t="array" ref="I78">IFERROR(LOOKUP(2,1/((MOD(COLUMN($K78:$AG78),2)=1)*($K78:$AG78&lt;&gt;"-")*($K78:$AG78&lt;&gt;"")),$K78:$AG78),"-")</f>
        <v>Correção Fiscal</v>
      </c>
      <c r="J78" s="44"/>
      <c r="K78" s="21"/>
      <c r="L78" s="44"/>
      <c r="M78" s="21"/>
      <c r="N78" s="44"/>
      <c r="O78" s="21"/>
      <c r="P78" s="44"/>
      <c r="Q78" s="21"/>
      <c r="R78" s="44"/>
      <c r="S78" s="21"/>
      <c r="T78" s="44"/>
      <c r="U78" s="21"/>
      <c r="V78" s="44"/>
      <c r="W78" s="21"/>
      <c r="X78" s="44"/>
      <c r="Y78" s="21"/>
      <c r="Z78" s="44"/>
      <c r="AA78" s="21" t="s">
        <v>608</v>
      </c>
      <c r="AB78" s="44"/>
      <c r="AC78" s="21"/>
      <c r="AD78" s="44"/>
      <c r="AE78" s="21"/>
      <c r="AF78" s="44"/>
      <c r="AG78" s="21"/>
    </row>
    <row r="79" spans="2:33" x14ac:dyDescent="0.3">
      <c r="B79" s="29"/>
      <c r="C79" s="31">
        <v>148</v>
      </c>
      <c r="D79" s="12" t="s">
        <v>638</v>
      </c>
      <c r="E79" s="18">
        <v>44013.1</v>
      </c>
      <c r="F79" s="18">
        <f t="shared" si="6"/>
        <v>0</v>
      </c>
      <c r="G79" s="47">
        <f t="shared" si="5"/>
        <v>44013.1</v>
      </c>
      <c r="H79" s="46">
        <f t="shared" si="7"/>
        <v>0</v>
      </c>
      <c r="I79" s="78" t="str" cm="1">
        <f t="array" ref="I79">IFERROR(LOOKUP(2,1/((MOD(COLUMN($K79:$AG79),2)=1)*($K79:$AG79&lt;&gt;"-")*($K79:$AG79&lt;&gt;"")),$K79:$AG79),"-")</f>
        <v>Em elaboração</v>
      </c>
      <c r="J79" s="44"/>
      <c r="K79" s="21"/>
      <c r="L79" s="44"/>
      <c r="M79" s="21"/>
      <c r="N79" s="44"/>
      <c r="O79" s="21"/>
      <c r="P79" s="44"/>
      <c r="Q79" s="21"/>
      <c r="R79" s="44"/>
      <c r="S79" s="21"/>
      <c r="T79" s="44"/>
      <c r="U79" s="21"/>
      <c r="V79" s="44"/>
      <c r="W79" s="21"/>
      <c r="X79" s="44"/>
      <c r="Y79" s="21"/>
      <c r="Z79" s="44"/>
      <c r="AA79" s="21" t="s">
        <v>38</v>
      </c>
      <c r="AB79" s="44"/>
      <c r="AC79" s="21"/>
      <c r="AD79" s="44"/>
      <c r="AE79" s="21"/>
      <c r="AF79" s="44"/>
      <c r="AG79" s="21"/>
    </row>
    <row r="80" spans="2:33" x14ac:dyDescent="0.3">
      <c r="B80" s="29"/>
      <c r="C80" s="31">
        <v>149</v>
      </c>
      <c r="D80" s="12" t="s">
        <v>624</v>
      </c>
      <c r="E80" s="18">
        <v>8354.17</v>
      </c>
      <c r="F80" s="18">
        <f t="shared" si="6"/>
        <v>8066.57</v>
      </c>
      <c r="G80" s="47">
        <f t="shared" si="5"/>
        <v>287.60000000000036</v>
      </c>
      <c r="H80" s="46">
        <f t="shared" si="7"/>
        <v>0.96557407857393374</v>
      </c>
      <c r="I80" s="78" t="str" cm="1">
        <f t="array" ref="I80">IFERROR(LOOKUP(2,1/((MOD(COLUMN($K80:$AG80),2)=1)*($K80:$AG80&lt;&gt;"-")*($K80:$AG80&lt;&gt;"")),$K80:$AG80),"-")</f>
        <v>Concluída</v>
      </c>
      <c r="J80" s="44"/>
      <c r="K80" s="21"/>
      <c r="L80" s="44"/>
      <c r="M80" s="21"/>
      <c r="N80" s="44"/>
      <c r="O80" s="21"/>
      <c r="P80" s="44"/>
      <c r="Q80" s="21"/>
      <c r="R80" s="44"/>
      <c r="S80" s="21"/>
      <c r="T80" s="44"/>
      <c r="U80" s="21"/>
      <c r="V80" s="44"/>
      <c r="W80" s="21"/>
      <c r="X80" s="44">
        <v>8066.57</v>
      </c>
      <c r="Y80" s="21" t="s">
        <v>19</v>
      </c>
      <c r="Z80" s="44"/>
      <c r="AA80" s="21"/>
      <c r="AB80" s="44"/>
      <c r="AC80" s="21"/>
      <c r="AD80" s="44"/>
      <c r="AE80" s="21"/>
      <c r="AF80" s="44"/>
      <c r="AG80" s="21"/>
    </row>
    <row r="81" spans="2:33" x14ac:dyDescent="0.3">
      <c r="B81" s="29"/>
      <c r="C81" s="31">
        <v>150</v>
      </c>
      <c r="D81" s="12" t="s">
        <v>624</v>
      </c>
      <c r="E81" s="18">
        <v>56798.2</v>
      </c>
      <c r="F81" s="18">
        <f t="shared" si="6"/>
        <v>54844.32</v>
      </c>
      <c r="G81" s="47">
        <f t="shared" si="5"/>
        <v>1953.8799999999974</v>
      </c>
      <c r="H81" s="46">
        <f t="shared" si="7"/>
        <v>0.96559961407227701</v>
      </c>
      <c r="I81" s="78" t="str" cm="1">
        <f t="array" ref="I81">IFERROR(LOOKUP(2,1/((MOD(COLUMN($K81:$AG81),2)=1)*($K81:$AG81&lt;&gt;"-")*($K81:$AG81&lt;&gt;"")),$K81:$AG81),"-")</f>
        <v>Concluída</v>
      </c>
      <c r="J81" s="44"/>
      <c r="K81" s="21"/>
      <c r="L81" s="44"/>
      <c r="M81" s="21"/>
      <c r="N81" s="44"/>
      <c r="O81" s="21"/>
      <c r="P81" s="44"/>
      <c r="Q81" s="21"/>
      <c r="R81" s="44"/>
      <c r="S81" s="21"/>
      <c r="T81" s="44"/>
      <c r="U81" s="21"/>
      <c r="V81" s="44"/>
      <c r="W81" s="21"/>
      <c r="X81" s="44">
        <v>54844.32</v>
      </c>
      <c r="Y81" s="21" t="s">
        <v>19</v>
      </c>
      <c r="Z81" s="44"/>
      <c r="AA81" s="21"/>
      <c r="AB81" s="44"/>
      <c r="AC81" s="21"/>
      <c r="AD81" s="44"/>
      <c r="AE81" s="21"/>
      <c r="AF81" s="44"/>
      <c r="AG81" s="21"/>
    </row>
    <row r="82" spans="2:33" x14ac:dyDescent="0.3">
      <c r="B82" s="29"/>
      <c r="C82" s="31">
        <v>151</v>
      </c>
      <c r="D82" s="12" t="s">
        <v>638</v>
      </c>
      <c r="E82" s="18">
        <v>51437.3</v>
      </c>
      <c r="F82" s="18">
        <f t="shared" si="6"/>
        <v>0</v>
      </c>
      <c r="G82" s="47">
        <f t="shared" si="5"/>
        <v>51437.3</v>
      </c>
      <c r="H82" s="46">
        <f t="shared" si="7"/>
        <v>0</v>
      </c>
      <c r="I82" s="78" t="str" cm="1">
        <f t="array" ref="I82">IFERROR(LOOKUP(2,1/((MOD(COLUMN($K82:$AG82),2)=1)*($K82:$AG82&lt;&gt;"-")*($K82:$AG82&lt;&gt;"")),$K82:$AG82),"-")</f>
        <v>Em elaboração</v>
      </c>
      <c r="J82" s="44"/>
      <c r="K82" s="21"/>
      <c r="L82" s="44"/>
      <c r="M82" s="21"/>
      <c r="N82" s="44"/>
      <c r="O82" s="21"/>
      <c r="P82" s="44"/>
      <c r="Q82" s="21"/>
      <c r="R82" s="44"/>
      <c r="S82" s="21"/>
      <c r="T82" s="44"/>
      <c r="U82" s="21"/>
      <c r="V82" s="44"/>
      <c r="W82" s="21"/>
      <c r="X82" s="44"/>
      <c r="Y82" s="21"/>
      <c r="Z82" s="44"/>
      <c r="AA82" s="21" t="s">
        <v>38</v>
      </c>
      <c r="AB82" s="44"/>
      <c r="AC82" s="21"/>
      <c r="AD82" s="44"/>
      <c r="AE82" s="21"/>
      <c r="AF82" s="44"/>
      <c r="AG82" s="21"/>
    </row>
    <row r="83" spans="2:33" x14ac:dyDescent="0.3">
      <c r="B83" s="29">
        <f t="shared" si="8"/>
        <v>80</v>
      </c>
      <c r="C83" s="31">
        <v>152</v>
      </c>
      <c r="D83" s="12" t="s">
        <v>638</v>
      </c>
      <c r="E83" s="18">
        <v>30147.05</v>
      </c>
      <c r="F83" s="18">
        <f t="shared" si="6"/>
        <v>0</v>
      </c>
      <c r="G83" s="47">
        <f t="shared" si="5"/>
        <v>30147.05</v>
      </c>
      <c r="H83" s="46">
        <f t="shared" si="7"/>
        <v>0</v>
      </c>
      <c r="I83" s="78" t="str" cm="1">
        <f t="array" ref="I83">IFERROR(LOOKUP(2,1/((MOD(COLUMN($K83:$AG83),2)=1)*($K83:$AG83&lt;&gt;"-")*($K83:$AG83&lt;&gt;"")),$K83:$AG83),"-")</f>
        <v>Em elaboração</v>
      </c>
      <c r="J83" s="44"/>
      <c r="K83" s="21"/>
      <c r="L83" s="44"/>
      <c r="M83" s="21"/>
      <c r="N83" s="44"/>
      <c r="O83" s="21"/>
      <c r="P83" s="44"/>
      <c r="Q83" s="21"/>
      <c r="R83" s="44"/>
      <c r="S83" s="21"/>
      <c r="T83" s="44"/>
      <c r="U83" s="21"/>
      <c r="V83" s="44"/>
      <c r="W83" s="21"/>
      <c r="X83" s="44"/>
      <c r="Y83" s="21"/>
      <c r="Z83" s="44"/>
      <c r="AA83" s="21" t="s">
        <v>38</v>
      </c>
      <c r="AB83" s="44"/>
      <c r="AC83" s="21"/>
      <c r="AD83" s="44"/>
      <c r="AE83" s="21"/>
      <c r="AF83" s="44"/>
      <c r="AG83" s="21"/>
    </row>
    <row r="84" spans="2:33" x14ac:dyDescent="0.3">
      <c r="B84" s="29">
        <f t="shared" si="8"/>
        <v>81</v>
      </c>
      <c r="C84" s="31">
        <v>153</v>
      </c>
      <c r="D84" s="12" t="s">
        <v>638</v>
      </c>
      <c r="E84" s="18">
        <v>106989.84</v>
      </c>
      <c r="F84" s="18">
        <f t="shared" si="6"/>
        <v>0</v>
      </c>
      <c r="G84" s="47">
        <f t="shared" si="5"/>
        <v>106989.84</v>
      </c>
      <c r="H84" s="46">
        <f t="shared" si="7"/>
        <v>0</v>
      </c>
      <c r="I84" s="78" t="str" cm="1">
        <f t="array" ref="I84">IFERROR(LOOKUP(2,1/((MOD(COLUMN($K84:$AG84),2)=1)*($K84:$AG84&lt;&gt;"-")*($K84:$AG84&lt;&gt;"")),$K84:$AG84),"-")</f>
        <v>Em elaboração</v>
      </c>
      <c r="J84" s="44"/>
      <c r="K84" s="21"/>
      <c r="L84" s="44"/>
      <c r="M84" s="21"/>
      <c r="N84" s="44"/>
      <c r="O84" s="21"/>
      <c r="P84" s="44"/>
      <c r="Q84" s="21"/>
      <c r="R84" s="44"/>
      <c r="S84" s="21"/>
      <c r="T84" s="44"/>
      <c r="U84" s="21"/>
      <c r="V84" s="44"/>
      <c r="W84" s="21"/>
      <c r="X84" s="44"/>
      <c r="Y84" s="21"/>
      <c r="Z84" s="44"/>
      <c r="AA84" s="21" t="s">
        <v>38</v>
      </c>
      <c r="AB84" s="44"/>
      <c r="AC84" s="21"/>
      <c r="AD84" s="44"/>
      <c r="AE84" s="21"/>
      <c r="AF84" s="44"/>
      <c r="AG84" s="21"/>
    </row>
    <row r="85" spans="2:33" x14ac:dyDescent="0.3">
      <c r="B85" s="29">
        <f t="shared" si="8"/>
        <v>82</v>
      </c>
      <c r="C85" s="31">
        <v>154</v>
      </c>
      <c r="D85" s="12" t="s">
        <v>624</v>
      </c>
      <c r="E85" s="18">
        <v>15959.88</v>
      </c>
      <c r="F85" s="18">
        <f t="shared" si="6"/>
        <v>0</v>
      </c>
      <c r="G85" s="47">
        <f t="shared" si="5"/>
        <v>15959.88</v>
      </c>
      <c r="H85" s="46">
        <f t="shared" si="7"/>
        <v>0</v>
      </c>
      <c r="I85" s="78" t="str" cm="1">
        <f t="array" ref="I85">IFERROR(LOOKUP(2,1/((MOD(COLUMN($K85:$AG85),2)=1)*($K85:$AG85&lt;&gt;"-")*($K85:$AG85&lt;&gt;"")),$K85:$AG85),"-")</f>
        <v>Justificada</v>
      </c>
      <c r="J85" s="44"/>
      <c r="K85" s="21"/>
      <c r="L85" s="44"/>
      <c r="M85" s="21"/>
      <c r="N85" s="44"/>
      <c r="O85" s="21"/>
      <c r="P85" s="44"/>
      <c r="Q85" s="21"/>
      <c r="R85" s="44"/>
      <c r="S85" s="21"/>
      <c r="T85" s="44"/>
      <c r="U85" s="21"/>
      <c r="V85" s="44"/>
      <c r="W85" s="21"/>
      <c r="X85" s="44"/>
      <c r="Y85" s="21" t="s">
        <v>20</v>
      </c>
      <c r="Z85" s="44"/>
      <c r="AA85" s="21"/>
      <c r="AB85" s="44"/>
      <c r="AC85" s="21"/>
      <c r="AD85" s="44"/>
      <c r="AE85" s="21"/>
      <c r="AF85" s="44"/>
      <c r="AG85" s="21"/>
    </row>
    <row r="86" spans="2:33" x14ac:dyDescent="0.3">
      <c r="B86" s="29">
        <f t="shared" si="8"/>
        <v>83</v>
      </c>
      <c r="C86" s="31">
        <v>155</v>
      </c>
      <c r="D86" s="12" t="s">
        <v>638</v>
      </c>
      <c r="E86" s="18">
        <v>88229.2</v>
      </c>
      <c r="F86" s="18">
        <f t="shared" si="6"/>
        <v>0</v>
      </c>
      <c r="G86" s="47">
        <f t="shared" si="5"/>
        <v>88229.2</v>
      </c>
      <c r="H86" s="46">
        <f t="shared" si="7"/>
        <v>0</v>
      </c>
      <c r="I86" s="78" t="str" cm="1">
        <f t="array" ref="I86">IFERROR(LOOKUP(2,1/((MOD(COLUMN($K86:$AG86),2)=1)*($K86:$AG86&lt;&gt;"-")*($K86:$AG86&lt;&gt;"")),$K86:$AG86),"-")</f>
        <v>Em elaboração</v>
      </c>
      <c r="J86" s="44"/>
      <c r="K86" s="21"/>
      <c r="L86" s="44"/>
      <c r="M86" s="21"/>
      <c r="N86" s="44"/>
      <c r="O86" s="21"/>
      <c r="P86" s="44"/>
      <c r="Q86" s="21"/>
      <c r="R86" s="44"/>
      <c r="S86" s="21"/>
      <c r="T86" s="44"/>
      <c r="U86" s="21"/>
      <c r="V86" s="44"/>
      <c r="W86" s="21"/>
      <c r="X86" s="44"/>
      <c r="Y86" s="21"/>
      <c r="Z86" s="44"/>
      <c r="AA86" s="21" t="s">
        <v>38</v>
      </c>
      <c r="AB86" s="44"/>
      <c r="AC86" s="21"/>
      <c r="AD86" s="44"/>
      <c r="AE86" s="21"/>
      <c r="AF86" s="44"/>
      <c r="AG86" s="21"/>
    </row>
    <row r="87" spans="2:33" x14ac:dyDescent="0.3">
      <c r="B87" s="29"/>
      <c r="C87" s="31">
        <v>156</v>
      </c>
      <c r="D87" s="12" t="s">
        <v>627</v>
      </c>
      <c r="E87" s="18">
        <v>19582.259999999998</v>
      </c>
      <c r="F87" s="18">
        <f t="shared" si="6"/>
        <v>0</v>
      </c>
      <c r="G87" s="47">
        <f t="shared" si="5"/>
        <v>19582.259999999998</v>
      </c>
      <c r="H87" s="46">
        <f t="shared" si="7"/>
        <v>0</v>
      </c>
      <c r="I87" s="78" t="str" cm="1">
        <f t="array" ref="I87">IFERROR(LOOKUP(2,1/((MOD(COLUMN($K87:$AG87),2)=1)*($K87:$AG87&lt;&gt;"-")*($K87:$AG87&lt;&gt;"")),$K87:$AG87),"-")</f>
        <v>Em elaboração</v>
      </c>
      <c r="J87" s="44"/>
      <c r="K87" s="21"/>
      <c r="L87" s="44"/>
      <c r="M87" s="21"/>
      <c r="N87" s="44"/>
      <c r="O87" s="21"/>
      <c r="P87" s="44"/>
      <c r="Q87" s="21"/>
      <c r="R87" s="44"/>
      <c r="S87" s="21"/>
      <c r="T87" s="44"/>
      <c r="U87" s="21"/>
      <c r="V87" s="44"/>
      <c r="W87" s="21"/>
      <c r="X87" s="44"/>
      <c r="Y87" s="21"/>
      <c r="Z87" s="44"/>
      <c r="AA87" s="21" t="s">
        <v>38</v>
      </c>
      <c r="AB87" s="44"/>
      <c r="AC87" s="21"/>
      <c r="AD87" s="44"/>
      <c r="AE87" s="21"/>
      <c r="AF87" s="44"/>
      <c r="AG87" s="21"/>
    </row>
    <row r="88" spans="2:33" x14ac:dyDescent="0.3">
      <c r="B88" s="29"/>
      <c r="C88" s="31">
        <v>157</v>
      </c>
      <c r="D88" s="12" t="s">
        <v>624</v>
      </c>
      <c r="E88" s="18">
        <v>209876.92</v>
      </c>
      <c r="F88" s="18">
        <f t="shared" si="6"/>
        <v>190760.76</v>
      </c>
      <c r="G88" s="47">
        <f t="shared" si="5"/>
        <v>19116.160000000003</v>
      </c>
      <c r="H88" s="46">
        <f t="shared" si="7"/>
        <v>0.90891728352026513</v>
      </c>
      <c r="I88" s="78" t="str" cm="1">
        <f t="array" ref="I88">IFERROR(LOOKUP(2,1/((MOD(COLUMN($K88:$AG88),2)=1)*($K88:$AG88&lt;&gt;"-")*($K88:$AG88&lt;&gt;"")),$K88:$AG88),"-")</f>
        <v>Em andamento</v>
      </c>
      <c r="J88" s="44"/>
      <c r="K88" s="21"/>
      <c r="L88" s="44"/>
      <c r="M88" s="21"/>
      <c r="N88" s="44"/>
      <c r="O88" s="21"/>
      <c r="P88" s="44"/>
      <c r="Q88" s="21"/>
      <c r="R88" s="44"/>
      <c r="S88" s="21"/>
      <c r="T88" s="44"/>
      <c r="U88" s="21"/>
      <c r="V88" s="44"/>
      <c r="W88" s="21"/>
      <c r="X88" s="44">
        <v>190760.76</v>
      </c>
      <c r="Y88" s="21" t="s">
        <v>18</v>
      </c>
      <c r="Z88" s="44"/>
      <c r="AA88" s="21"/>
      <c r="AB88" s="44"/>
      <c r="AC88" s="21"/>
      <c r="AD88" s="44"/>
      <c r="AE88" s="21"/>
      <c r="AF88" s="44"/>
      <c r="AG88" s="21"/>
    </row>
    <row r="89" spans="2:33" x14ac:dyDescent="0.3">
      <c r="B89" s="29"/>
      <c r="C89" s="31">
        <v>158</v>
      </c>
      <c r="D89" s="12" t="s">
        <v>638</v>
      </c>
      <c r="E89" s="18">
        <v>23697.25</v>
      </c>
      <c r="F89" s="18">
        <f t="shared" si="6"/>
        <v>0</v>
      </c>
      <c r="G89" s="47">
        <f t="shared" si="5"/>
        <v>23697.25</v>
      </c>
      <c r="H89" s="46">
        <f t="shared" si="7"/>
        <v>0</v>
      </c>
      <c r="I89" s="78" t="str" cm="1">
        <f t="array" ref="I89">IFERROR(LOOKUP(2,1/((MOD(COLUMN($K89:$AG89),2)=1)*($K89:$AG89&lt;&gt;"-")*($K89:$AG89&lt;&gt;"")),$K89:$AG89),"-")</f>
        <v>Correção Fiscal</v>
      </c>
      <c r="J89" s="44"/>
      <c r="K89" s="21"/>
      <c r="L89" s="44"/>
      <c r="M89" s="21"/>
      <c r="N89" s="44"/>
      <c r="O89" s="21"/>
      <c r="P89" s="44"/>
      <c r="Q89" s="21"/>
      <c r="R89" s="44"/>
      <c r="S89" s="21"/>
      <c r="T89" s="44"/>
      <c r="U89" s="21"/>
      <c r="V89" s="44"/>
      <c r="W89" s="21"/>
      <c r="X89" s="44"/>
      <c r="Y89" s="21"/>
      <c r="Z89" s="44"/>
      <c r="AA89" s="21" t="s">
        <v>608</v>
      </c>
      <c r="AB89" s="44"/>
      <c r="AC89" s="21"/>
      <c r="AD89" s="44"/>
      <c r="AE89" s="21"/>
      <c r="AF89" s="44"/>
      <c r="AG89" s="21"/>
    </row>
    <row r="90" spans="2:33" x14ac:dyDescent="0.3">
      <c r="B90" s="29"/>
      <c r="C90" s="31">
        <v>159</v>
      </c>
      <c r="D90" s="12" t="s">
        <v>652</v>
      </c>
      <c r="E90" s="18">
        <v>8773.52</v>
      </c>
      <c r="F90" s="18">
        <f t="shared" si="6"/>
        <v>0</v>
      </c>
      <c r="G90" s="47">
        <f t="shared" si="5"/>
        <v>8773.52</v>
      </c>
      <c r="H90" s="46">
        <f t="shared" si="7"/>
        <v>0</v>
      </c>
      <c r="I90" s="78" t="str" cm="1">
        <f t="array" ref="I90">IFERROR(LOOKUP(2,1/((MOD(COLUMN($K90:$AG90),2)=1)*($K90:$AG90&lt;&gt;"-")*($K90:$AG90&lt;&gt;"")),$K90:$AG90),"-")</f>
        <v>Correção Fiscal</v>
      </c>
      <c r="J90" s="44"/>
      <c r="K90" s="21"/>
      <c r="L90" s="44"/>
      <c r="M90" s="21"/>
      <c r="N90" s="44"/>
      <c r="O90" s="21"/>
      <c r="P90" s="44"/>
      <c r="Q90" s="21"/>
      <c r="R90" s="44"/>
      <c r="S90" s="21"/>
      <c r="T90" s="44"/>
      <c r="U90" s="21"/>
      <c r="V90" s="44"/>
      <c r="W90" s="21"/>
      <c r="X90" s="44"/>
      <c r="Y90" s="21"/>
      <c r="Z90" s="44"/>
      <c r="AA90" s="21"/>
      <c r="AB90" s="44"/>
      <c r="AC90" s="21" t="s">
        <v>608</v>
      </c>
      <c r="AD90" s="44"/>
      <c r="AE90" s="21"/>
      <c r="AF90" s="44"/>
      <c r="AG90" s="21"/>
    </row>
    <row r="91" spans="2:33" x14ac:dyDescent="0.3">
      <c r="B91" s="29"/>
      <c r="C91" s="31">
        <v>160</v>
      </c>
      <c r="D91" s="12" t="s">
        <v>652</v>
      </c>
      <c r="E91" s="18">
        <v>20979.64</v>
      </c>
      <c r="F91" s="18">
        <f t="shared" si="6"/>
        <v>0</v>
      </c>
      <c r="G91" s="47">
        <f t="shared" si="5"/>
        <v>20979.64</v>
      </c>
      <c r="H91" s="46">
        <f t="shared" si="7"/>
        <v>0</v>
      </c>
      <c r="I91" s="78" t="str" cm="1">
        <f t="array" ref="I91">IFERROR(LOOKUP(2,1/((MOD(COLUMN($K91:$AG91),2)=1)*($K91:$AG91&lt;&gt;"-")*($K91:$AG91&lt;&gt;"")),$K91:$AG91),"-")</f>
        <v>Correção Fiscal</v>
      </c>
      <c r="J91" s="44"/>
      <c r="K91" s="21"/>
      <c r="L91" s="44"/>
      <c r="M91" s="21"/>
      <c r="N91" s="44"/>
      <c r="O91" s="21"/>
      <c r="P91" s="44"/>
      <c r="Q91" s="21"/>
      <c r="R91" s="44"/>
      <c r="S91" s="21"/>
      <c r="T91" s="44"/>
      <c r="U91" s="21"/>
      <c r="V91" s="44"/>
      <c r="W91" s="21"/>
      <c r="X91" s="44"/>
      <c r="Y91" s="21"/>
      <c r="Z91" s="44"/>
      <c r="AA91" s="21"/>
      <c r="AB91" s="44"/>
      <c r="AC91" s="21" t="s">
        <v>608</v>
      </c>
      <c r="AD91" s="44"/>
      <c r="AE91" s="21"/>
      <c r="AF91" s="44"/>
      <c r="AG91" s="21"/>
    </row>
    <row r="92" spans="2:33" x14ac:dyDescent="0.3">
      <c r="B92" s="29">
        <f t="shared" si="8"/>
        <v>89</v>
      </c>
      <c r="C92" s="31">
        <v>161</v>
      </c>
      <c r="D92" s="12" t="s">
        <v>652</v>
      </c>
      <c r="E92" s="18">
        <v>3684.51</v>
      </c>
      <c r="F92" s="18">
        <f t="shared" si="6"/>
        <v>0</v>
      </c>
      <c r="G92" s="47">
        <f t="shared" si="5"/>
        <v>3684.51</v>
      </c>
      <c r="H92" s="46">
        <f t="shared" si="7"/>
        <v>0</v>
      </c>
      <c r="I92" s="78" t="str" cm="1">
        <f t="array" ref="I92">IFERROR(LOOKUP(2,1/((MOD(COLUMN($K92:$AG92),2)=1)*($K92:$AG92&lt;&gt;"-")*($K92:$AG92&lt;&gt;"")),$K92:$AG92),"-")</f>
        <v>Correção Fiscal</v>
      </c>
      <c r="J92" s="44"/>
      <c r="K92" s="21"/>
      <c r="L92" s="44"/>
      <c r="M92" s="21"/>
      <c r="N92" s="44"/>
      <c r="O92" s="21"/>
      <c r="P92" s="44"/>
      <c r="Q92" s="21"/>
      <c r="R92" s="44"/>
      <c r="S92" s="21"/>
      <c r="T92" s="44"/>
      <c r="U92" s="21"/>
      <c r="V92" s="44"/>
      <c r="W92" s="21"/>
      <c r="X92" s="44"/>
      <c r="Y92" s="21"/>
      <c r="Z92" s="44"/>
      <c r="AA92" s="21"/>
      <c r="AB92" s="44"/>
      <c r="AC92" s="21" t="s">
        <v>608</v>
      </c>
      <c r="AD92" s="44"/>
      <c r="AE92" s="21"/>
      <c r="AF92" s="44"/>
      <c r="AG92" s="21"/>
    </row>
    <row r="93" spans="2:33" x14ac:dyDescent="0.3">
      <c r="B93" s="29">
        <f t="shared" si="8"/>
        <v>90</v>
      </c>
      <c r="C93" s="31">
        <v>162</v>
      </c>
      <c r="D93" s="12" t="s">
        <v>652</v>
      </c>
      <c r="E93" s="18">
        <v>19604.919999999998</v>
      </c>
      <c r="F93" s="18">
        <f t="shared" si="6"/>
        <v>0</v>
      </c>
      <c r="G93" s="47">
        <f t="shared" si="5"/>
        <v>19604.919999999998</v>
      </c>
      <c r="H93" s="46">
        <f t="shared" si="7"/>
        <v>0</v>
      </c>
      <c r="I93" s="78" t="str" cm="1">
        <f t="array" ref="I93">IFERROR(LOOKUP(2,1/((MOD(COLUMN($K93:$AG93),2)=1)*($K93:$AG93&lt;&gt;"-")*($K93:$AG93&lt;&gt;"")),$K93:$AG93),"-")</f>
        <v>Correção Fiscal</v>
      </c>
      <c r="J93" s="44"/>
      <c r="K93" s="21"/>
      <c r="L93" s="44"/>
      <c r="M93" s="21"/>
      <c r="N93" s="44"/>
      <c r="O93" s="21"/>
      <c r="P93" s="44"/>
      <c r="Q93" s="21"/>
      <c r="R93" s="44"/>
      <c r="S93" s="21"/>
      <c r="T93" s="44"/>
      <c r="U93" s="21"/>
      <c r="V93" s="44"/>
      <c r="W93" s="21"/>
      <c r="X93" s="44"/>
      <c r="Y93" s="21"/>
      <c r="Z93" s="44"/>
      <c r="AA93" s="21"/>
      <c r="AB93" s="44"/>
      <c r="AC93" s="21" t="s">
        <v>608</v>
      </c>
      <c r="AD93" s="44"/>
      <c r="AE93" s="21"/>
      <c r="AF93" s="44"/>
      <c r="AG93" s="21"/>
    </row>
    <row r="94" spans="2:33" x14ac:dyDescent="0.3">
      <c r="B94" s="29">
        <f t="shared" si="8"/>
        <v>91</v>
      </c>
      <c r="C94" s="31">
        <v>163</v>
      </c>
      <c r="D94" s="12" t="s">
        <v>652</v>
      </c>
      <c r="E94" s="18">
        <v>24704.48</v>
      </c>
      <c r="F94" s="18">
        <f t="shared" si="6"/>
        <v>0</v>
      </c>
      <c r="G94" s="47">
        <f t="shared" si="5"/>
        <v>24704.48</v>
      </c>
      <c r="H94" s="46">
        <f t="shared" si="7"/>
        <v>0</v>
      </c>
      <c r="I94" s="78" t="str" cm="1">
        <f t="array" ref="I94">IFERROR(LOOKUP(2,1/((MOD(COLUMN($K94:$AG94),2)=1)*($K94:$AG94&lt;&gt;"-")*($K94:$AG94&lt;&gt;"")),$K94:$AG94),"-")</f>
        <v>Correção Fiscal</v>
      </c>
      <c r="J94" s="44"/>
      <c r="K94" s="21"/>
      <c r="L94" s="44"/>
      <c r="M94" s="21"/>
      <c r="N94" s="44"/>
      <c r="O94" s="21"/>
      <c r="P94" s="44"/>
      <c r="Q94" s="21"/>
      <c r="R94" s="44"/>
      <c r="S94" s="21"/>
      <c r="T94" s="44"/>
      <c r="U94" s="21"/>
      <c r="V94" s="44"/>
      <c r="W94" s="21"/>
      <c r="X94" s="44"/>
      <c r="Y94" s="21"/>
      <c r="Z94" s="44"/>
      <c r="AA94" s="21"/>
      <c r="AB94" s="44"/>
      <c r="AC94" s="21" t="s">
        <v>608</v>
      </c>
      <c r="AD94" s="44"/>
      <c r="AE94" s="21"/>
      <c r="AF94" s="44"/>
      <c r="AG94" s="21"/>
    </row>
    <row r="95" spans="2:33" x14ac:dyDescent="0.3">
      <c r="B95" s="29">
        <f t="shared" si="8"/>
        <v>92</v>
      </c>
      <c r="C95" s="31">
        <v>164</v>
      </c>
      <c r="D95" s="12" t="s">
        <v>638</v>
      </c>
      <c r="E95" s="18">
        <v>449217.37</v>
      </c>
      <c r="F95" s="18">
        <f t="shared" si="6"/>
        <v>0</v>
      </c>
      <c r="G95" s="47">
        <f>E95-F95</f>
        <v>449217.37</v>
      </c>
      <c r="H95" s="46">
        <f t="shared" si="7"/>
        <v>0</v>
      </c>
      <c r="I95" s="78" t="str" cm="1">
        <f t="array" ref="I95">IFERROR(LOOKUP(2,1/((MOD(COLUMN($K95:$AG95),2)=1)*($K95:$AG95&lt;&gt;"-")*($K95:$AG95&lt;&gt;"")),$K95:$AG95),"-")</f>
        <v>Correção Fiscal</v>
      </c>
      <c r="J95" s="44"/>
      <c r="K95" s="21"/>
      <c r="L95" s="44"/>
      <c r="M95" s="21"/>
      <c r="N95" s="44"/>
      <c r="O95" s="21"/>
      <c r="P95" s="44"/>
      <c r="Q95" s="21"/>
      <c r="R95" s="44"/>
      <c r="S95" s="21"/>
      <c r="T95" s="44"/>
      <c r="U95" s="21"/>
      <c r="V95" s="44"/>
      <c r="W95" s="21"/>
      <c r="X95" s="44"/>
      <c r="Y95" s="21"/>
      <c r="Z95" s="44"/>
      <c r="AA95" s="21"/>
      <c r="AB95" s="44"/>
      <c r="AC95" s="21" t="s">
        <v>608</v>
      </c>
      <c r="AD95" s="44"/>
      <c r="AE95" s="21"/>
      <c r="AF95" s="44"/>
      <c r="AG95" s="21"/>
    </row>
    <row r="96" spans="2:33" x14ac:dyDescent="0.3">
      <c r="B96" s="29">
        <f t="shared" si="8"/>
        <v>93</v>
      </c>
      <c r="C96" s="31"/>
      <c r="D96" s="12"/>
      <c r="E96" s="18"/>
      <c r="F96" s="18"/>
      <c r="G96" s="47"/>
      <c r="H96" s="46"/>
      <c r="I96" s="78"/>
      <c r="J96" s="44"/>
      <c r="K96" s="21"/>
      <c r="L96" s="44"/>
      <c r="M96" s="21"/>
      <c r="N96" s="44"/>
      <c r="O96" s="21"/>
      <c r="P96" s="44"/>
      <c r="Q96" s="21"/>
      <c r="R96" s="44"/>
      <c r="S96" s="21"/>
      <c r="T96" s="44"/>
      <c r="U96" s="21"/>
      <c r="V96" s="44"/>
      <c r="W96" s="21"/>
      <c r="X96" s="44"/>
      <c r="Y96" s="21"/>
      <c r="Z96" s="44"/>
      <c r="AA96" s="21"/>
      <c r="AB96" s="44"/>
      <c r="AC96" s="21" t="s">
        <v>608</v>
      </c>
      <c r="AD96" s="44"/>
      <c r="AE96" s="21"/>
      <c r="AF96" s="44"/>
      <c r="AG96" s="21"/>
    </row>
    <row r="97" spans="2:33" ht="28.8" customHeight="1" x14ac:dyDescent="0.3">
      <c r="B97" s="17"/>
      <c r="C97" s="31"/>
      <c r="D97" s="12"/>
      <c r="E97" s="18"/>
      <c r="F97" s="18"/>
      <c r="G97" s="18"/>
      <c r="H97" s="34"/>
      <c r="I97" s="34"/>
      <c r="J97" s="44"/>
      <c r="K97" s="21"/>
      <c r="L97" s="44"/>
      <c r="M97" s="21"/>
      <c r="N97" s="19"/>
      <c r="O97" s="21"/>
      <c r="P97" s="19"/>
      <c r="Q97" s="21"/>
      <c r="R97" s="19"/>
      <c r="S97" s="21"/>
      <c r="T97" s="19"/>
      <c r="U97" s="20"/>
      <c r="V97" s="19"/>
      <c r="W97" s="20"/>
      <c r="X97" s="19"/>
      <c r="Y97" s="20"/>
      <c r="Z97" s="19"/>
      <c r="AA97" s="20"/>
      <c r="AB97" s="19"/>
      <c r="AC97" s="20"/>
      <c r="AD97" s="19"/>
      <c r="AE97" s="20"/>
      <c r="AF97" s="19"/>
      <c r="AG97" s="20"/>
    </row>
  </sheetData>
  <mergeCells count="13">
    <mergeCell ref="AF2:AG2"/>
    <mergeCell ref="T2:U2"/>
    <mergeCell ref="V2:W2"/>
    <mergeCell ref="X2:Y2"/>
    <mergeCell ref="Z2:AA2"/>
    <mergeCell ref="AB2:AC2"/>
    <mergeCell ref="AD2:AE2"/>
    <mergeCell ref="R2:S2"/>
    <mergeCell ref="B2:I2"/>
    <mergeCell ref="J2:K2"/>
    <mergeCell ref="L2:M2"/>
    <mergeCell ref="N2:O2"/>
    <mergeCell ref="P2:Q2"/>
  </mergeCells>
  <conditionalFormatting sqref="H4:H96">
    <cfRule type="colorScale" priority="14">
      <colorScale>
        <cfvo type="min"/>
        <cfvo type="percentile" val="50"/>
        <cfvo type="max"/>
        <color rgb="FFC00000"/>
        <color rgb="FFFFFF00"/>
        <color rgb="FF92D050"/>
      </colorScale>
    </cfRule>
  </conditionalFormatting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959C4C5-FF2E-4C98-B6F7-F04F23F50EEE}">
            <xm:f>NOT(ISERROR(SEARCH('Tabelas Auxiliares'!$M$8,H97)))</xm:f>
            <xm:f>'Tabelas Auxiliares'!$M$8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2" operator="containsText" id="{9F0E604E-7CF5-4E40-BDC4-9FEA590124E6}">
            <xm:f>NOT(ISERROR(SEARCH('Tabelas Auxiliares'!$M$7,H97)))</xm:f>
            <xm:f>'Tabelas Auxiliares'!$M$7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3" operator="containsText" id="{AAA98D69-C9F8-499F-A82A-797BF70A0D2B}">
            <xm:f>NOT(ISERROR(SEARCH('Tabelas Auxiliares'!$M$6,H97)))</xm:f>
            <xm:f>'Tabelas Auxiliares'!$M$6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4" operator="containsText" id="{55D7E51D-34E8-4BFD-A073-9B51DEB4EBD5}">
            <xm:f>NOT(ISERROR(SEARCH('Tabelas Auxiliares'!$M$5,H97)))</xm:f>
            <xm:f>'Tabelas Auxiliares'!$M$5</xm:f>
            <x14:dxf>
              <fill>
                <patternFill>
                  <fgColor rgb="FF00B0F0"/>
                  <bgColor rgb="FF00B0F0"/>
                </patternFill>
              </fill>
            </x14:dxf>
          </x14:cfRule>
          <x14:cfRule type="containsText" priority="5" operator="containsText" id="{DB13021C-5AFE-4261-9304-B8D9207A6932}">
            <xm:f>NOT(ISERROR(SEARCH('Tabelas Auxiliares'!$M$4,H97)))</xm:f>
            <xm:f>'Tabelas Auxiliares'!$M$4</xm:f>
            <x14:dxf>
              <fill>
                <patternFill patternType="solid">
                  <fgColor auto="1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6" operator="containsText" id="{BEAB205A-980A-4F87-BE77-6D5A774DF851}">
            <xm:f>NOT(ISERROR(SEARCH('Tabelas Auxiliares'!$M$8,I4)))</xm:f>
            <xm:f>'Tabelas Auxiliares'!$M$8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7" operator="containsText" id="{59F2C886-D807-4233-8D76-375163FEF649}">
            <xm:f>NOT(ISERROR(SEARCH('Tabelas Auxiliares'!$M$7,I4)))</xm:f>
            <xm:f>'Tabelas Auxiliares'!$M$7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8" operator="containsText" id="{A2A17BBB-A471-4549-8DB3-55098BB4907A}">
            <xm:f>NOT(ISERROR(SEARCH('Tabelas Auxiliares'!$M$6,I4)))</xm:f>
            <xm:f>'Tabelas Auxiliares'!$M$6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9" operator="containsText" id="{9400A52B-0E0F-4DEF-B704-C48D7B50A7C2}">
            <xm:f>NOT(ISERROR(SEARCH('Tabelas Auxiliares'!$M$5,I4)))</xm:f>
            <xm:f>'Tabelas Auxiliares'!$M$5</xm:f>
            <x14:dxf>
              <fill>
                <patternFill>
                  <fgColor rgb="FF00B0F0"/>
                  <bgColor rgb="FF00B0F0"/>
                </patternFill>
              </fill>
            </x14:dxf>
          </x14:cfRule>
          <x14:cfRule type="containsText" priority="10" operator="containsText" id="{35A7C637-8DF0-4981-889B-3D33E51A13A9}">
            <xm:f>NOT(ISERROR(SEARCH('Tabelas Auxiliares'!$M$4,I4)))</xm:f>
            <xm:f>'Tabelas Auxiliares'!$M$4</xm:f>
            <x14:dxf>
              <fill>
                <patternFill patternType="solid">
                  <fgColor auto="1"/>
                </patternFill>
              </fill>
            </x14:dxf>
          </x14:cfRule>
          <x14:cfRule type="containsText" priority="15" operator="containsText" id="{BACC80D3-3454-483E-8DC9-DDCC6C56B0D8}">
            <xm:f>NOT(ISERROR(SEARCH('Tabelas Auxiliares'!$M$10,I4)))</xm:f>
            <xm:f>'Tabelas Auxiliares'!$M$10</xm:f>
            <x14:dxf>
              <font>
                <color rgb="FFFFFFFF"/>
              </font>
              <fill>
                <patternFill patternType="solid">
                  <fgColor indexed="64"/>
                  <bgColor rgb="FFED7D31"/>
                </patternFill>
              </fill>
            </x14:dxf>
          </x14:cfRule>
          <xm:sqref>I4:I97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A297DC-2885-4AFD-B13E-05969DC269B1}">
          <x14:formula1>
            <xm:f>'Tabelas Auxiliares'!$M$4:$M$11</xm:f>
          </x14:formula1>
          <xm:sqref>S4:S97 K4:K97 M4:M97 U4:U97 O4:O97 Q4:Q97 AC4:AC97 W4:W97 Y4:Y97 AE4:AE97 AG4:AG97 AA4:AA97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2490-C7CA-40F5-84A1-F15F2F218531}">
  <sheetPr codeName="Planilha8"/>
  <dimension ref="A1:N13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15" sqref="K15"/>
    </sheetView>
  </sheetViews>
  <sheetFormatPr defaultRowHeight="15.6" x14ac:dyDescent="0.3"/>
  <cols>
    <col min="1" max="1" width="3.796875" customWidth="1"/>
    <col min="2" max="2" width="9.765625E-2" customWidth="1"/>
    <col min="3" max="3" width="10.19921875" customWidth="1"/>
    <col min="4" max="4" width="17.09765625" customWidth="1"/>
    <col min="5" max="5" width="9.3984375" customWidth="1"/>
    <col min="6" max="6" width="12.19921875" bestFit="1" customWidth="1"/>
    <col min="7" max="7" width="18.796875" customWidth="1"/>
    <col min="8" max="8" width="10.8984375" customWidth="1"/>
    <col min="9" max="9" width="53.69921875" customWidth="1"/>
    <col min="10" max="10" width="28.19921875" customWidth="1"/>
    <col min="11" max="11" width="17.5" bestFit="1" customWidth="1"/>
    <col min="12" max="12" width="16" bestFit="1" customWidth="1"/>
    <col min="13" max="13" width="68.59765625" customWidth="1"/>
  </cols>
  <sheetData>
    <row r="1" spans="1:14" ht="16.2" thickBot="1" x14ac:dyDescent="0.35"/>
    <row r="2" spans="1:14" ht="58.2" customHeight="1" thickBot="1" x14ac:dyDescent="0.35">
      <c r="B2" s="302" t="s">
        <v>184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1:14" ht="62.4" customHeight="1" thickBot="1" x14ac:dyDescent="0.4">
      <c r="A3" s="1"/>
      <c r="B3" s="23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24</v>
      </c>
      <c r="H3" s="24" t="s">
        <v>8</v>
      </c>
      <c r="I3" s="24" t="s">
        <v>0</v>
      </c>
      <c r="J3" s="24" t="s">
        <v>9</v>
      </c>
      <c r="K3" s="24" t="s">
        <v>1</v>
      </c>
      <c r="L3" s="24" t="s">
        <v>10</v>
      </c>
      <c r="M3" s="22" t="s">
        <v>29</v>
      </c>
      <c r="N3" s="2"/>
    </row>
    <row r="4" spans="1:14" ht="62.4" x14ac:dyDescent="0.35">
      <c r="A4" s="1"/>
      <c r="B4" s="28">
        <f>'REGIÃO 22 - HISTÓRICO'!B4</f>
        <v>1</v>
      </c>
      <c r="C4" s="76" t="s">
        <v>166</v>
      </c>
      <c r="D4" s="26" t="str">
        <f>_xlfn.XLOOKUP(tbResumoR22[[#This Row],[REGIÃO]],tbRegioes[Código Região],tbRegioes[Contrato],"")</f>
        <v>042.2025</v>
      </c>
      <c r="E4" s="25">
        <f>'REGIÃO 22 - HISTÓRICO'!C4</f>
        <v>1</v>
      </c>
      <c r="F4" s="74" t="s">
        <v>35</v>
      </c>
      <c r="G4" s="187" t="str">
        <f>'REGIÃO 22 - HISTÓRICO'!D4</f>
        <v>jun/jul</v>
      </c>
      <c r="H4" s="8">
        <v>209</v>
      </c>
      <c r="I4" s="72" t="str">
        <f>IF(tbResumoR22[[#This Row],[N° TRECHO]]="","",IFERROR(INDEX('REGIÃO 11 - TRECHOS'!$F$4:$F$119,MATCH(tbResumoR22[[#This Row],[N° TRECHO]],'REGIÃO 11 - TRECHOS'!$E$4:$E$119,0)),IFERROR(INDEX('REGIÃO 12 - TRECHOS'!$F$4:$F$76,MATCH(tbResumoR22[[#This Row],[N° TRECHO]],'REGIÃO 12 - TRECHOS'!$E$4:$E$76,0)),IFERROR(INDEX('REGIÃO 13 - TRECHOS'!$F$4:$F$53,MATCH(tbResumoR22[[#This Row],[N° TRECHO]],'REGIÃO 13 - TRECHOS'!$E$4:$E$53,0)),"Trecho não cadastrado"))))</f>
        <v>RODOVIA TO-181 - TRECHO FAZENDA COBRAPE - ENTR. BR-242</v>
      </c>
      <c r="J4" s="74" t="s">
        <v>630</v>
      </c>
      <c r="K4" s="9">
        <f>'REGIÃO 22 - HISTÓRICO'!E4</f>
        <v>21589110.530000001</v>
      </c>
      <c r="L4" s="8" t="str">
        <f>'REGIÃO 22 - HISTÓRICO'!I4</f>
        <v>Em andamento</v>
      </c>
      <c r="M4" s="33"/>
      <c r="N4" s="2"/>
    </row>
    <row r="5" spans="1:14" ht="31.2" x14ac:dyDescent="0.35">
      <c r="A5" s="1"/>
      <c r="B5" s="32">
        <f>'REGIÃO 22 - HISTÓRICO'!B11</f>
        <v>8</v>
      </c>
      <c r="C5" s="76" t="s">
        <v>166</v>
      </c>
      <c r="D5" s="88" t="str">
        <f>_xlfn.XLOOKUP(tbResumoR22[[#This Row],[REGIÃO]],tbRegioes[Código Região],tbRegioes[Contrato],"")</f>
        <v>042.2025</v>
      </c>
      <c r="E5" s="25">
        <f>'REGIÃO 22 - HISTÓRICO'!C5</f>
        <v>2</v>
      </c>
      <c r="F5" s="74" t="s">
        <v>35</v>
      </c>
      <c r="G5" s="187" t="str">
        <f>'REGIÃO 22 - HISTÓRICO'!D5</f>
        <v>jun/jul</v>
      </c>
      <c r="H5" s="8">
        <v>220</v>
      </c>
      <c r="I5" s="72" t="str">
        <f>IF(tbResumoR22[[#This Row],[N° TRECHO]]="","",IFERROR(INDEX('REGIÃO 11 - TRECHOS'!$F$4:$F$119,MATCH(tbResumoR22[[#This Row],[N° TRECHO]],'REGIÃO 11 - TRECHOS'!$E$4:$E$119,0)),IFERROR(INDEX('REGIÃO 12 - TRECHOS'!$F$4:$F$76,MATCH(tbResumoR22[[#This Row],[N° TRECHO]],'REGIÃO 12 - TRECHOS'!$E$4:$E$76,0)),IFERROR(INDEX('REGIÃO 13 - TRECHOS'!$F$4:$F$53,MATCH(tbResumoR22[[#This Row],[N° TRECHO]],'REGIÃO 13 - TRECHOS'!$E$4:$E$53,0)),"Trecho não cadastrado"))))</f>
        <v xml:space="preserve">RODOVIA TO-460 - TRECHO BR-242 (VILA QUIXABA) - SUCUPIRA </v>
      </c>
      <c r="J5" s="74" t="s">
        <v>639</v>
      </c>
      <c r="K5" s="9">
        <f>'REGIÃO 22 - HISTÓRICO'!E5</f>
        <v>1379558.32</v>
      </c>
      <c r="L5" s="8" t="str">
        <f>'REGIÃO 22 - HISTÓRICO'!I5</f>
        <v>Concluída</v>
      </c>
      <c r="M5" s="188"/>
      <c r="N5" s="2"/>
    </row>
    <row r="6" spans="1:14" ht="18" x14ac:dyDescent="0.35">
      <c r="A6" s="1"/>
      <c r="B6" s="32">
        <f>'REGIÃO 22 - HISTÓRICO'!B13</f>
        <v>0</v>
      </c>
      <c r="C6" s="76" t="s">
        <v>166</v>
      </c>
      <c r="D6" s="88" t="str">
        <f>_xlfn.XLOOKUP(tbResumoR22[[#This Row],[REGIÃO]],tbRegioes[Código Região],tbRegioes[Contrato],"")</f>
        <v>042.2025</v>
      </c>
      <c r="E6" s="25">
        <f>'REGIÃO 22 - HISTÓRICO'!C6</f>
        <v>3</v>
      </c>
      <c r="F6" s="191"/>
      <c r="G6" s="187" t="str">
        <f>'REGIÃO 22 - HISTÓRICO'!D6</f>
        <v>-</v>
      </c>
      <c r="H6" s="8">
        <v>0</v>
      </c>
      <c r="I6" s="72" t="str">
        <f>IF(tbResumoR22[[#This Row],[N° TRECHO]]="","",IFERROR(INDEX('REGIÃO 11 - TRECHOS'!$F$4:$F$119,MATCH(tbResumoR22[[#This Row],[N° TRECHO]],'REGIÃO 11 - TRECHOS'!$E$4:$E$119,0)),IFERROR(INDEX('REGIÃO 12 - TRECHOS'!$F$4:$F$76,MATCH(tbResumoR22[[#This Row],[N° TRECHO]],'REGIÃO 12 - TRECHOS'!$E$4:$E$76,0)),IFERROR(INDEX('REGIÃO 13 - TRECHOS'!$F$4:$F$53,MATCH(tbResumoR22[[#This Row],[N° TRECHO]],'REGIÃO 13 - TRECHOS'!$E$4:$E$53,0)),"Trecho não cadastrado"))))</f>
        <v>Trecho não cadastrado</v>
      </c>
      <c r="J6" s="74" t="s">
        <v>590</v>
      </c>
      <c r="K6" s="9">
        <f>'REGIÃO 22 - HISTÓRICO'!E6</f>
        <v>0</v>
      </c>
      <c r="L6" s="8" t="str">
        <f>'REGIÃO 22 - HISTÓRICO'!I6</f>
        <v>-</v>
      </c>
      <c r="M6" s="188"/>
      <c r="N6" s="2"/>
    </row>
    <row r="7" spans="1:14" ht="31.2" x14ac:dyDescent="0.35">
      <c r="A7" s="1"/>
      <c r="B7" s="32">
        <f>'REGIÃO 22 - HISTÓRICO'!B14</f>
        <v>0</v>
      </c>
      <c r="C7" s="76" t="s">
        <v>166</v>
      </c>
      <c r="D7" s="88" t="str">
        <f>_xlfn.XLOOKUP(tbResumoR22[[#This Row],[REGIÃO]],tbRegioes[Código Região],tbRegioes[Contrato],"")</f>
        <v>042.2025</v>
      </c>
      <c r="E7" s="25">
        <f>'REGIÃO 22 - HISTÓRICO'!C7</f>
        <v>4</v>
      </c>
      <c r="F7" s="191" t="s">
        <v>621</v>
      </c>
      <c r="G7" s="187" t="str">
        <f>'REGIÃO 22 - HISTÓRICO'!D7</f>
        <v>jul</v>
      </c>
      <c r="H7" s="8">
        <v>220</v>
      </c>
      <c r="I7" s="72" t="str">
        <f>IF(tbResumoR22[[#This Row],[N° TRECHO]]="","",IFERROR(INDEX('REGIÃO 11 - TRECHOS'!$F$4:$F$119,MATCH(tbResumoR22[[#This Row],[N° TRECHO]],'REGIÃO 11 - TRECHOS'!$E$4:$E$119,0)),IFERROR(INDEX('REGIÃO 12 - TRECHOS'!$F$4:$F$76,MATCH(tbResumoR22[[#This Row],[N° TRECHO]],'REGIÃO 12 - TRECHOS'!$E$4:$E$76,0)),IFERROR(INDEX('REGIÃO 13 - TRECHOS'!$F$4:$F$53,MATCH(tbResumoR22[[#This Row],[N° TRECHO]],'REGIÃO 13 - TRECHOS'!$E$4:$E$53,0)),"Trecho não cadastrado"))))</f>
        <v xml:space="preserve">RODOVIA TO-460 - TRECHO BR-242 (VILA QUIXABA) - SUCUPIRA </v>
      </c>
      <c r="J7" s="74" t="s">
        <v>639</v>
      </c>
      <c r="K7" s="9">
        <f>'REGIÃO 22 - HISTÓRICO'!E7</f>
        <v>798489.4</v>
      </c>
      <c r="L7" s="8" t="str">
        <f>'REGIÃO 22 - HISTÓRICO'!I7</f>
        <v>Concluída</v>
      </c>
      <c r="M7" s="188"/>
      <c r="N7" s="2"/>
    </row>
    <row r="8" spans="1:14" ht="62.4" x14ac:dyDescent="0.35">
      <c r="A8" s="1"/>
      <c r="B8" s="32">
        <f>'REGIÃO 22 - HISTÓRICO'!B15</f>
        <v>0</v>
      </c>
      <c r="C8" s="76" t="s">
        <v>166</v>
      </c>
      <c r="D8" s="88" t="str">
        <f>_xlfn.XLOOKUP(tbResumoR22[[#This Row],[REGIÃO]],tbRegioes[Código Região],tbRegioes[Contrato],"")</f>
        <v>042.2025</v>
      </c>
      <c r="E8" s="25">
        <f>'REGIÃO 22 - HISTÓRICO'!C8</f>
        <v>5</v>
      </c>
      <c r="F8" s="191" t="s">
        <v>620</v>
      </c>
      <c r="G8" s="187" t="str">
        <f>'REGIÃO 22 - HISTÓRICO'!D8</f>
        <v>ago/set</v>
      </c>
      <c r="H8" s="8">
        <v>220</v>
      </c>
      <c r="I8" s="72" t="str">
        <f>IF(tbResumoR22[[#This Row],[N° TRECHO]]="","",IFERROR(INDEX('REGIÃO 11 - TRECHOS'!$F$4:$F$119,MATCH(tbResumoR22[[#This Row],[N° TRECHO]],'REGIÃO 11 - TRECHOS'!$E$4:$E$119,0)),IFERROR(INDEX('REGIÃO 12 - TRECHOS'!$F$4:$F$76,MATCH(tbResumoR22[[#This Row],[N° TRECHO]],'REGIÃO 12 - TRECHOS'!$E$4:$E$76,0)),IFERROR(INDEX('REGIÃO 13 - TRECHOS'!$F$4:$F$53,MATCH(tbResumoR22[[#This Row],[N° TRECHO]],'REGIÃO 13 - TRECHOS'!$E$4:$E$53,0)),"Trecho não cadastrado"))))</f>
        <v xml:space="preserve">RODOVIA TO-460 - TRECHO BR-242 (VILA QUIXABA) - SUCUPIRA </v>
      </c>
      <c r="J8" s="74" t="s">
        <v>630</v>
      </c>
      <c r="K8" s="9">
        <f>'REGIÃO 22 - HISTÓRICO'!E8</f>
        <v>1758577.99</v>
      </c>
      <c r="L8" s="8" t="str">
        <f>'REGIÃO 22 - HISTÓRICO'!I8</f>
        <v>Justificada</v>
      </c>
      <c r="M8" s="188"/>
      <c r="N8" s="2"/>
    </row>
    <row r="9" spans="1:14" ht="62.4" x14ac:dyDescent="0.35">
      <c r="A9" s="1"/>
      <c r="B9" s="32">
        <f>'REGIÃO 22 - HISTÓRICO'!B11</f>
        <v>8</v>
      </c>
      <c r="C9" s="76" t="s">
        <v>166</v>
      </c>
      <c r="D9" s="88" t="str">
        <f>_xlfn.XLOOKUP(tbResumoR22[[#This Row],[REGIÃO]],tbRegioes[Código Região],tbRegioes[Contrato],"")</f>
        <v>042.2025</v>
      </c>
      <c r="E9" s="25">
        <f>'REGIÃO 22 - HISTÓRICO'!C9</f>
        <v>6</v>
      </c>
      <c r="F9" s="191" t="s">
        <v>620</v>
      </c>
      <c r="G9" s="187" t="str">
        <f>'REGIÃO 22 - HISTÓRICO'!D9</f>
        <v>ago/set/out</v>
      </c>
      <c r="H9" s="8">
        <v>209</v>
      </c>
      <c r="I9" s="72" t="str">
        <f>IF(tbResumoR22[[#This Row],[N° TRECHO]]="","",IFERROR(INDEX('REGIÃO 11 - TRECHOS'!$F$4:$F$119,MATCH(tbResumoR22[[#This Row],[N° TRECHO]],'REGIÃO 11 - TRECHOS'!$E$4:$E$119,0)),IFERROR(INDEX('REGIÃO 12 - TRECHOS'!$F$4:$F$76,MATCH(tbResumoR22[[#This Row],[N° TRECHO]],'REGIÃO 12 - TRECHOS'!$E$4:$E$76,0)),IFERROR(INDEX('REGIÃO 13 - TRECHOS'!$F$4:$F$53,MATCH(tbResumoR22[[#This Row],[N° TRECHO]],'REGIÃO 13 - TRECHOS'!$E$4:$E$53,0)),"Trecho não cadastrado"))))</f>
        <v>RODOVIA TO-181 - TRECHO FAZENDA COBRAPE - ENTR. BR-242</v>
      </c>
      <c r="J9" s="74" t="s">
        <v>630</v>
      </c>
      <c r="K9" s="9">
        <f>'REGIÃO 22 - HISTÓRICO'!E9</f>
        <v>14443399.710000001</v>
      </c>
      <c r="L9" s="8" t="str">
        <f>'REGIÃO 22 - HISTÓRICO'!I9</f>
        <v>Em andamento</v>
      </c>
      <c r="M9" s="188"/>
      <c r="N9" s="2"/>
    </row>
    <row r="10" spans="1:14" ht="31.2" x14ac:dyDescent="0.35">
      <c r="A10" s="1"/>
      <c r="B10" s="32">
        <f>'REGIÃO 22 - HISTÓRICO'!B13</f>
        <v>0</v>
      </c>
      <c r="C10" s="76" t="s">
        <v>166</v>
      </c>
      <c r="D10" s="88" t="str">
        <f>_xlfn.XLOOKUP(tbResumoR22[[#This Row],[REGIÃO]],tbRegioes[Código Região],tbRegioes[Contrato],"")</f>
        <v>042.2025</v>
      </c>
      <c r="E10" s="25">
        <f>'REGIÃO 22 - HISTÓRICO'!C10</f>
        <v>7</v>
      </c>
      <c r="F10" s="191" t="s">
        <v>622</v>
      </c>
      <c r="G10" s="187" t="str">
        <f>'REGIÃO 22 - HISTÓRICO'!D10</f>
        <v>set/out/nov</v>
      </c>
      <c r="H10" s="8">
        <v>204</v>
      </c>
      <c r="I10" s="72" t="str">
        <f>IF(tbResumoR22[[#This Row],[N° TRECHO]]="","",IFERROR(INDEX('REGIÃO 11 - TRECHOS'!$F$4:$F$119,MATCH(tbResumoR22[[#This Row],[N° TRECHO]],'REGIÃO 11 - TRECHOS'!$E$4:$E$119,0)),IFERROR(INDEX('REGIÃO 12 - TRECHOS'!$F$4:$F$76,MATCH(tbResumoR22[[#This Row],[N° TRECHO]],'REGIÃO 12 - TRECHOS'!$E$4:$E$76,0)),IFERROR(INDEX('REGIÃO 13 - TRECHOS'!$F$4:$F$53,MATCH(tbResumoR22[[#This Row],[N° TRECHO]],'REGIÃO 13 - TRECHOS'!$E$4:$E$53,0)),"Trecho não cadastrado"))))</f>
        <v>RODOVIA TO-070 - TRECHO ALIANÇA DO TOCANTINS - BREJINHO DE NAZARÉ</v>
      </c>
      <c r="J10" s="74" t="s">
        <v>590</v>
      </c>
      <c r="K10" s="9">
        <f>'REGIÃO 22 - HISTÓRICO'!E10</f>
        <v>0</v>
      </c>
      <c r="L10" s="8" t="str">
        <f>'REGIÃO 22 - HISTÓRICO'!I10</f>
        <v>Em elaboração</v>
      </c>
      <c r="M10" s="188"/>
      <c r="N10" s="2"/>
    </row>
    <row r="11" spans="1:14" ht="18" x14ac:dyDescent="0.35">
      <c r="A11" s="1"/>
      <c r="B11" s="32">
        <f>'REGIÃO 22 - HISTÓRICO'!B14</f>
        <v>0</v>
      </c>
      <c r="C11" s="76" t="s">
        <v>166</v>
      </c>
      <c r="D11" s="88" t="str">
        <f>_xlfn.XLOOKUP(tbResumoR22[[#This Row],[REGIÃO]],tbRegioes[Código Região],tbRegioes[Contrato],"")</f>
        <v>042.2025</v>
      </c>
      <c r="E11" s="25"/>
      <c r="F11" s="191"/>
      <c r="G11" s="187"/>
      <c r="H11" s="8"/>
      <c r="I11" s="72"/>
      <c r="J11" s="74"/>
      <c r="K11" s="9"/>
      <c r="L11" s="8"/>
      <c r="M11" s="188"/>
      <c r="N11" s="2"/>
    </row>
    <row r="12" spans="1:14" ht="18" x14ac:dyDescent="0.35">
      <c r="A12" s="1"/>
      <c r="B12" s="32">
        <f>'REGIÃO 22 - HISTÓRICO'!B15</f>
        <v>0</v>
      </c>
      <c r="C12" s="189"/>
      <c r="D12" s="88" t="str">
        <f>_xlfn.XLOOKUP(tbResumoR22[[#This Row],[REGIÃO]],tbRegioes[Código Região],tbRegioes[Contrato],"")</f>
        <v/>
      </c>
      <c r="E12" s="190"/>
      <c r="F12" s="191"/>
      <c r="G12" s="187"/>
      <c r="H12" s="8"/>
      <c r="I12" s="72" t="str">
        <f>IF(tbResumoR22[[#This Row],[N° TRECHO]]="","",IFERROR(INDEX('REGIÃO 11 - TRECHOS'!$F$4:$F$119,MATCH(tbResumoR22[[#This Row],[N° TRECHO]],'REGIÃO 11 - TRECHOS'!$E$4:$E$119,0)),IFERROR(INDEX('REGIÃO 12 - TRECHOS'!$F$4:$F$76,MATCH(tbResumoR22[[#This Row],[N° TRECHO]],'REGIÃO 12 - TRECHOS'!$E$4:$E$76,0)),IFERROR(INDEX('REGIÃO 13 - TRECHOS'!$F$4:$F$53,MATCH(tbResumoR22[[#This Row],[N° TRECHO]],'REGIÃO 13 - TRECHOS'!$E$4:$E$53,0)),"Trecho não cadastrado"))))</f>
        <v/>
      </c>
      <c r="J12" s="74"/>
      <c r="K12" s="9"/>
      <c r="L12" s="9"/>
      <c r="M12" s="188"/>
      <c r="N12" s="2"/>
    </row>
    <row r="13" spans="1:14" x14ac:dyDescent="0.3">
      <c r="B13" s="32"/>
      <c r="C13" s="305"/>
      <c r="D13" s="306"/>
      <c r="E13" s="316"/>
      <c r="F13" s="308"/>
      <c r="G13" s="309"/>
      <c r="H13" s="310"/>
      <c r="I13" s="311"/>
      <c r="J13" s="312"/>
      <c r="K13" s="313"/>
      <c r="L13" s="314"/>
      <c r="M13" s="315"/>
    </row>
  </sheetData>
  <sheetProtection formatCells="0" formatColumns="0" formatRows="0" insertColumns="0" insertRows="0" insertHyperlinks="0" deleteColumns="0" deleteRows="0" sort="0" autoFilter="0" pivotTables="0"/>
  <mergeCells count="2">
    <mergeCell ref="B2:M2"/>
    <mergeCell ref="C13:M13"/>
  </mergeCells>
  <dataValidations count="1">
    <dataValidation allowBlank="1" showInputMessage="1" showErrorMessage="1" sqref="D4:D12" xr:uid="{6F942FCF-3AC0-4240-B16B-C4F80C6E901A}"/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603899-6C3A-4C2D-9C68-B7330CF8AA23}">
          <x14:formula1>
            <xm:f>'Tabelas Auxiliares'!$M$4:$M$11</xm:f>
          </x14:formula1>
          <xm:sqref>L4:L11</xm:sqref>
        </x14:dataValidation>
        <x14:dataValidation type="list" allowBlank="1" showInputMessage="1" showErrorMessage="1" xr:uid="{F479B0E8-D8F4-4BF6-AF4C-E33CF142E5E9}">
          <x14:formula1>
            <xm:f>'Tabelas Auxiliares'!$B$4:$B$9</xm:f>
          </x14:formula1>
          <xm:sqref>C4:C12</xm:sqref>
        </x14:dataValidation>
        <x14:dataValidation type="list" allowBlank="1" showInputMessage="1" showErrorMessage="1" xr:uid="{1662ACFD-1497-488E-8F97-FA9B40D00A8B}">
          <x14:formula1>
            <xm:f>'Tabelas Auxiliares'!$H$3:$H$81</xm:f>
          </x14:formula1>
          <xm:sqref>J12</xm:sqref>
        </x14:dataValidation>
        <x14:dataValidation type="list" allowBlank="1" showInputMessage="1" showErrorMessage="1" xr:uid="{49C39857-17B7-441E-92A7-BFDB29B289D5}">
          <x14:formula1>
            <xm:f>'Tabelas Auxiliares'!$K$3:$K$34</xm:f>
          </x14:formula1>
          <xm:sqref>J4:J11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8AD9-92CE-47B2-AF56-4A0B6D7CFAB7}">
  <sheetPr codeName="Planilha9"/>
  <dimension ref="B2:AG13"/>
  <sheetViews>
    <sheetView zoomScale="85" zoomScaleNormal="85" workbookViewId="0">
      <pane xSplit="9" ySplit="3" topLeftCell="T4" activePane="bottomRight" state="frozen"/>
      <selection pane="topRight" activeCell="J1" sqref="J1"/>
      <selection pane="bottomLeft" activeCell="A4" sqref="A4"/>
      <selection pane="bottomRight" activeCell="Y15" sqref="Y15"/>
    </sheetView>
  </sheetViews>
  <sheetFormatPr defaultRowHeight="15.6" x14ac:dyDescent="0.3"/>
  <cols>
    <col min="1" max="1" width="3" customWidth="1"/>
    <col min="2" max="2" width="4.19921875" style="10" hidden="1" customWidth="1"/>
    <col min="3" max="3" width="11.69921875" style="10" customWidth="1"/>
    <col min="4" max="4" width="20" style="10" customWidth="1"/>
    <col min="5" max="7" width="22.5" customWidth="1"/>
    <col min="8" max="8" width="14.8984375" customWidth="1"/>
    <col min="9" max="9" width="22.5" style="35" customWidth="1"/>
    <col min="10" max="10" width="15.8984375" style="45" customWidth="1"/>
    <col min="11" max="11" width="14.69921875" style="10" customWidth="1"/>
    <col min="12" max="12" width="15.5" style="45" customWidth="1"/>
    <col min="13" max="13" width="14.796875" style="10" customWidth="1"/>
    <col min="14" max="14" width="15.59765625" customWidth="1"/>
    <col min="15" max="15" width="14.69921875" style="10" customWidth="1"/>
    <col min="16" max="16" width="15.59765625" customWidth="1"/>
    <col min="17" max="17" width="14.69921875" customWidth="1"/>
    <col min="18" max="18" width="15.59765625" customWidth="1"/>
    <col min="19" max="19" width="14.69921875" customWidth="1"/>
    <col min="20" max="20" width="15.59765625" customWidth="1"/>
    <col min="21" max="21" width="14.69921875" customWidth="1"/>
    <col min="22" max="22" width="15.59765625" customWidth="1"/>
    <col min="23" max="23" width="14.69921875" customWidth="1"/>
    <col min="24" max="24" width="15.59765625" customWidth="1"/>
    <col min="25" max="25" width="14.69921875" customWidth="1"/>
    <col min="26" max="26" width="15.59765625" customWidth="1"/>
    <col min="27" max="27" width="14.69921875" customWidth="1"/>
    <col min="28" max="28" width="15.59765625" customWidth="1"/>
    <col min="29" max="29" width="14.69921875" customWidth="1"/>
    <col min="30" max="30" width="15.59765625" customWidth="1"/>
    <col min="31" max="31" width="14.69921875" customWidth="1"/>
    <col min="32" max="32" width="15.59765625" customWidth="1"/>
    <col min="33" max="33" width="14.69921875" customWidth="1"/>
  </cols>
  <sheetData>
    <row r="2" spans="2:33" ht="30.6" customHeight="1" x14ac:dyDescent="0.3">
      <c r="B2" s="215" t="s">
        <v>184</v>
      </c>
      <c r="C2" s="216"/>
      <c r="D2" s="216"/>
      <c r="E2" s="216"/>
      <c r="F2" s="216"/>
      <c r="G2" s="216"/>
      <c r="H2" s="216"/>
      <c r="I2" s="216"/>
      <c r="J2" s="221">
        <v>46023</v>
      </c>
      <c r="K2" s="222"/>
      <c r="L2" s="223">
        <v>46054</v>
      </c>
      <c r="M2" s="224"/>
      <c r="N2" s="217">
        <v>46082</v>
      </c>
      <c r="O2" s="218"/>
      <c r="P2" s="219">
        <v>46113</v>
      </c>
      <c r="Q2" s="220"/>
      <c r="R2" s="221">
        <v>46143</v>
      </c>
      <c r="S2" s="222"/>
      <c r="T2" s="223">
        <v>46174</v>
      </c>
      <c r="U2" s="224"/>
      <c r="V2" s="217">
        <v>46204</v>
      </c>
      <c r="W2" s="218"/>
      <c r="X2" s="219">
        <v>46235</v>
      </c>
      <c r="Y2" s="220"/>
      <c r="Z2" s="221">
        <v>46266</v>
      </c>
      <c r="AA2" s="222"/>
      <c r="AB2" s="223">
        <v>46296</v>
      </c>
      <c r="AC2" s="224"/>
      <c r="AD2" s="217">
        <v>46327</v>
      </c>
      <c r="AE2" s="218"/>
      <c r="AF2" s="219">
        <v>46357</v>
      </c>
      <c r="AG2" s="220"/>
    </row>
    <row r="3" spans="2:33" ht="31.2" x14ac:dyDescent="0.3">
      <c r="B3" s="16" t="s">
        <v>3</v>
      </c>
      <c r="C3" s="16" t="s">
        <v>6</v>
      </c>
      <c r="D3" s="16" t="s">
        <v>24</v>
      </c>
      <c r="E3" s="16" t="s">
        <v>1</v>
      </c>
      <c r="F3" s="16" t="s">
        <v>25</v>
      </c>
      <c r="G3" s="16" t="s">
        <v>26</v>
      </c>
      <c r="H3" s="16" t="s">
        <v>28</v>
      </c>
      <c r="I3" s="48" t="s">
        <v>27</v>
      </c>
      <c r="J3" s="49" t="s">
        <v>23</v>
      </c>
      <c r="K3" s="13" t="s">
        <v>10</v>
      </c>
      <c r="L3" s="11" t="s">
        <v>23</v>
      </c>
      <c r="M3" s="11" t="s">
        <v>10</v>
      </c>
      <c r="N3" s="14" t="s">
        <v>23</v>
      </c>
      <c r="O3" s="14" t="s">
        <v>10</v>
      </c>
      <c r="P3" s="15" t="s">
        <v>23</v>
      </c>
      <c r="Q3" s="15" t="s">
        <v>10</v>
      </c>
      <c r="R3" s="13" t="s">
        <v>23</v>
      </c>
      <c r="S3" s="13" t="s">
        <v>10</v>
      </c>
      <c r="T3" s="11" t="s">
        <v>23</v>
      </c>
      <c r="U3" s="11" t="s">
        <v>10</v>
      </c>
      <c r="V3" s="14" t="s">
        <v>23</v>
      </c>
      <c r="W3" s="14" t="s">
        <v>10</v>
      </c>
      <c r="X3" s="15" t="s">
        <v>23</v>
      </c>
      <c r="Y3" s="15" t="s">
        <v>10</v>
      </c>
      <c r="Z3" s="13" t="s">
        <v>23</v>
      </c>
      <c r="AA3" s="13" t="s">
        <v>10</v>
      </c>
      <c r="AB3" s="11" t="s">
        <v>23</v>
      </c>
      <c r="AC3" s="11" t="s">
        <v>10</v>
      </c>
      <c r="AD3" s="14" t="s">
        <v>23</v>
      </c>
      <c r="AE3" s="14" t="s">
        <v>10</v>
      </c>
      <c r="AF3" s="15" t="s">
        <v>23</v>
      </c>
      <c r="AG3" s="15" t="s">
        <v>10</v>
      </c>
    </row>
    <row r="4" spans="2:33" x14ac:dyDescent="0.3">
      <c r="B4" s="29">
        <f>ROW()-ROW($B$3)</f>
        <v>1</v>
      </c>
      <c r="C4" s="31">
        <v>1</v>
      </c>
      <c r="D4" s="12" t="s">
        <v>614</v>
      </c>
      <c r="E4" s="18">
        <v>21589110.530000001</v>
      </c>
      <c r="F4" s="18">
        <f>SUM(J4,L4,N4,P4,R4,T4,V4,X4,Z4,AB4,AD4,AF4)</f>
        <v>13508233.779999999</v>
      </c>
      <c r="G4" s="47">
        <f t="shared" ref="G4:G11" si="0">E4-F4</f>
        <v>8080876.7500000019</v>
      </c>
      <c r="H4" s="46">
        <f>IFERROR(F4/E4,0)</f>
        <v>0.62569663355185934</v>
      </c>
      <c r="I4" s="78" t="str" cm="1">
        <f t="array" ref="I4">IFERROR(LOOKUP(2,1/((MOD(COLUMN($K4:$AG4),2)=1)*($K4:$AG4&lt;&gt;"-")*($K4:$AG4&lt;&gt;"")),$K4:$AG4),"-")</f>
        <v>Em andamento</v>
      </c>
      <c r="J4" s="44"/>
      <c r="K4" s="21"/>
      <c r="L4" s="44"/>
      <c r="M4" s="21"/>
      <c r="N4" s="44"/>
      <c r="O4" s="21"/>
      <c r="P4" s="44"/>
      <c r="Q4" s="21"/>
      <c r="R4" s="44"/>
      <c r="S4" s="21"/>
      <c r="T4" s="44">
        <v>13508233.779999999</v>
      </c>
      <c r="U4" s="21" t="s">
        <v>18</v>
      </c>
      <c r="V4" s="44"/>
      <c r="W4" s="21"/>
      <c r="X4" s="44"/>
      <c r="Y4" s="21"/>
      <c r="Z4" s="44"/>
      <c r="AA4" s="21"/>
      <c r="AB4" s="44"/>
      <c r="AC4" s="21"/>
      <c r="AD4" s="44"/>
      <c r="AE4" s="21"/>
      <c r="AF4" s="44"/>
      <c r="AG4" s="21"/>
    </row>
    <row r="5" spans="2:33" x14ac:dyDescent="0.3">
      <c r="B5" s="29"/>
      <c r="C5" s="31">
        <v>2</v>
      </c>
      <c r="D5" s="12" t="s">
        <v>614</v>
      </c>
      <c r="E5" s="18">
        <v>1379558.32</v>
      </c>
      <c r="F5" s="18">
        <f t="shared" ref="F5:F11" si="1">SUM(J5,L5,N5,P5,R5,T5,V5,X5,Z5,AB5,AD5,AF5)</f>
        <v>1375803.76</v>
      </c>
      <c r="G5" s="47">
        <f t="shared" si="0"/>
        <v>3754.5600000000559</v>
      </c>
      <c r="H5" s="46">
        <f t="shared" ref="H5:H11" si="2">IFERROR(F5/E5,0)</f>
        <v>0.99727843328870647</v>
      </c>
      <c r="I5" s="78" t="str" cm="1">
        <f t="array" ref="I5">IFERROR(LOOKUP(2,1/((MOD(COLUMN($K5:$AG5),2)=1)*($K5:$AG5&lt;&gt;"-")*($K5:$AG5&lt;&gt;"")),$K5:$AG5),"-")</f>
        <v>Concluída</v>
      </c>
      <c r="J5" s="44"/>
      <c r="K5" s="21"/>
      <c r="L5" s="44"/>
      <c r="M5" s="21"/>
      <c r="N5" s="44"/>
      <c r="O5" s="21"/>
      <c r="P5" s="44"/>
      <c r="Q5" s="21"/>
      <c r="R5" s="44"/>
      <c r="S5" s="21"/>
      <c r="T5" s="44">
        <v>1375803.76</v>
      </c>
      <c r="U5" s="21" t="s">
        <v>19</v>
      </c>
      <c r="V5" s="44"/>
      <c r="W5" s="21"/>
      <c r="X5" s="44"/>
      <c r="Y5" s="21"/>
      <c r="Z5" s="44"/>
      <c r="AA5" s="21"/>
      <c r="AB5" s="44"/>
      <c r="AC5" s="21"/>
      <c r="AD5" s="44"/>
      <c r="AE5" s="21"/>
      <c r="AF5" s="44"/>
      <c r="AG5" s="21"/>
    </row>
    <row r="6" spans="2:33" x14ac:dyDescent="0.3">
      <c r="B6" s="29"/>
      <c r="C6" s="193">
        <v>3</v>
      </c>
      <c r="D6" s="12" t="s">
        <v>2</v>
      </c>
      <c r="E6" s="18">
        <v>0</v>
      </c>
      <c r="F6" s="18">
        <f t="shared" si="1"/>
        <v>0</v>
      </c>
      <c r="G6" s="47">
        <f t="shared" si="0"/>
        <v>0</v>
      </c>
      <c r="H6" s="46">
        <f t="shared" si="2"/>
        <v>0</v>
      </c>
      <c r="I6" s="78" t="str" cm="1">
        <f t="array" ref="I6">IFERROR(LOOKUP(2,1/((MOD(COLUMN($K6:$AG6),2)=1)*($K6:$AG6&lt;&gt;"-")*($K6:$AG6&lt;&gt;"")),$K6:$AG6),"-")</f>
        <v>-</v>
      </c>
      <c r="J6" s="44"/>
      <c r="K6" s="21"/>
      <c r="L6" s="44"/>
      <c r="M6" s="21"/>
      <c r="N6" s="44"/>
      <c r="O6" s="21"/>
      <c r="P6" s="44"/>
      <c r="Q6" s="21"/>
      <c r="R6" s="44"/>
      <c r="S6" s="21"/>
      <c r="T6" s="44"/>
      <c r="U6" s="21"/>
      <c r="V6" s="44"/>
      <c r="W6" s="21"/>
      <c r="X6" s="44"/>
      <c r="Y6" s="21"/>
      <c r="Z6" s="44"/>
      <c r="AA6" s="21"/>
      <c r="AB6" s="44"/>
      <c r="AC6" s="21"/>
      <c r="AD6" s="44"/>
      <c r="AE6" s="21"/>
      <c r="AF6" s="44"/>
      <c r="AG6" s="21"/>
    </row>
    <row r="7" spans="2:33" x14ac:dyDescent="0.3">
      <c r="B7" s="29"/>
      <c r="C7" s="193">
        <v>4</v>
      </c>
      <c r="D7" s="12" t="s">
        <v>637</v>
      </c>
      <c r="E7" s="18">
        <v>798489.4</v>
      </c>
      <c r="F7" s="18">
        <f t="shared" si="1"/>
        <v>794341.09</v>
      </c>
      <c r="G7" s="47">
        <f t="shared" si="0"/>
        <v>4148.3100000000559</v>
      </c>
      <c r="H7" s="46">
        <f t="shared" si="2"/>
        <v>0.99480480266863902</v>
      </c>
      <c r="I7" s="78" t="str" cm="1">
        <f t="array" ref="I7">IFERROR(LOOKUP(2,1/((MOD(COLUMN($K7:$AG7),2)=1)*($K7:$AG7&lt;&gt;"-")*($K7:$AG7&lt;&gt;"")),$K7:$AG7),"-")</f>
        <v>Concluída</v>
      </c>
      <c r="J7" s="44"/>
      <c r="K7" s="21"/>
      <c r="L7" s="44"/>
      <c r="M7" s="21"/>
      <c r="N7" s="44"/>
      <c r="O7" s="21"/>
      <c r="P7" s="44"/>
      <c r="Q7" s="21"/>
      <c r="R7" s="44"/>
      <c r="S7" s="21"/>
      <c r="T7" s="44"/>
      <c r="U7" s="21"/>
      <c r="V7" s="44">
        <v>794341.09</v>
      </c>
      <c r="W7" s="21" t="s">
        <v>19</v>
      </c>
      <c r="X7" s="44"/>
      <c r="Y7" s="21"/>
      <c r="Z7" s="44"/>
      <c r="AA7" s="21"/>
      <c r="AB7" s="44"/>
      <c r="AC7" s="21"/>
      <c r="AD7" s="44"/>
      <c r="AE7" s="21"/>
      <c r="AF7" s="44"/>
      <c r="AG7" s="21"/>
    </row>
    <row r="8" spans="2:33" x14ac:dyDescent="0.3">
      <c r="B8" s="29"/>
      <c r="C8" s="31">
        <v>5</v>
      </c>
      <c r="D8" s="12" t="s">
        <v>625</v>
      </c>
      <c r="E8" s="18">
        <v>1758577.99</v>
      </c>
      <c r="F8" s="18">
        <f t="shared" si="1"/>
        <v>0</v>
      </c>
      <c r="G8" s="47">
        <f t="shared" si="0"/>
        <v>1758577.99</v>
      </c>
      <c r="H8" s="46">
        <f t="shared" si="2"/>
        <v>0</v>
      </c>
      <c r="I8" s="78" t="str" cm="1">
        <f t="array" ref="I8">IFERROR(LOOKUP(2,1/((MOD(COLUMN($K8:$AG8),2)=1)*($K8:$AG8&lt;&gt;"-")*($K8:$AG8&lt;&gt;"")),$K8:$AG8),"-")</f>
        <v>Justificada</v>
      </c>
      <c r="J8" s="44"/>
      <c r="K8" s="21"/>
      <c r="L8" s="44"/>
      <c r="M8" s="21"/>
      <c r="N8" s="44"/>
      <c r="O8" s="21"/>
      <c r="P8" s="44"/>
      <c r="Q8" s="21"/>
      <c r="R8" s="44"/>
      <c r="S8" s="21"/>
      <c r="T8" s="44"/>
      <c r="U8" s="21"/>
      <c r="V8" s="44"/>
      <c r="W8" s="21"/>
      <c r="X8" s="44"/>
      <c r="Y8" s="21" t="s">
        <v>20</v>
      </c>
      <c r="Z8" s="44"/>
      <c r="AA8" s="21"/>
      <c r="AB8" s="44"/>
      <c r="AC8" s="21"/>
      <c r="AD8" s="44"/>
      <c r="AE8" s="21"/>
      <c r="AF8" s="44"/>
      <c r="AG8" s="21"/>
    </row>
    <row r="9" spans="2:33" x14ac:dyDescent="0.3">
      <c r="B9" s="29"/>
      <c r="C9" s="31">
        <v>6</v>
      </c>
      <c r="D9" s="12" t="s">
        <v>624</v>
      </c>
      <c r="E9" s="18">
        <v>14443399.710000001</v>
      </c>
      <c r="F9" s="18">
        <f t="shared" si="1"/>
        <v>2213414.7000000002</v>
      </c>
      <c r="G9" s="47">
        <f t="shared" si="0"/>
        <v>12229985.010000002</v>
      </c>
      <c r="H9" s="46">
        <f t="shared" si="2"/>
        <v>0.15324748635652069</v>
      </c>
      <c r="I9" s="78" t="str" cm="1">
        <f t="array" ref="I9">IFERROR(LOOKUP(2,1/((MOD(COLUMN($K9:$AG9),2)=1)*($K9:$AG9&lt;&gt;"-")*($K9:$AG9&lt;&gt;"")),$K9:$AG9),"-")</f>
        <v>Em andamento</v>
      </c>
      <c r="J9" s="44"/>
      <c r="K9" s="21"/>
      <c r="L9" s="44"/>
      <c r="M9" s="21"/>
      <c r="N9" s="44"/>
      <c r="O9" s="21"/>
      <c r="P9" s="44"/>
      <c r="Q9" s="21"/>
      <c r="R9" s="44"/>
      <c r="S9" s="21"/>
      <c r="T9" s="44"/>
      <c r="U9" s="21"/>
      <c r="V9" s="44"/>
      <c r="W9" s="21"/>
      <c r="X9" s="44">
        <v>2213414.7000000002</v>
      </c>
      <c r="Y9" s="21" t="s">
        <v>18</v>
      </c>
      <c r="Z9" s="44"/>
      <c r="AA9" s="21"/>
      <c r="AB9" s="44"/>
      <c r="AC9" s="21"/>
      <c r="AD9" s="44"/>
      <c r="AE9" s="21"/>
      <c r="AF9" s="44"/>
      <c r="AG9" s="21"/>
    </row>
    <row r="10" spans="2:33" x14ac:dyDescent="0.3">
      <c r="B10" s="29"/>
      <c r="C10" s="31">
        <v>7</v>
      </c>
      <c r="D10" s="12" t="s">
        <v>638</v>
      </c>
      <c r="E10" s="18">
        <v>0</v>
      </c>
      <c r="F10" s="18">
        <f t="shared" si="1"/>
        <v>0</v>
      </c>
      <c r="G10" s="47">
        <f t="shared" si="0"/>
        <v>0</v>
      </c>
      <c r="H10" s="46">
        <f t="shared" si="2"/>
        <v>0</v>
      </c>
      <c r="I10" s="78" t="str" cm="1">
        <f t="array" ref="I10">IFERROR(LOOKUP(2,1/((MOD(COLUMN($K10:$AG10),2)=1)*($K10:$AG10&lt;&gt;"-")*($K10:$AG10&lt;&gt;"")),$K10:$AG10),"-")</f>
        <v>Em elaboração</v>
      </c>
      <c r="J10" s="44"/>
      <c r="K10" s="21"/>
      <c r="L10" s="44"/>
      <c r="M10" s="21"/>
      <c r="N10" s="44"/>
      <c r="O10" s="21"/>
      <c r="P10" s="44"/>
      <c r="Q10" s="21"/>
      <c r="R10" s="44"/>
      <c r="S10" s="21"/>
      <c r="T10" s="44"/>
      <c r="U10" s="21"/>
      <c r="V10" s="44"/>
      <c r="W10" s="21"/>
      <c r="X10" s="44"/>
      <c r="Y10" s="21"/>
      <c r="Z10" s="44"/>
      <c r="AA10" s="21" t="s">
        <v>38</v>
      </c>
      <c r="AB10" s="44"/>
      <c r="AC10" s="21"/>
      <c r="AD10" s="44"/>
      <c r="AE10" s="21"/>
      <c r="AF10" s="44"/>
      <c r="AG10" s="21"/>
    </row>
    <row r="11" spans="2:33" x14ac:dyDescent="0.3">
      <c r="B11" s="29">
        <f>ROW()-ROW($B$3)</f>
        <v>8</v>
      </c>
      <c r="C11" s="31">
        <v>8</v>
      </c>
      <c r="D11" s="12"/>
      <c r="E11" s="18"/>
      <c r="F11" s="18"/>
      <c r="G11" s="47"/>
      <c r="H11" s="46"/>
      <c r="I11" s="78"/>
      <c r="J11" s="44"/>
      <c r="K11" s="21"/>
      <c r="L11" s="44"/>
      <c r="M11" s="21"/>
      <c r="N11" s="44"/>
      <c r="O11" s="21"/>
      <c r="P11" s="44"/>
      <c r="Q11" s="21"/>
      <c r="R11" s="44"/>
      <c r="S11" s="21"/>
      <c r="T11" s="44"/>
      <c r="U11" s="21"/>
      <c r="V11" s="44"/>
      <c r="W11" s="21"/>
      <c r="X11" s="44"/>
      <c r="Y11" s="21"/>
      <c r="Z11" s="44"/>
      <c r="AA11" s="21"/>
      <c r="AB11" s="44"/>
      <c r="AC11" s="21"/>
      <c r="AD11" s="44"/>
      <c r="AE11" s="21"/>
      <c r="AF11" s="44"/>
      <c r="AG11" s="21"/>
    </row>
    <row r="12" spans="2:33" x14ac:dyDescent="0.3">
      <c r="B12" s="29">
        <f>ROW()-ROW($B$3)</f>
        <v>9</v>
      </c>
      <c r="C12" s="31"/>
      <c r="D12" s="12"/>
      <c r="E12" s="18"/>
      <c r="F12" s="18"/>
      <c r="G12" s="47"/>
      <c r="H12" s="46"/>
      <c r="I12" s="78"/>
      <c r="J12" s="44"/>
      <c r="K12" s="21"/>
      <c r="L12" s="44"/>
      <c r="M12" s="21"/>
      <c r="N12" s="44"/>
      <c r="O12" s="21"/>
      <c r="P12" s="44"/>
      <c r="Q12" s="21"/>
      <c r="R12" s="44"/>
      <c r="S12" s="21"/>
      <c r="T12" s="44"/>
      <c r="U12" s="21"/>
      <c r="V12" s="44"/>
      <c r="W12" s="21"/>
      <c r="X12" s="44"/>
      <c r="Y12" s="21"/>
      <c r="Z12" s="44"/>
      <c r="AA12" s="21"/>
      <c r="AB12" s="44"/>
      <c r="AC12" s="21"/>
      <c r="AD12" s="44"/>
      <c r="AE12" s="21"/>
      <c r="AF12" s="44"/>
      <c r="AG12" s="21"/>
    </row>
    <row r="13" spans="2:33" ht="28.8" customHeight="1" x14ac:dyDescent="0.3">
      <c r="B13" s="17"/>
      <c r="C13" s="31"/>
      <c r="D13" s="12"/>
      <c r="E13" s="18"/>
      <c r="F13" s="18"/>
      <c r="G13" s="18"/>
      <c r="H13" s="34"/>
      <c r="I13" s="34"/>
      <c r="J13" s="44"/>
      <c r="K13" s="21"/>
      <c r="L13" s="44"/>
      <c r="M13" s="21"/>
      <c r="N13" s="19"/>
      <c r="O13" s="21"/>
      <c r="P13" s="19"/>
      <c r="Q13" s="21"/>
      <c r="R13" s="19"/>
      <c r="S13" s="21"/>
      <c r="T13" s="19"/>
      <c r="U13" s="20"/>
      <c r="V13" s="19"/>
      <c r="W13" s="20"/>
      <c r="X13" s="19"/>
      <c r="Y13" s="20"/>
      <c r="Z13" s="19"/>
      <c r="AA13" s="20"/>
      <c r="AB13" s="19"/>
      <c r="AC13" s="20"/>
      <c r="AD13" s="19"/>
      <c r="AE13" s="20"/>
      <c r="AF13" s="19"/>
      <c r="AG13" s="20"/>
    </row>
  </sheetData>
  <mergeCells count="13">
    <mergeCell ref="R2:S2"/>
    <mergeCell ref="B2:I2"/>
    <mergeCell ref="J2:K2"/>
    <mergeCell ref="L2:M2"/>
    <mergeCell ref="N2:O2"/>
    <mergeCell ref="P2:Q2"/>
    <mergeCell ref="AF2:AG2"/>
    <mergeCell ref="T2:U2"/>
    <mergeCell ref="V2:W2"/>
    <mergeCell ref="X2:Y2"/>
    <mergeCell ref="Z2:AA2"/>
    <mergeCell ref="AB2:AC2"/>
    <mergeCell ref="AD2:AE2"/>
  </mergeCells>
  <conditionalFormatting sqref="H4:H12">
    <cfRule type="colorScale" priority="15">
      <colorScale>
        <cfvo type="min"/>
        <cfvo type="percentile" val="50"/>
        <cfvo type="max"/>
        <color rgb="FFC00000"/>
        <color rgb="FFFFFF00"/>
        <color rgb="FF92D050"/>
      </colorScale>
    </cfRule>
  </conditionalFormatting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595B6C8-B79F-4BF2-8913-5A9754458B06}">
            <xm:f>NOT(ISERROR(SEARCH('Tabelas Auxiliares'!$M$8,H13)))</xm:f>
            <xm:f>'Tabelas Auxiliares'!$M$8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2" operator="containsText" id="{BCBC859D-0EA4-4018-9AE4-74C1425A2F79}">
            <xm:f>NOT(ISERROR(SEARCH('Tabelas Auxiliares'!$M$7,H13)))</xm:f>
            <xm:f>'Tabelas Auxiliares'!$M$7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3" operator="containsText" id="{93401192-9D0D-475B-ABAB-62FE77D4BDF5}">
            <xm:f>NOT(ISERROR(SEARCH('Tabelas Auxiliares'!$M$6,H13)))</xm:f>
            <xm:f>'Tabelas Auxiliares'!$M$6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4" operator="containsText" id="{95FF9516-4919-4231-81B0-E93468FEDE31}">
            <xm:f>NOT(ISERROR(SEARCH('Tabelas Auxiliares'!$M$5,H13)))</xm:f>
            <xm:f>'Tabelas Auxiliares'!$M$5</xm:f>
            <x14:dxf>
              <fill>
                <patternFill>
                  <fgColor rgb="FF00B0F0"/>
                  <bgColor rgb="FF00B0F0"/>
                </patternFill>
              </fill>
            </x14:dxf>
          </x14:cfRule>
          <x14:cfRule type="containsText" priority="5" operator="containsText" id="{E226671E-9A00-4410-B750-5310B0428CAE}">
            <xm:f>NOT(ISERROR(SEARCH('Tabelas Auxiliares'!$M$4,H13)))</xm:f>
            <xm:f>'Tabelas Auxiliares'!$M$4</xm:f>
            <x14:dxf>
              <fill>
                <patternFill patternType="solid">
                  <fgColor auto="1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6" operator="containsText" id="{01782934-5085-49DA-8BA1-CCCA4AA76FA4}">
            <xm:f>NOT(ISERROR(SEARCH('Tabelas Auxiliares'!$M$8,I4)))</xm:f>
            <xm:f>'Tabelas Auxiliares'!$M$8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7" operator="containsText" id="{AB4526AD-94BF-457B-B24A-C2FFF75227B4}">
            <xm:f>NOT(ISERROR(SEARCH('Tabelas Auxiliares'!$M$7,I4)))</xm:f>
            <xm:f>'Tabelas Auxiliares'!$M$7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8" operator="containsText" id="{F682EB65-7CDC-4285-BF27-0296572725C1}">
            <xm:f>NOT(ISERROR(SEARCH('Tabelas Auxiliares'!$M$6,I4)))</xm:f>
            <xm:f>'Tabelas Auxiliares'!$M$6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9" operator="containsText" id="{8383601C-39DC-4803-BA13-5D72436EE6EF}">
            <xm:f>NOT(ISERROR(SEARCH('Tabelas Auxiliares'!$M$5,I4)))</xm:f>
            <xm:f>'Tabelas Auxiliares'!$M$5</xm:f>
            <x14:dxf>
              <fill>
                <patternFill>
                  <fgColor rgb="FF00B0F0"/>
                  <bgColor rgb="FF00B0F0"/>
                </patternFill>
              </fill>
            </x14:dxf>
          </x14:cfRule>
          <x14:cfRule type="containsText" priority="10" operator="containsText" id="{33611B31-9198-487F-ADAC-AADCC442A6E0}">
            <xm:f>NOT(ISERROR(SEARCH('Tabelas Auxiliares'!$M$4,I4)))</xm:f>
            <xm:f>'Tabelas Auxiliares'!$M$4</xm:f>
            <x14:dxf>
              <fill>
                <patternFill patternType="solid">
                  <fgColor auto="1"/>
                </patternFill>
              </fill>
            </x14:dxf>
          </x14:cfRule>
          <x14:cfRule type="containsText" priority="16" operator="containsText" id="{9259AD89-4651-43B4-BB36-BE5BCACD9EE7}">
            <xm:f>NOT(ISERROR(SEARCH('Tabelas Auxiliares'!$M$10,I4)))</xm:f>
            <xm:f>'Tabelas Auxiliares'!$M$10</xm:f>
            <x14:dxf>
              <font>
                <color rgb="FFFFFFFF"/>
              </font>
              <fill>
                <patternFill patternType="solid">
                  <fgColor indexed="64"/>
                  <bgColor rgb="FFED7D31"/>
                </patternFill>
              </fill>
            </x14:dxf>
          </x14:cfRule>
          <xm:sqref>I4:I13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65B224-317B-44C9-BB88-CD2AB51A6EC5}">
          <x14:formula1>
            <xm:f>'Tabelas Auxiliares'!$M$4:$M$11</xm:f>
          </x14:formula1>
          <xm:sqref>K4:K13 S4:S13 O4:O13 AG4:AG13 AE4:AE13 M4:M13 U4:U13 Q4:Q13 AC4:AC13 W4:W13 Y4:Y13 AA4:AA13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5D1F-093B-43BE-89E0-C9C1BB94C71F}">
  <sheetPr codeName="Planilha10"/>
  <dimension ref="A1:N13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32" sqref="I32"/>
    </sheetView>
  </sheetViews>
  <sheetFormatPr defaultRowHeight="15.6" x14ac:dyDescent="0.3"/>
  <cols>
    <col min="1" max="1" width="3.796875" customWidth="1"/>
    <col min="2" max="2" width="9.765625E-2" customWidth="1"/>
    <col min="3" max="3" width="10.19921875" customWidth="1"/>
    <col min="4" max="4" width="17.09765625" customWidth="1"/>
    <col min="5" max="5" width="9.3984375" customWidth="1"/>
    <col min="6" max="6" width="12.19921875" bestFit="1" customWidth="1"/>
    <col min="7" max="7" width="18.796875" customWidth="1"/>
    <col min="8" max="8" width="10.8984375" customWidth="1"/>
    <col min="9" max="9" width="53.69921875" customWidth="1"/>
    <col min="10" max="10" width="28.19921875" customWidth="1"/>
    <col min="11" max="11" width="17.5" bestFit="1" customWidth="1"/>
    <col min="12" max="12" width="16" bestFit="1" customWidth="1"/>
    <col min="13" max="13" width="68.59765625" customWidth="1"/>
  </cols>
  <sheetData>
    <row r="1" spans="1:14" ht="16.2" thickBot="1" x14ac:dyDescent="0.35"/>
    <row r="2" spans="1:14" ht="58.2" customHeight="1" thickBot="1" x14ac:dyDescent="0.35">
      <c r="B2" s="302" t="s">
        <v>185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1:14" ht="62.4" customHeight="1" thickBot="1" x14ac:dyDescent="0.4">
      <c r="A3" s="1"/>
      <c r="B3" s="23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24</v>
      </c>
      <c r="H3" s="24" t="s">
        <v>8</v>
      </c>
      <c r="I3" s="24" t="s">
        <v>0</v>
      </c>
      <c r="J3" s="24" t="s">
        <v>9</v>
      </c>
      <c r="K3" s="24" t="s">
        <v>1</v>
      </c>
      <c r="L3" s="24" t="s">
        <v>10</v>
      </c>
      <c r="M3" s="22" t="s">
        <v>29</v>
      </c>
      <c r="N3" s="2"/>
    </row>
    <row r="4" spans="1:14" ht="18" x14ac:dyDescent="0.35">
      <c r="A4" s="1"/>
      <c r="B4" s="28">
        <f>'REGIÃO 23 - HISTÓRICO'!B4</f>
        <v>1</v>
      </c>
      <c r="C4" s="76" t="s">
        <v>167</v>
      </c>
      <c r="D4" s="26" t="str">
        <f>_xlfn.XLOOKUP(tbResumoR23[[#This Row],[REGIÃO]],tbRegioes[Código Região],tbRegioes[Contrato],"")</f>
        <v>043.2025</v>
      </c>
      <c r="E4" s="25">
        <f>'REGIÃO 23 - HISTÓRICO'!C4</f>
        <v>1</v>
      </c>
      <c r="F4" s="77" t="s">
        <v>30</v>
      </c>
      <c r="G4" s="187" t="str">
        <f>'REGIÃO 23 - HISTÓRICO'!D4</f>
        <v>jan/fev</v>
      </c>
      <c r="H4" s="8">
        <v>0</v>
      </c>
      <c r="I4" s="72" t="str">
        <f>IF(tbResumoR23[[#This Row],[N° TRECHO]]="","",IFERROR(INDEX('REGIÃO 11 - TRECHOS'!$F$4:$F$119,MATCH(tbResumoR23[[#This Row],[N° TRECHO]],'REGIÃO 11 - TRECHOS'!$E$4:$E$119,0)),IFERROR(INDEX('REGIÃO 12 - TRECHOS'!$F$4:$F$76,MATCH(tbResumoR23[[#This Row],[N° TRECHO]],'REGIÃO 12 - TRECHOS'!$E$4:$E$76,0)),IFERROR(INDEX('REGIÃO 13 - TRECHOS'!$F$4:$F$53,MATCH(tbResumoR23[[#This Row],[N° TRECHO]],'REGIÃO 13 - TRECHOS'!$E$4:$E$53,0)),"Trecho não cadastrado"))))</f>
        <v>Trecho não cadastrado</v>
      </c>
      <c r="J4" s="74" t="s">
        <v>591</v>
      </c>
      <c r="K4" s="9">
        <f>'REGIÃO 23 - HISTÓRICO'!E4</f>
        <v>0</v>
      </c>
      <c r="L4" s="8" t="str">
        <f>'REGIÃO 23 - HISTÓRICO'!I4</f>
        <v>-</v>
      </c>
      <c r="M4" s="33"/>
      <c r="N4" s="2"/>
    </row>
    <row r="5" spans="1:14" ht="18" x14ac:dyDescent="0.35">
      <c r="A5" s="1"/>
      <c r="B5" s="32">
        <f>'REGIÃO 23 - HISTÓRICO'!B11</f>
        <v>8</v>
      </c>
      <c r="C5" s="76" t="s">
        <v>167</v>
      </c>
      <c r="D5" s="88" t="str">
        <f>_xlfn.XLOOKUP(tbResumoR23[[#This Row],[REGIÃO]],tbRegioes[Código Região],tbRegioes[Contrato],"")</f>
        <v>043.2025</v>
      </c>
      <c r="E5" s="25">
        <f>'REGIÃO 23 - HISTÓRICO'!C11</f>
        <v>8</v>
      </c>
      <c r="F5" s="191"/>
      <c r="G5" s="187">
        <f>'REGIÃO 23 - HISTÓRICO'!D5</f>
        <v>0</v>
      </c>
      <c r="H5" s="8">
        <v>0</v>
      </c>
      <c r="I5" s="72" t="str">
        <f>IF(tbResumoR23[[#This Row],[N° TRECHO]]="","",IFERROR(INDEX('REGIÃO 11 - TRECHOS'!$F$4:$F$119,MATCH(tbResumoR23[[#This Row],[N° TRECHO]],'REGIÃO 11 - TRECHOS'!$E$4:$E$119,0)),IFERROR(INDEX('REGIÃO 12 - TRECHOS'!$F$4:$F$76,MATCH(tbResumoR23[[#This Row],[N° TRECHO]],'REGIÃO 12 - TRECHOS'!$E$4:$E$76,0)),IFERROR(INDEX('REGIÃO 13 - TRECHOS'!$F$4:$F$53,MATCH(tbResumoR23[[#This Row],[N° TRECHO]],'REGIÃO 13 - TRECHOS'!$E$4:$E$53,0)),"Trecho não cadastrado"))))</f>
        <v>Trecho não cadastrado</v>
      </c>
      <c r="J5" s="74" t="s">
        <v>591</v>
      </c>
      <c r="K5" s="9">
        <f>'REGIÃO 23 - HISTÓRICO'!E5</f>
        <v>0</v>
      </c>
      <c r="L5" s="8" t="str">
        <f>'REGIÃO 23 - HISTÓRICO'!I5</f>
        <v>-</v>
      </c>
      <c r="M5" s="188"/>
      <c r="N5" s="2"/>
    </row>
    <row r="6" spans="1:14" x14ac:dyDescent="0.3">
      <c r="B6" s="32">
        <f>'REGIÃO 23 - HISTÓRICO'!B12</f>
        <v>0</v>
      </c>
      <c r="C6" s="76" t="s">
        <v>167</v>
      </c>
      <c r="D6" s="88" t="str">
        <f>_xlfn.XLOOKUP(tbResumoR23[[#This Row],[REGIÃO]],tbRegioes[Código Região],tbRegioes[Contrato],"")</f>
        <v>043.2025</v>
      </c>
      <c r="E6" s="25">
        <f>'REGIÃO 23 - HISTÓRICO'!C12</f>
        <v>0</v>
      </c>
      <c r="F6" s="191"/>
      <c r="G6" s="187">
        <f>'REGIÃO 23 - HISTÓRICO'!D6</f>
        <v>0</v>
      </c>
      <c r="H6" s="8">
        <v>0</v>
      </c>
      <c r="I6" s="72" t="str">
        <f>IF(tbResumoR23[[#This Row],[N° TRECHO]]="","",IFERROR(INDEX('REGIÃO 11 - TRECHOS'!$F$4:$F$119,MATCH(tbResumoR23[[#This Row],[N° TRECHO]],'REGIÃO 11 - TRECHOS'!$E$4:$E$119,0)),IFERROR(INDEX('REGIÃO 12 - TRECHOS'!$F$4:$F$76,MATCH(tbResumoR23[[#This Row],[N° TRECHO]],'REGIÃO 12 - TRECHOS'!$E$4:$E$76,0)),IFERROR(INDEX('REGIÃO 13 - TRECHOS'!$F$4:$F$53,MATCH(tbResumoR23[[#This Row],[N° TRECHO]],'REGIÃO 13 - TRECHOS'!$E$4:$E$53,0)),"Trecho não cadastrado"))))</f>
        <v>Trecho não cadastrado</v>
      </c>
      <c r="J6" s="74" t="s">
        <v>591</v>
      </c>
      <c r="K6" s="9">
        <f>'REGIÃO 23 - HISTÓRICO'!E6</f>
        <v>0</v>
      </c>
      <c r="L6" s="8" t="str">
        <f>'REGIÃO 23 - HISTÓRICO'!I6</f>
        <v>-</v>
      </c>
      <c r="M6" s="188"/>
    </row>
    <row r="7" spans="1:14" x14ac:dyDescent="0.3">
      <c r="B7" s="32">
        <f>'REGIÃO 23 - HISTÓRICO'!B13</f>
        <v>0</v>
      </c>
      <c r="C7" s="76" t="s">
        <v>167</v>
      </c>
      <c r="D7" s="88" t="str">
        <f>_xlfn.XLOOKUP(tbResumoR23[[#This Row],[REGIÃO]],tbRegioes[Código Região],tbRegioes[Contrato],"")</f>
        <v>043.2025</v>
      </c>
      <c r="E7" s="25">
        <f>'REGIÃO 23 - HISTÓRICO'!C13</f>
        <v>0</v>
      </c>
      <c r="F7" s="191"/>
      <c r="G7" s="187">
        <f>'REGIÃO 23 - HISTÓRICO'!D7</f>
        <v>0</v>
      </c>
      <c r="H7" s="8">
        <v>0</v>
      </c>
      <c r="I7" s="72" t="str">
        <f>IF(tbResumoR23[[#This Row],[N° TRECHO]]="","",IFERROR(INDEX('REGIÃO 11 - TRECHOS'!$F$4:$F$119,MATCH(tbResumoR23[[#This Row],[N° TRECHO]],'REGIÃO 11 - TRECHOS'!$E$4:$E$119,0)),IFERROR(INDEX('REGIÃO 12 - TRECHOS'!$F$4:$F$76,MATCH(tbResumoR23[[#This Row],[N° TRECHO]],'REGIÃO 12 - TRECHOS'!$E$4:$E$76,0)),IFERROR(INDEX('REGIÃO 13 - TRECHOS'!$F$4:$F$53,MATCH(tbResumoR23[[#This Row],[N° TRECHO]],'REGIÃO 13 - TRECHOS'!$E$4:$E$53,0)),"Trecho não cadastrado"))))</f>
        <v>Trecho não cadastrado</v>
      </c>
      <c r="J7" s="74" t="s">
        <v>591</v>
      </c>
      <c r="K7" s="9">
        <f>'REGIÃO 23 - HISTÓRICO'!E7</f>
        <v>0</v>
      </c>
      <c r="L7" s="8" t="str">
        <f>'REGIÃO 23 - HISTÓRICO'!I7</f>
        <v>-</v>
      </c>
      <c r="M7" s="188"/>
    </row>
    <row r="8" spans="1:14" x14ac:dyDescent="0.3">
      <c r="B8" s="32">
        <f>'REGIÃO 23 - HISTÓRICO'!B14</f>
        <v>0</v>
      </c>
      <c r="C8" s="76" t="s">
        <v>167</v>
      </c>
      <c r="D8" s="88" t="str">
        <f>_xlfn.XLOOKUP(tbResumoR23[[#This Row],[REGIÃO]],tbRegioes[Código Região],tbRegioes[Contrato],"")</f>
        <v>043.2025</v>
      </c>
      <c r="E8" s="25">
        <f>'REGIÃO 23 - HISTÓRICO'!C14</f>
        <v>0</v>
      </c>
      <c r="F8" s="191"/>
      <c r="G8" s="187">
        <f>'REGIÃO 23 - HISTÓRICO'!D8</f>
        <v>0</v>
      </c>
      <c r="H8" s="8">
        <v>0</v>
      </c>
      <c r="I8" s="72" t="str">
        <f>IF(tbResumoR23[[#This Row],[N° TRECHO]]="","",IFERROR(INDEX('REGIÃO 11 - TRECHOS'!$F$4:$F$119,MATCH(tbResumoR23[[#This Row],[N° TRECHO]],'REGIÃO 11 - TRECHOS'!$E$4:$E$119,0)),IFERROR(INDEX('REGIÃO 12 - TRECHOS'!$F$4:$F$76,MATCH(tbResumoR23[[#This Row],[N° TRECHO]],'REGIÃO 12 - TRECHOS'!$E$4:$E$76,0)),IFERROR(INDEX('REGIÃO 13 - TRECHOS'!$F$4:$F$53,MATCH(tbResumoR23[[#This Row],[N° TRECHO]],'REGIÃO 13 - TRECHOS'!$E$4:$E$53,0)),"Trecho não cadastrado"))))</f>
        <v>Trecho não cadastrado</v>
      </c>
      <c r="J8" s="74" t="s">
        <v>591</v>
      </c>
      <c r="K8" s="9">
        <f>'REGIÃO 23 - HISTÓRICO'!E8</f>
        <v>0</v>
      </c>
      <c r="L8" s="8" t="str">
        <f>'REGIÃO 23 - HISTÓRICO'!I8</f>
        <v>-</v>
      </c>
      <c r="M8" s="188"/>
    </row>
    <row r="9" spans="1:14" x14ac:dyDescent="0.3">
      <c r="B9" s="32">
        <f>'REGIÃO 23 - HISTÓRICO'!B11</f>
        <v>8</v>
      </c>
      <c r="C9" s="76" t="s">
        <v>167</v>
      </c>
      <c r="D9" s="88" t="str">
        <f>_xlfn.XLOOKUP(tbResumoR23[[#This Row],[REGIÃO]],tbRegioes[Código Região],tbRegioes[Contrato],"")</f>
        <v>043.2025</v>
      </c>
      <c r="E9" s="25">
        <f>'REGIÃO 23 - HISTÓRICO'!C15</f>
        <v>0</v>
      </c>
      <c r="F9" s="191"/>
      <c r="G9" s="187">
        <f>'REGIÃO 23 - HISTÓRICO'!D9</f>
        <v>0</v>
      </c>
      <c r="H9" s="8">
        <v>0</v>
      </c>
      <c r="I9" s="72" t="str">
        <f>IF(tbResumoR23[[#This Row],[N° TRECHO]]="","",IFERROR(INDEX('REGIÃO 11 - TRECHOS'!$F$4:$F$119,MATCH(tbResumoR23[[#This Row],[N° TRECHO]],'REGIÃO 11 - TRECHOS'!$E$4:$E$119,0)),IFERROR(INDEX('REGIÃO 12 - TRECHOS'!$F$4:$F$76,MATCH(tbResumoR23[[#This Row],[N° TRECHO]],'REGIÃO 12 - TRECHOS'!$E$4:$E$76,0)),IFERROR(INDEX('REGIÃO 13 - TRECHOS'!$F$4:$F$53,MATCH(tbResumoR23[[#This Row],[N° TRECHO]],'REGIÃO 13 - TRECHOS'!$E$4:$E$53,0)),"Trecho não cadastrado"))))</f>
        <v>Trecho não cadastrado</v>
      </c>
      <c r="J9" s="74" t="s">
        <v>591</v>
      </c>
      <c r="K9" s="9">
        <f>'REGIÃO 23 - HISTÓRICO'!E9</f>
        <v>0</v>
      </c>
      <c r="L9" s="8" t="str">
        <f>'REGIÃO 23 - HISTÓRICO'!I9</f>
        <v>-</v>
      </c>
      <c r="M9" s="188"/>
    </row>
    <row r="10" spans="1:14" x14ac:dyDescent="0.3">
      <c r="B10" s="32">
        <f>'REGIÃO 23 - HISTÓRICO'!B12</f>
        <v>0</v>
      </c>
      <c r="C10" s="76" t="s">
        <v>167</v>
      </c>
      <c r="D10" s="88" t="str">
        <f>_xlfn.XLOOKUP(tbResumoR23[[#This Row],[REGIÃO]],tbRegioes[Código Região],tbRegioes[Contrato],"")</f>
        <v>043.2025</v>
      </c>
      <c r="E10" s="25">
        <f>'REGIÃO 23 - HISTÓRICO'!C16</f>
        <v>0</v>
      </c>
      <c r="F10" s="191"/>
      <c r="G10" s="187">
        <f>'REGIÃO 23 - HISTÓRICO'!D10</f>
        <v>0</v>
      </c>
      <c r="H10" s="8">
        <v>0</v>
      </c>
      <c r="I10" s="72" t="str">
        <f>IF(tbResumoR23[[#This Row],[N° TRECHO]]="","",IFERROR(INDEX('REGIÃO 11 - TRECHOS'!$F$4:$F$119,MATCH(tbResumoR23[[#This Row],[N° TRECHO]],'REGIÃO 11 - TRECHOS'!$E$4:$E$119,0)),IFERROR(INDEX('REGIÃO 12 - TRECHOS'!$F$4:$F$76,MATCH(tbResumoR23[[#This Row],[N° TRECHO]],'REGIÃO 12 - TRECHOS'!$E$4:$E$76,0)),IFERROR(INDEX('REGIÃO 13 - TRECHOS'!$F$4:$F$53,MATCH(tbResumoR23[[#This Row],[N° TRECHO]],'REGIÃO 13 - TRECHOS'!$E$4:$E$53,0)),"Trecho não cadastrado"))))</f>
        <v>Trecho não cadastrado</v>
      </c>
      <c r="J10" s="74" t="s">
        <v>591</v>
      </c>
      <c r="K10" s="9">
        <f>'REGIÃO 23 - HISTÓRICO'!E10</f>
        <v>0</v>
      </c>
      <c r="L10" s="8" t="str">
        <f>'REGIÃO 23 - HISTÓRICO'!I10</f>
        <v>-</v>
      </c>
      <c r="M10" s="188"/>
    </row>
    <row r="11" spans="1:14" x14ac:dyDescent="0.3">
      <c r="B11" s="32">
        <f>'REGIÃO 23 - HISTÓRICO'!B11</f>
        <v>8</v>
      </c>
      <c r="C11" s="76" t="s">
        <v>167</v>
      </c>
      <c r="D11" s="88" t="str">
        <f>_xlfn.XLOOKUP(tbResumoR23[[#This Row],[REGIÃO]],tbRegioes[Código Região],tbRegioes[Contrato],"")</f>
        <v>043.2025</v>
      </c>
      <c r="E11" s="25">
        <f>'REGIÃO 23 - HISTÓRICO'!C17</f>
        <v>0</v>
      </c>
      <c r="F11" s="191"/>
      <c r="G11" s="187">
        <f>'REGIÃO 23 - HISTÓRICO'!D11</f>
        <v>0</v>
      </c>
      <c r="H11" s="8">
        <v>0</v>
      </c>
      <c r="I11" s="72" t="str">
        <f>IF(tbResumoR23[[#This Row],[N° TRECHO]]="","",IFERROR(INDEX('REGIÃO 11 - TRECHOS'!$F$4:$F$119,MATCH(tbResumoR23[[#This Row],[N° TRECHO]],'REGIÃO 11 - TRECHOS'!$E$4:$E$119,0)),IFERROR(INDEX('REGIÃO 12 - TRECHOS'!$F$4:$F$76,MATCH(tbResumoR23[[#This Row],[N° TRECHO]],'REGIÃO 12 - TRECHOS'!$E$4:$E$76,0)),IFERROR(INDEX('REGIÃO 13 - TRECHOS'!$F$4:$F$53,MATCH(tbResumoR23[[#This Row],[N° TRECHO]],'REGIÃO 13 - TRECHOS'!$E$4:$E$53,0)),"Trecho não cadastrado"))))</f>
        <v>Trecho não cadastrado</v>
      </c>
      <c r="J11" s="74" t="s">
        <v>591</v>
      </c>
      <c r="K11" s="9">
        <f>'REGIÃO 23 - HISTÓRICO'!E11</f>
        <v>0</v>
      </c>
      <c r="L11" s="8" t="str">
        <f>'REGIÃO 23 - HISTÓRICO'!I11</f>
        <v>-</v>
      </c>
      <c r="M11" s="188"/>
    </row>
    <row r="12" spans="1:14" x14ac:dyDescent="0.3">
      <c r="B12" s="28">
        <f>'REGIÃO 23 - HISTÓRICO'!B11</f>
        <v>8</v>
      </c>
      <c r="C12" s="76" t="s">
        <v>167</v>
      </c>
      <c r="D12" s="26" t="str">
        <f>_xlfn.XLOOKUP(tbResumoR23[[#This Row],[REGIÃO]],tbRegioes[Código Região],tbRegioes[Contrato],"")</f>
        <v>043.2025</v>
      </c>
      <c r="E12" s="25">
        <f>'REGIÃO 23 - HISTÓRICO'!C18</f>
        <v>0</v>
      </c>
      <c r="F12" s="191"/>
      <c r="G12" s="187">
        <f>'REGIÃO 23 - HISTÓRICO'!D12</f>
        <v>0</v>
      </c>
      <c r="H12" s="8">
        <v>0</v>
      </c>
      <c r="I12" s="72" t="str">
        <f>IF(tbResumoR23[[#This Row],[N° TRECHO]]="","",IFERROR(INDEX('REGIÃO 11 - TRECHOS'!$F$4:$F$119,MATCH(tbResumoR23[[#This Row],[N° TRECHO]],'REGIÃO 11 - TRECHOS'!$E$4:$E$119,0)),IFERROR(INDEX('REGIÃO 12 - TRECHOS'!$F$4:$F$76,MATCH(tbResumoR23[[#This Row],[N° TRECHO]],'REGIÃO 12 - TRECHOS'!$E$4:$E$76,0)),IFERROR(INDEX('REGIÃO 13 - TRECHOS'!$F$4:$F$53,MATCH(tbResumoR23[[#This Row],[N° TRECHO]],'REGIÃO 13 - TRECHOS'!$E$4:$E$53,0)),"Trecho não cadastrado"))))</f>
        <v>Trecho não cadastrado</v>
      </c>
      <c r="J12" s="74" t="s">
        <v>591</v>
      </c>
      <c r="K12" s="9">
        <f>'REGIÃO 23 - HISTÓRICO'!E12</f>
        <v>0</v>
      </c>
      <c r="L12" s="8">
        <f>'REGIÃO 23 - HISTÓRICO'!I12</f>
        <v>0</v>
      </c>
      <c r="M12" s="33"/>
    </row>
    <row r="13" spans="1:14" ht="18" x14ac:dyDescent="0.3">
      <c r="B13" s="32">
        <f>'REGIÃO 23 - HISTÓRICO'!B12</f>
        <v>0</v>
      </c>
      <c r="C13" s="305"/>
      <c r="D13" s="306"/>
      <c r="E13" s="316"/>
      <c r="F13" s="317"/>
      <c r="G13" s="318"/>
      <c r="H13" s="319"/>
      <c r="I13" s="311"/>
      <c r="J13" s="312"/>
      <c r="K13" s="320"/>
      <c r="L13" s="321"/>
      <c r="M13" s="315"/>
    </row>
  </sheetData>
  <sheetProtection formatCells="0" formatColumns="0" formatRows="0" insertColumns="0" insertRows="0" insertHyperlinks="0" deleteColumns="0" deleteRows="0" sort="0" autoFilter="0" pivotTables="0"/>
  <mergeCells count="2">
    <mergeCell ref="B2:M2"/>
    <mergeCell ref="C13:M13"/>
  </mergeCells>
  <dataValidations count="1">
    <dataValidation allowBlank="1" showInputMessage="1" showErrorMessage="1" sqref="D4:D12" xr:uid="{C0423A5A-D253-4F27-9977-C1AC342DA5A1}"/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58EB849-0C98-4283-AA29-BD92AB7C13DF}">
          <x14:formula1>
            <xm:f>'Tabelas Auxiliares'!$B$4:$B$9</xm:f>
          </x14:formula1>
          <xm:sqref>C4:C12</xm:sqref>
        </x14:dataValidation>
        <x14:dataValidation type="list" allowBlank="1" showInputMessage="1" showErrorMessage="1" xr:uid="{145A4EB7-B346-4D0F-ADA2-7091C3431D52}">
          <x14:formula1>
            <xm:f>'Tabelas Auxiliares'!$M$4:$M$11</xm:f>
          </x14:formula1>
          <xm:sqref>L4:L12</xm:sqref>
        </x14:dataValidation>
        <x14:dataValidation type="list" allowBlank="1" showInputMessage="1" showErrorMessage="1" xr:uid="{5368D4CE-D8B7-49F3-87DD-3CDB9A57E09B}">
          <x14:formula1>
            <xm:f>'Tabelas Auxiliares'!$H$3:$H$81</xm:f>
          </x14:formula1>
          <xm:sqref>J4:J12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BC8B-E18A-42A1-A2E6-B70873BC5025}">
  <sheetPr codeName="Planilha11"/>
  <dimension ref="B2:AG12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I4" sqref="I4"/>
    </sheetView>
  </sheetViews>
  <sheetFormatPr defaultRowHeight="15.6" x14ac:dyDescent="0.3"/>
  <cols>
    <col min="1" max="1" width="3" customWidth="1"/>
    <col min="2" max="2" width="4.19921875" style="10" hidden="1" customWidth="1"/>
    <col min="3" max="3" width="11.69921875" style="10" customWidth="1"/>
    <col min="4" max="4" width="20" style="10" customWidth="1"/>
    <col min="5" max="7" width="22.5" customWidth="1"/>
    <col min="8" max="8" width="14.8984375" customWidth="1"/>
    <col min="9" max="9" width="22.5" style="35" customWidth="1"/>
    <col min="10" max="10" width="15.8984375" style="45" customWidth="1"/>
    <col min="11" max="11" width="14.69921875" style="10" customWidth="1"/>
    <col min="12" max="12" width="15.5" style="45" customWidth="1"/>
    <col min="13" max="13" width="14.796875" style="10" customWidth="1"/>
    <col min="14" max="14" width="15.59765625" customWidth="1"/>
    <col min="15" max="15" width="14.69921875" style="10" customWidth="1"/>
    <col min="16" max="16" width="15.59765625" customWidth="1"/>
    <col min="17" max="17" width="14.69921875" customWidth="1"/>
    <col min="18" max="18" width="15.59765625" customWidth="1"/>
    <col min="19" max="19" width="14.69921875" customWidth="1"/>
    <col min="20" max="20" width="15.59765625" customWidth="1"/>
    <col min="21" max="21" width="14.69921875" customWidth="1"/>
    <col min="22" max="22" width="15.59765625" customWidth="1"/>
    <col min="23" max="23" width="14.69921875" customWidth="1"/>
    <col min="24" max="24" width="15.59765625" customWidth="1"/>
    <col min="25" max="25" width="14.69921875" customWidth="1"/>
    <col min="26" max="26" width="15.59765625" customWidth="1"/>
    <col min="27" max="27" width="14.69921875" customWidth="1"/>
    <col min="28" max="28" width="15.59765625" customWidth="1"/>
    <col min="29" max="29" width="14.69921875" customWidth="1"/>
    <col min="30" max="30" width="15.59765625" customWidth="1"/>
    <col min="31" max="31" width="14.69921875" customWidth="1"/>
    <col min="32" max="32" width="15.59765625" customWidth="1"/>
    <col min="33" max="33" width="14.69921875" customWidth="1"/>
  </cols>
  <sheetData>
    <row r="2" spans="2:33" ht="30.6" customHeight="1" x14ac:dyDescent="0.3">
      <c r="B2" s="215" t="s">
        <v>185</v>
      </c>
      <c r="C2" s="216"/>
      <c r="D2" s="216"/>
      <c r="E2" s="216"/>
      <c r="F2" s="216"/>
      <c r="G2" s="216"/>
      <c r="H2" s="216"/>
      <c r="I2" s="216"/>
      <c r="J2" s="221">
        <v>46023</v>
      </c>
      <c r="K2" s="222"/>
      <c r="L2" s="223">
        <v>46054</v>
      </c>
      <c r="M2" s="224"/>
      <c r="N2" s="217">
        <v>46082</v>
      </c>
      <c r="O2" s="218"/>
      <c r="P2" s="219">
        <v>46113</v>
      </c>
      <c r="Q2" s="220"/>
      <c r="R2" s="221">
        <v>46143</v>
      </c>
      <c r="S2" s="222"/>
      <c r="T2" s="223">
        <v>46174</v>
      </c>
      <c r="U2" s="224"/>
      <c r="V2" s="217">
        <v>46204</v>
      </c>
      <c r="W2" s="218"/>
      <c r="X2" s="219">
        <v>46235</v>
      </c>
      <c r="Y2" s="220"/>
      <c r="Z2" s="221">
        <v>46266</v>
      </c>
      <c r="AA2" s="222"/>
      <c r="AB2" s="223">
        <v>46296</v>
      </c>
      <c r="AC2" s="224"/>
      <c r="AD2" s="217">
        <v>46327</v>
      </c>
      <c r="AE2" s="218"/>
      <c r="AF2" s="219">
        <v>46357</v>
      </c>
      <c r="AG2" s="220"/>
    </row>
    <row r="3" spans="2:33" ht="31.2" x14ac:dyDescent="0.3">
      <c r="B3" s="16" t="s">
        <v>3</v>
      </c>
      <c r="C3" s="16" t="s">
        <v>6</v>
      </c>
      <c r="D3" s="16" t="s">
        <v>24</v>
      </c>
      <c r="E3" s="16" t="s">
        <v>1</v>
      </c>
      <c r="F3" s="16" t="s">
        <v>25</v>
      </c>
      <c r="G3" s="16" t="s">
        <v>26</v>
      </c>
      <c r="H3" s="16" t="s">
        <v>28</v>
      </c>
      <c r="I3" s="48" t="s">
        <v>27</v>
      </c>
      <c r="J3" s="49" t="s">
        <v>23</v>
      </c>
      <c r="K3" s="13" t="s">
        <v>10</v>
      </c>
      <c r="L3" s="11" t="s">
        <v>23</v>
      </c>
      <c r="M3" s="11" t="s">
        <v>10</v>
      </c>
      <c r="N3" s="14" t="s">
        <v>23</v>
      </c>
      <c r="O3" s="14" t="s">
        <v>10</v>
      </c>
      <c r="P3" s="15" t="s">
        <v>23</v>
      </c>
      <c r="Q3" s="15" t="s">
        <v>10</v>
      </c>
      <c r="R3" s="13" t="s">
        <v>23</v>
      </c>
      <c r="S3" s="13" t="s">
        <v>10</v>
      </c>
      <c r="T3" s="11" t="s">
        <v>23</v>
      </c>
      <c r="U3" s="11" t="s">
        <v>10</v>
      </c>
      <c r="V3" s="14" t="s">
        <v>23</v>
      </c>
      <c r="W3" s="14" t="s">
        <v>10</v>
      </c>
      <c r="X3" s="15" t="s">
        <v>23</v>
      </c>
      <c r="Y3" s="15" t="s">
        <v>10</v>
      </c>
      <c r="Z3" s="13" t="s">
        <v>23</v>
      </c>
      <c r="AA3" s="13" t="s">
        <v>10</v>
      </c>
      <c r="AB3" s="11" t="s">
        <v>23</v>
      </c>
      <c r="AC3" s="11" t="s">
        <v>10</v>
      </c>
      <c r="AD3" s="14" t="s">
        <v>23</v>
      </c>
      <c r="AE3" s="14" t="s">
        <v>10</v>
      </c>
      <c r="AF3" s="15" t="s">
        <v>23</v>
      </c>
      <c r="AG3" s="15" t="s">
        <v>10</v>
      </c>
    </row>
    <row r="4" spans="2:33" x14ac:dyDescent="0.3">
      <c r="B4" s="29">
        <f>ROW()-ROW($B$3)</f>
        <v>1</v>
      </c>
      <c r="C4" s="31">
        <v>1</v>
      </c>
      <c r="D4" s="12" t="s">
        <v>22</v>
      </c>
      <c r="E4" s="18">
        <v>0</v>
      </c>
      <c r="F4" s="18">
        <f>SUM(J4,L4,N4,P4,R4,T4,V4,X4,Z4,AB4,AD4,AF4)</f>
        <v>0</v>
      </c>
      <c r="G4" s="47">
        <f t="shared" ref="G4:G11" si="0">E4-F4</f>
        <v>0</v>
      </c>
      <c r="H4" s="46">
        <f>IFERROR(F4/E4,0)</f>
        <v>0</v>
      </c>
      <c r="I4" s="78" t="str" cm="1">
        <f t="array" ref="I4">IFERROR(LOOKUP(2,1/((MOD(COLUMN($K4:$AG4),2)=1)*($K4:$AG4&lt;&gt;"-")*($K4:$AG4&lt;&gt;"")),$K4:$AG4),"-")</f>
        <v>-</v>
      </c>
      <c r="J4" s="44"/>
      <c r="K4" s="21"/>
      <c r="L4" s="44"/>
      <c r="M4" s="21"/>
      <c r="N4" s="44"/>
      <c r="O4" s="21"/>
      <c r="P4" s="44"/>
      <c r="Q4" s="21"/>
      <c r="R4" s="44"/>
      <c r="S4" s="21"/>
      <c r="T4" s="44"/>
      <c r="U4" s="21"/>
      <c r="V4" s="44"/>
      <c r="W4" s="21"/>
      <c r="X4" s="44"/>
      <c r="Y4" s="21"/>
      <c r="Z4" s="44"/>
      <c r="AA4" s="21"/>
      <c r="AB4" s="44"/>
      <c r="AC4" s="21"/>
      <c r="AD4" s="44"/>
      <c r="AE4" s="21"/>
      <c r="AF4" s="44"/>
      <c r="AG4" s="21"/>
    </row>
    <row r="5" spans="2:33" x14ac:dyDescent="0.3">
      <c r="B5" s="29"/>
      <c r="C5" s="31">
        <v>2</v>
      </c>
      <c r="D5" s="12"/>
      <c r="E5" s="18">
        <v>0</v>
      </c>
      <c r="F5" s="18">
        <f t="shared" ref="F5:F11" si="1">SUM(J5,L5,N5,P5,R5,T5,V5,X5,Z5,AB5,AD5,AF5)</f>
        <v>0</v>
      </c>
      <c r="G5" s="47">
        <f t="shared" si="0"/>
        <v>0</v>
      </c>
      <c r="H5" s="46">
        <f t="shared" ref="H5:H11" si="2">IFERROR(F5/E5,0)</f>
        <v>0</v>
      </c>
      <c r="I5" s="78" t="str" cm="1">
        <f t="array" ref="I5">IFERROR(LOOKUP(2,1/((MOD(COLUMN($K5:$AG5),2)=1)*($K5:$AG5&lt;&gt;"-")*($K5:$AG5&lt;&gt;"")),$K5:$AG5),"-")</f>
        <v>-</v>
      </c>
      <c r="J5" s="44"/>
      <c r="K5" s="21"/>
      <c r="L5" s="44"/>
      <c r="M5" s="21"/>
      <c r="N5" s="44"/>
      <c r="O5" s="21"/>
      <c r="P5" s="44"/>
      <c r="Q5" s="21"/>
      <c r="R5" s="44"/>
      <c r="S5" s="21"/>
      <c r="T5" s="44"/>
      <c r="U5" s="21"/>
      <c r="V5" s="44"/>
      <c r="W5" s="21"/>
      <c r="X5" s="44"/>
      <c r="Y5" s="21"/>
      <c r="Z5" s="44"/>
      <c r="AA5" s="21"/>
      <c r="AB5" s="44"/>
      <c r="AC5" s="21"/>
      <c r="AD5" s="44"/>
      <c r="AE5" s="21"/>
      <c r="AF5" s="44"/>
      <c r="AG5" s="21"/>
    </row>
    <row r="6" spans="2:33" x14ac:dyDescent="0.3">
      <c r="B6" s="29"/>
      <c r="C6" s="31">
        <v>3</v>
      </c>
      <c r="D6" s="12"/>
      <c r="E6" s="18">
        <v>0</v>
      </c>
      <c r="F6" s="18">
        <f t="shared" si="1"/>
        <v>0</v>
      </c>
      <c r="G6" s="47">
        <f t="shared" si="0"/>
        <v>0</v>
      </c>
      <c r="H6" s="46">
        <f t="shared" si="2"/>
        <v>0</v>
      </c>
      <c r="I6" s="78" t="str" cm="1">
        <f t="array" ref="I6">IFERROR(LOOKUP(2,1/((MOD(COLUMN($K6:$AG6),2)=1)*($K6:$AG6&lt;&gt;"-")*($K6:$AG6&lt;&gt;"")),$K6:$AG6),"-")</f>
        <v>-</v>
      </c>
      <c r="J6" s="44"/>
      <c r="K6" s="21"/>
      <c r="L6" s="44"/>
      <c r="M6" s="21"/>
      <c r="N6" s="44"/>
      <c r="O6" s="21"/>
      <c r="P6" s="44"/>
      <c r="Q6" s="21"/>
      <c r="R6" s="44"/>
      <c r="S6" s="21"/>
      <c r="T6" s="44"/>
      <c r="U6" s="21"/>
      <c r="V6" s="44"/>
      <c r="W6" s="21"/>
      <c r="X6" s="44"/>
      <c r="Y6" s="21"/>
      <c r="Z6" s="44"/>
      <c r="AA6" s="21"/>
      <c r="AB6" s="44"/>
      <c r="AC6" s="21"/>
      <c r="AD6" s="44"/>
      <c r="AE6" s="21"/>
      <c r="AF6" s="44"/>
      <c r="AG6" s="21"/>
    </row>
    <row r="7" spans="2:33" x14ac:dyDescent="0.3">
      <c r="B7" s="29"/>
      <c r="C7" s="31">
        <v>4</v>
      </c>
      <c r="D7" s="12"/>
      <c r="E7" s="18">
        <v>0</v>
      </c>
      <c r="F7" s="18">
        <f t="shared" si="1"/>
        <v>0</v>
      </c>
      <c r="G7" s="47">
        <f t="shared" si="0"/>
        <v>0</v>
      </c>
      <c r="H7" s="46">
        <f t="shared" si="2"/>
        <v>0</v>
      </c>
      <c r="I7" s="78" t="str" cm="1">
        <f t="array" ref="I7">IFERROR(LOOKUP(2,1/((MOD(COLUMN($K7:$AG7),2)=1)*($K7:$AG7&lt;&gt;"-")*($K7:$AG7&lt;&gt;"")),$K7:$AG7),"-")</f>
        <v>-</v>
      </c>
      <c r="J7" s="44"/>
      <c r="K7" s="21"/>
      <c r="L7" s="44"/>
      <c r="M7" s="21"/>
      <c r="N7" s="44"/>
      <c r="O7" s="21"/>
      <c r="P7" s="44"/>
      <c r="Q7" s="21"/>
      <c r="R7" s="44"/>
      <c r="S7" s="21"/>
      <c r="T7" s="44"/>
      <c r="U7" s="21"/>
      <c r="V7" s="44"/>
      <c r="W7" s="21"/>
      <c r="X7" s="44"/>
      <c r="Y7" s="21"/>
      <c r="Z7" s="44"/>
      <c r="AA7" s="21"/>
      <c r="AB7" s="44"/>
      <c r="AC7" s="21"/>
      <c r="AD7" s="44"/>
      <c r="AE7" s="21"/>
      <c r="AF7" s="44"/>
      <c r="AG7" s="21"/>
    </row>
    <row r="8" spans="2:33" x14ac:dyDescent="0.3">
      <c r="B8" s="29"/>
      <c r="C8" s="31">
        <v>5</v>
      </c>
      <c r="D8" s="12"/>
      <c r="E8" s="18">
        <v>0</v>
      </c>
      <c r="F8" s="18">
        <f t="shared" si="1"/>
        <v>0</v>
      </c>
      <c r="G8" s="47">
        <f t="shared" si="0"/>
        <v>0</v>
      </c>
      <c r="H8" s="46">
        <f t="shared" si="2"/>
        <v>0</v>
      </c>
      <c r="I8" s="78" t="str" cm="1">
        <f t="array" ref="I8">IFERROR(LOOKUP(2,1/((MOD(COLUMN($K8:$AG8),2)=1)*($K8:$AG8&lt;&gt;"-")*($K8:$AG8&lt;&gt;"")),$K8:$AG8),"-")</f>
        <v>-</v>
      </c>
      <c r="J8" s="44"/>
      <c r="K8" s="21"/>
      <c r="L8" s="44"/>
      <c r="M8" s="21"/>
      <c r="N8" s="44"/>
      <c r="O8" s="21"/>
      <c r="P8" s="44"/>
      <c r="Q8" s="21"/>
      <c r="R8" s="44"/>
      <c r="S8" s="21"/>
      <c r="T8" s="44"/>
      <c r="U8" s="21"/>
      <c r="V8" s="44"/>
      <c r="W8" s="21"/>
      <c r="X8" s="44"/>
      <c r="Y8" s="21"/>
      <c r="Z8" s="44"/>
      <c r="AA8" s="21"/>
      <c r="AB8" s="44"/>
      <c r="AC8" s="21"/>
      <c r="AD8" s="44"/>
      <c r="AE8" s="21"/>
      <c r="AF8" s="44"/>
      <c r="AG8" s="21"/>
    </row>
    <row r="9" spans="2:33" x14ac:dyDescent="0.3">
      <c r="B9" s="29"/>
      <c r="C9" s="31">
        <v>6</v>
      </c>
      <c r="D9" s="12"/>
      <c r="E9" s="18">
        <v>0</v>
      </c>
      <c r="F9" s="18">
        <f t="shared" si="1"/>
        <v>0</v>
      </c>
      <c r="G9" s="47">
        <f t="shared" si="0"/>
        <v>0</v>
      </c>
      <c r="H9" s="46">
        <f t="shared" si="2"/>
        <v>0</v>
      </c>
      <c r="I9" s="78" t="str" cm="1">
        <f t="array" ref="I9">IFERROR(LOOKUP(2,1/((MOD(COLUMN($K9:$AG9),2)=1)*($K9:$AG9&lt;&gt;"-")*($K9:$AG9&lt;&gt;"")),$K9:$AG9),"-")</f>
        <v>-</v>
      </c>
      <c r="J9" s="44"/>
      <c r="K9" s="21"/>
      <c r="L9" s="44"/>
      <c r="M9" s="21"/>
      <c r="N9" s="44"/>
      <c r="O9" s="21"/>
      <c r="P9" s="44"/>
      <c r="Q9" s="21"/>
      <c r="R9" s="44"/>
      <c r="S9" s="21"/>
      <c r="T9" s="44"/>
      <c r="U9" s="21"/>
      <c r="V9" s="44"/>
      <c r="W9" s="21"/>
      <c r="X9" s="44"/>
      <c r="Y9" s="21"/>
      <c r="Z9" s="44"/>
      <c r="AA9" s="21"/>
      <c r="AB9" s="44"/>
      <c r="AC9" s="21"/>
      <c r="AD9" s="44"/>
      <c r="AE9" s="21"/>
      <c r="AF9" s="44"/>
      <c r="AG9" s="21"/>
    </row>
    <row r="10" spans="2:33" x14ac:dyDescent="0.3">
      <c r="B10" s="29"/>
      <c r="C10" s="31">
        <v>7</v>
      </c>
      <c r="D10" s="12"/>
      <c r="E10" s="18">
        <v>0</v>
      </c>
      <c r="F10" s="18">
        <f t="shared" si="1"/>
        <v>0</v>
      </c>
      <c r="G10" s="47">
        <f t="shared" si="0"/>
        <v>0</v>
      </c>
      <c r="H10" s="46">
        <f t="shared" si="2"/>
        <v>0</v>
      </c>
      <c r="I10" s="78" t="str" cm="1">
        <f t="array" ref="I10">IFERROR(LOOKUP(2,1/((MOD(COLUMN($K10:$AG10),2)=1)*($K10:$AG10&lt;&gt;"-")*($K10:$AG10&lt;&gt;"")),$K10:$AG10),"-")</f>
        <v>-</v>
      </c>
      <c r="J10" s="44"/>
      <c r="K10" s="21"/>
      <c r="L10" s="44"/>
      <c r="M10" s="21"/>
      <c r="N10" s="44"/>
      <c r="O10" s="21"/>
      <c r="P10" s="44"/>
      <c r="Q10" s="21"/>
      <c r="R10" s="44"/>
      <c r="S10" s="21"/>
      <c r="T10" s="44"/>
      <c r="U10" s="21"/>
      <c r="V10" s="44"/>
      <c r="W10" s="21"/>
      <c r="X10" s="44"/>
      <c r="Y10" s="21"/>
      <c r="Z10" s="44"/>
      <c r="AA10" s="21"/>
      <c r="AB10" s="44"/>
      <c r="AC10" s="21"/>
      <c r="AD10" s="44"/>
      <c r="AE10" s="21"/>
      <c r="AF10" s="44"/>
      <c r="AG10" s="21"/>
    </row>
    <row r="11" spans="2:33" x14ac:dyDescent="0.3">
      <c r="B11" s="29">
        <f>ROW()-ROW($B$3)</f>
        <v>8</v>
      </c>
      <c r="C11" s="31">
        <v>8</v>
      </c>
      <c r="D11" s="12"/>
      <c r="E11" s="18">
        <v>0</v>
      </c>
      <c r="F11" s="18">
        <f t="shared" si="1"/>
        <v>0</v>
      </c>
      <c r="G11" s="47">
        <f t="shared" si="0"/>
        <v>0</v>
      </c>
      <c r="H11" s="46">
        <f t="shared" si="2"/>
        <v>0</v>
      </c>
      <c r="I11" s="78" t="str" cm="1">
        <f t="array" ref="I11">IFERROR(LOOKUP(2,1/((MOD(COLUMN($K11:$AG11),2)=1)*($K11:$AG11&lt;&gt;"-")*($K11:$AG11&lt;&gt;"")),$K11:$AG11),"-")</f>
        <v>-</v>
      </c>
      <c r="J11" s="44"/>
      <c r="K11" s="21"/>
      <c r="L11" s="44"/>
      <c r="M11" s="21"/>
      <c r="N11" s="44"/>
      <c r="O11" s="21"/>
      <c r="P11" s="44"/>
      <c r="Q11" s="21"/>
      <c r="R11" s="44"/>
      <c r="S11" s="21"/>
      <c r="T11" s="44"/>
      <c r="U11" s="21"/>
      <c r="V11" s="44"/>
      <c r="W11" s="21"/>
      <c r="X11" s="44"/>
      <c r="Y11" s="21"/>
      <c r="Z11" s="44"/>
      <c r="AA11" s="21"/>
      <c r="AB11" s="44"/>
      <c r="AC11" s="21"/>
      <c r="AD11" s="44"/>
      <c r="AE11" s="21"/>
      <c r="AF11" s="44"/>
      <c r="AG11" s="21"/>
    </row>
    <row r="12" spans="2:33" ht="28.8" customHeight="1" x14ac:dyDescent="0.3">
      <c r="B12" s="17"/>
      <c r="C12" s="31"/>
      <c r="D12" s="12"/>
      <c r="E12" s="18"/>
      <c r="F12" s="18"/>
      <c r="G12" s="18"/>
      <c r="H12" s="34"/>
      <c r="I12" s="34"/>
      <c r="J12" s="44"/>
      <c r="K12" s="21"/>
      <c r="L12" s="44"/>
      <c r="M12" s="21"/>
      <c r="N12" s="19"/>
      <c r="O12" s="21"/>
      <c r="P12" s="19"/>
      <c r="Q12" s="21"/>
      <c r="R12" s="19"/>
      <c r="S12" s="21"/>
      <c r="T12" s="19"/>
      <c r="U12" s="20"/>
      <c r="V12" s="19"/>
      <c r="W12" s="20"/>
      <c r="X12" s="19"/>
      <c r="Y12" s="20"/>
      <c r="Z12" s="19"/>
      <c r="AA12" s="20"/>
      <c r="AB12" s="19"/>
      <c r="AC12" s="20"/>
      <c r="AD12" s="19"/>
      <c r="AE12" s="20"/>
      <c r="AF12" s="19"/>
      <c r="AG12" s="20"/>
    </row>
  </sheetData>
  <mergeCells count="13">
    <mergeCell ref="R2:S2"/>
    <mergeCell ref="B2:I2"/>
    <mergeCell ref="J2:K2"/>
    <mergeCell ref="L2:M2"/>
    <mergeCell ref="N2:O2"/>
    <mergeCell ref="P2:Q2"/>
    <mergeCell ref="AF2:AG2"/>
    <mergeCell ref="T2:U2"/>
    <mergeCell ref="V2:W2"/>
    <mergeCell ref="X2:Y2"/>
    <mergeCell ref="Z2:AA2"/>
    <mergeCell ref="AB2:AC2"/>
    <mergeCell ref="AD2:AE2"/>
  </mergeCells>
  <conditionalFormatting sqref="H4:H11">
    <cfRule type="colorScale" priority="16">
      <colorScale>
        <cfvo type="min"/>
        <cfvo type="percentile" val="50"/>
        <cfvo type="max"/>
        <color rgb="FFC00000"/>
        <color rgb="FFFFFF00"/>
        <color rgb="FF92D050"/>
      </colorScale>
    </cfRule>
  </conditionalFormatting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498AB6A-1850-4364-989E-2A06EF59B333}">
            <xm:f>NOT(ISERROR(SEARCH('Tabelas Auxiliares'!$M$8,H12)))</xm:f>
            <xm:f>'Tabelas Auxiliares'!$M$8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2" operator="containsText" id="{15289AA1-E0D8-4B78-96E6-36311A1185D8}">
            <xm:f>NOT(ISERROR(SEARCH('Tabelas Auxiliares'!$M$7,H12)))</xm:f>
            <xm:f>'Tabelas Auxiliares'!$M$7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3" operator="containsText" id="{8395F1FD-6AAD-4AA5-8382-02A9FCF17505}">
            <xm:f>NOT(ISERROR(SEARCH('Tabelas Auxiliares'!$M$6,H12)))</xm:f>
            <xm:f>'Tabelas Auxiliares'!$M$6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4" operator="containsText" id="{8AF0443B-19BB-4898-A9FA-84DE260AE6F3}">
            <xm:f>NOT(ISERROR(SEARCH('Tabelas Auxiliares'!$M$5,H12)))</xm:f>
            <xm:f>'Tabelas Auxiliares'!$M$5</xm:f>
            <x14:dxf>
              <fill>
                <patternFill>
                  <fgColor rgb="FF00B0F0"/>
                  <bgColor rgb="FF00B0F0"/>
                </patternFill>
              </fill>
            </x14:dxf>
          </x14:cfRule>
          <x14:cfRule type="containsText" priority="5" operator="containsText" id="{ADC71448-B4D3-4C29-941B-0E8E2049C9E6}">
            <xm:f>NOT(ISERROR(SEARCH('Tabelas Auxiliares'!$M$4,H12)))</xm:f>
            <xm:f>'Tabelas Auxiliares'!$M$4</xm:f>
            <x14:dxf>
              <fill>
                <patternFill patternType="solid">
                  <fgColor auto="1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6" operator="containsText" id="{6D52F35F-E73C-49F4-BA65-F2A954CDA700}">
            <xm:f>NOT(ISERROR(SEARCH('Tabelas Auxiliares'!$M$8,I4)))</xm:f>
            <xm:f>'Tabelas Auxiliares'!$M$8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7" operator="containsText" id="{15899456-A934-4C86-9AAD-0CE1D3136B81}">
            <xm:f>NOT(ISERROR(SEARCH('Tabelas Auxiliares'!$M$7,I4)))</xm:f>
            <xm:f>'Tabelas Auxiliares'!$M$7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8" operator="containsText" id="{C6452BC9-46EB-42C2-B392-A026DF1AC54B}">
            <xm:f>NOT(ISERROR(SEARCH('Tabelas Auxiliares'!$M$6,I4)))</xm:f>
            <xm:f>'Tabelas Auxiliares'!$M$6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9" operator="containsText" id="{47BC91FE-FDCF-4FBD-B444-8707771C9F9C}">
            <xm:f>NOT(ISERROR(SEARCH('Tabelas Auxiliares'!$M$5,I4)))</xm:f>
            <xm:f>'Tabelas Auxiliares'!$M$5</xm:f>
            <x14:dxf>
              <fill>
                <patternFill>
                  <fgColor rgb="FF00B0F0"/>
                  <bgColor rgb="FF00B0F0"/>
                </patternFill>
              </fill>
            </x14:dxf>
          </x14:cfRule>
          <x14:cfRule type="containsText" priority="10" operator="containsText" id="{3E7C0D60-69A4-4F90-8CA6-BC7CC466C702}">
            <xm:f>NOT(ISERROR(SEARCH('Tabelas Auxiliares'!$M$4,I4)))</xm:f>
            <xm:f>'Tabelas Auxiliares'!$M$4</xm:f>
            <x14:dxf>
              <fill>
                <patternFill patternType="solid">
                  <fgColor auto="1"/>
                </patternFill>
              </fill>
            </x14:dxf>
          </x14:cfRule>
          <x14:cfRule type="containsText" priority="17" operator="containsText" id="{FA09AFE5-8896-4216-8FFF-BBC103D06B34}">
            <xm:f>NOT(ISERROR(SEARCH('Tabelas Auxiliares'!$M$10,I4)))</xm:f>
            <xm:f>'Tabelas Auxiliares'!$M$10</xm:f>
            <x14:dxf>
              <font>
                <color rgb="FFFFFFFF"/>
              </font>
              <fill>
                <patternFill patternType="solid">
                  <fgColor indexed="64"/>
                  <bgColor rgb="FFED7D31"/>
                </patternFill>
              </fill>
            </x14:dxf>
          </x14:cfRule>
          <xm:sqref>I4:I12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1FDB7E8-A432-49FA-B54C-34E56BC97F7B}">
          <x14:formula1>
            <xm:f>'Tabelas Auxiliares'!$M$4:$M$11</xm:f>
          </x14:formula1>
          <xm:sqref>K4:K12 S4:S12 O4:O12 AG4:AG12 AE4:AE12 AA4:AA12 Y4:Y12 W4:W12 U4:U12 Q4:Q12 AC4:AC12 M4:M12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A6D2-CFB5-489B-89A3-813950E2228A}">
  <sheetPr codeName="Planilha12"/>
  <dimension ref="A1:N13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9" sqref="G9"/>
    </sheetView>
  </sheetViews>
  <sheetFormatPr defaultRowHeight="15.6" x14ac:dyDescent="0.3"/>
  <cols>
    <col min="1" max="1" width="3.796875" customWidth="1"/>
    <col min="2" max="2" width="9.765625E-2" customWidth="1"/>
    <col min="3" max="3" width="10.19921875" customWidth="1"/>
    <col min="4" max="4" width="17.09765625" customWidth="1"/>
    <col min="5" max="5" width="9.3984375" customWidth="1"/>
    <col min="6" max="6" width="12.19921875" bestFit="1" customWidth="1"/>
    <col min="7" max="7" width="18.796875" customWidth="1"/>
    <col min="8" max="8" width="10.8984375" customWidth="1"/>
    <col min="9" max="9" width="53.69921875" customWidth="1"/>
    <col min="10" max="10" width="30.09765625" customWidth="1"/>
    <col min="11" max="11" width="17.5" bestFit="1" customWidth="1"/>
    <col min="12" max="12" width="16" bestFit="1" customWidth="1"/>
    <col min="13" max="13" width="68.59765625" customWidth="1"/>
  </cols>
  <sheetData>
    <row r="1" spans="1:14" ht="16.2" thickBot="1" x14ac:dyDescent="0.35"/>
    <row r="2" spans="1:14" ht="58.2" customHeight="1" thickBot="1" x14ac:dyDescent="0.35">
      <c r="B2" s="302" t="s">
        <v>186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4"/>
    </row>
    <row r="3" spans="1:14" ht="62.4" customHeight="1" thickBot="1" x14ac:dyDescent="0.4">
      <c r="A3" s="1"/>
      <c r="B3" s="23" t="s">
        <v>3</v>
      </c>
      <c r="C3" s="24" t="s">
        <v>4</v>
      </c>
      <c r="D3" s="24" t="s">
        <v>5</v>
      </c>
      <c r="E3" s="24" t="s">
        <v>6</v>
      </c>
      <c r="F3" s="24" t="s">
        <v>7</v>
      </c>
      <c r="G3" s="24" t="s">
        <v>24</v>
      </c>
      <c r="H3" s="24" t="s">
        <v>8</v>
      </c>
      <c r="I3" s="24" t="s">
        <v>0</v>
      </c>
      <c r="J3" s="24" t="s">
        <v>9</v>
      </c>
      <c r="K3" s="24" t="s">
        <v>1</v>
      </c>
      <c r="L3" s="24" t="s">
        <v>10</v>
      </c>
      <c r="M3" s="22" t="s">
        <v>29</v>
      </c>
      <c r="N3" s="2"/>
    </row>
    <row r="4" spans="1:14" ht="46.8" x14ac:dyDescent="0.35">
      <c r="A4" s="1"/>
      <c r="B4" s="28">
        <f>'REGIÃO 24 - HISTÓRICO'!B4</f>
        <v>1</v>
      </c>
      <c r="C4" s="76" t="s">
        <v>168</v>
      </c>
      <c r="D4" s="26" t="str">
        <f>_xlfn.XLOOKUP(tbResumoR24[[#This Row],[REGIÃO]],tbRegioes[Código Região],tbRegioes[Contrato],"")</f>
        <v>041.2025</v>
      </c>
      <c r="E4" s="25">
        <f>'REGIÃO 24 - HISTÓRICO'!C4</f>
        <v>1</v>
      </c>
      <c r="F4" s="74" t="s">
        <v>620</v>
      </c>
      <c r="G4" s="187" t="str">
        <f>'REGIÃO 24 - HISTÓRICO'!D4</f>
        <v>ago/set</v>
      </c>
      <c r="H4" s="8">
        <v>259</v>
      </c>
      <c r="I4" s="72" t="str">
        <f>IF(tbResumoR24[[#This Row],[N° TRECHO]]="","",IFERROR(INDEX('REGIÃO 11 - TRECHOS'!$F$4:$F$119,MATCH(tbResumoR24[[#This Row],[N° TRECHO]],'REGIÃO 11 - TRECHOS'!$E$4:$E$119,0)),IFERROR(INDEX('REGIÃO 12 - TRECHOS'!$F$4:$F$76,MATCH(tbResumoR24[[#This Row],[N° TRECHO]],'REGIÃO 12 - TRECHOS'!$E$4:$E$76,0)),IFERROR(INDEX('REGIÃO 13 - TRECHOS'!$F$4:$F$53,MATCH(tbResumoR24[[#This Row],[N° TRECHO]],'REGIÃO 13 - TRECHOS'!$E$4:$E$53,0)),"Trecho não cadastrado"))))</f>
        <v>RODOVIA TO-110 - TRECHO TAGUATINGA - AURORA DO TOCANTINS</v>
      </c>
      <c r="J4" s="74" t="s">
        <v>663</v>
      </c>
      <c r="K4" s="9">
        <f>'REGIÃO 24 - HISTÓRICO'!E4</f>
        <v>3184726.38</v>
      </c>
      <c r="L4" s="8" t="str">
        <f>'REGIÃO 24 - HISTÓRICO'!I4</f>
        <v>Concluída</v>
      </c>
      <c r="M4" s="33"/>
      <c r="N4" s="2"/>
    </row>
    <row r="5" spans="1:14" ht="46.8" x14ac:dyDescent="0.35">
      <c r="A5" s="1"/>
      <c r="B5" s="32">
        <f>'REGIÃO 24 - HISTÓRICO'!B5</f>
        <v>2</v>
      </c>
      <c r="C5" s="76" t="s">
        <v>168</v>
      </c>
      <c r="D5" s="88" t="str">
        <f>_xlfn.XLOOKUP(tbResumoR24[[#This Row],[REGIÃO]],tbRegioes[Código Região],tbRegioes[Contrato],"")</f>
        <v>041.2025</v>
      </c>
      <c r="E5" s="25">
        <f>'REGIÃO 24 - HISTÓRICO'!C5</f>
        <v>2</v>
      </c>
      <c r="F5" s="74" t="s">
        <v>620</v>
      </c>
      <c r="G5" s="187" t="str">
        <f>'REGIÃO 24 - HISTÓRICO'!D5</f>
        <v>ago/set/out</v>
      </c>
      <c r="H5" s="8">
        <v>254</v>
      </c>
      <c r="I5" s="72" t="str">
        <f>IF(tbResumoR24[[#This Row],[N° TRECHO]]="","",IFERROR(INDEX('REGIÃO 11 - TRECHOS'!$F$4:$F$119,MATCH(tbResumoR24[[#This Row],[N° TRECHO]],'REGIÃO 11 - TRECHOS'!$E$4:$E$119,0)),IFERROR(INDEX('REGIÃO 12 - TRECHOS'!$F$4:$F$76,MATCH(tbResumoR24[[#This Row],[N° TRECHO]],'REGIÃO 12 - TRECHOS'!$E$4:$E$76,0)),IFERROR(INDEX('REGIÃO 13 - TRECHOS'!$F$4:$F$53,MATCH(tbResumoR24[[#This Row],[N° TRECHO]],'REGIÃO 13 - TRECHOS'!$E$4:$E$53,0)),"Trecho não cadastrado"))))</f>
        <v>RODOVIA TO-110 - TRECHO COMBINADO - NOVO ALEGRE - DIVISA TO-GO</v>
      </c>
      <c r="J5" s="74" t="s">
        <v>663</v>
      </c>
      <c r="K5" s="9">
        <f>'REGIÃO 24 - HISTÓRICO'!E5</f>
        <v>2346786.85</v>
      </c>
      <c r="L5" s="8" t="str">
        <f>'REGIÃO 24 - HISTÓRICO'!I5</f>
        <v>Concluída</v>
      </c>
      <c r="M5" s="188"/>
      <c r="N5" s="2"/>
    </row>
    <row r="6" spans="1:14" ht="46.8" x14ac:dyDescent="0.3">
      <c r="B6" s="32">
        <f>'REGIÃO 24 - HISTÓRICO'!B6</f>
        <v>3</v>
      </c>
      <c r="C6" s="76" t="s">
        <v>168</v>
      </c>
      <c r="D6" s="88" t="str">
        <f>_xlfn.XLOOKUP(tbResumoR24[[#This Row],[REGIÃO]],tbRegioes[Código Região],tbRegioes[Contrato],"")</f>
        <v>041.2025</v>
      </c>
      <c r="E6" s="25">
        <f>'REGIÃO 24 - HISTÓRICO'!C6</f>
        <v>3</v>
      </c>
      <c r="F6" s="74" t="s">
        <v>622</v>
      </c>
      <c r="G6" s="187" t="str">
        <f>'REGIÃO 24 - HISTÓRICO'!D6</f>
        <v>set/out/nov</v>
      </c>
      <c r="H6" s="8">
        <v>253</v>
      </c>
      <c r="I6" s="72" t="str">
        <f>IF(tbResumoR24[[#This Row],[N° TRECHO]]="","",IFERROR(INDEX('REGIÃO 11 - TRECHOS'!$F$4:$F$119,MATCH(tbResumoR24[[#This Row],[N° TRECHO]],'REGIÃO 11 - TRECHOS'!$E$4:$E$119,0)),IFERROR(INDEX('REGIÃO 12 - TRECHOS'!$F$4:$F$76,MATCH(tbResumoR24[[#This Row],[N° TRECHO]],'REGIÃO 12 - TRECHOS'!$E$4:$E$76,0)),IFERROR(INDEX('REGIÃO 13 - TRECHOS'!$F$4:$F$53,MATCH(tbResumoR24[[#This Row],[N° TRECHO]],'REGIÃO 13 - TRECHOS'!$E$4:$E$53,0)),"Trecho não cadastrado"))))</f>
        <v>RODOVIA TO-110 - TRECHO AURORA DO TOCANTINS - LAVANDEIRA</v>
      </c>
      <c r="J6" s="74" t="s">
        <v>663</v>
      </c>
      <c r="K6" s="9">
        <f>'REGIÃO 24 - HISTÓRICO'!E6</f>
        <v>1779597.57</v>
      </c>
      <c r="L6" s="8" t="str">
        <f>'REGIÃO 24 - HISTÓRICO'!I6</f>
        <v>Concluída</v>
      </c>
      <c r="M6" s="188"/>
    </row>
    <row r="7" spans="1:14" ht="46.8" x14ac:dyDescent="0.3">
      <c r="B7" s="32">
        <f>'REGIÃO 24 - HISTÓRICO'!B7</f>
        <v>4</v>
      </c>
      <c r="C7" s="76" t="s">
        <v>168</v>
      </c>
      <c r="D7" s="88" t="str">
        <f>_xlfn.XLOOKUP(tbResumoR24[[#This Row],[REGIÃO]],tbRegioes[Código Região],tbRegioes[Contrato],"")</f>
        <v>041.2025</v>
      </c>
      <c r="E7" s="25">
        <f>'REGIÃO 24 - HISTÓRICO'!C7</f>
        <v>4</v>
      </c>
      <c r="F7" s="74" t="s">
        <v>620</v>
      </c>
      <c r="G7" s="187" t="str">
        <f>'REGIÃO 24 - HISTÓRICO'!D7</f>
        <v>ago/set/out</v>
      </c>
      <c r="H7" s="8">
        <v>256</v>
      </c>
      <c r="I7" s="332" t="str">
        <f>IF(tbResumoR24[[#This Row],[N° TRECHO]]="","",IFERROR(INDEX('REGIÃO 11 - TRECHOS'!$F$4:$F$119,MATCH(tbResumoR24[[#This Row],[N° TRECHO]],'REGIÃO 11 - TRECHOS'!$E$4:$E$119,0)),IFERROR(INDEX('REGIÃO 12 - TRECHOS'!$F$4:$F$76,MATCH(tbResumoR24[[#This Row],[N° TRECHO]],'REGIÃO 12 - TRECHOS'!$E$4:$E$76,0)),IFERROR(INDEX('REGIÃO 13 - TRECHOS'!$F$4:$F$53,MATCH(tbResumoR24[[#This Row],[N° TRECHO]],'REGIÃO 13 - TRECHOS'!$E$4:$E$53,0)),"Trecho não cadastrado"))))</f>
        <v>RODOVIA TO-110 - TRECHO ENTR. TO-040 - PONTE ALTA DO BOM JESUS</v>
      </c>
      <c r="J7" s="74" t="s">
        <v>663</v>
      </c>
      <c r="K7" s="9">
        <f>'REGIÃO 24 - HISTÓRICO'!E7</f>
        <v>1496430.79</v>
      </c>
      <c r="L7" s="8" t="str">
        <f>'REGIÃO 24 - HISTÓRICO'!I7</f>
        <v>Concluída</v>
      </c>
      <c r="M7" s="188"/>
    </row>
    <row r="8" spans="1:14" ht="46.8" x14ac:dyDescent="0.3">
      <c r="B8" s="32">
        <f>'REGIÃO 24 - HISTÓRICO'!B8</f>
        <v>5</v>
      </c>
      <c r="C8" s="76" t="s">
        <v>168</v>
      </c>
      <c r="D8" s="88" t="str">
        <f>_xlfn.XLOOKUP(tbResumoR24[[#This Row],[REGIÃO]],tbRegioes[Código Região],tbRegioes[Contrato],"")</f>
        <v>041.2025</v>
      </c>
      <c r="E8" s="25">
        <f>'REGIÃO 24 - HISTÓRICO'!C8</f>
        <v>5</v>
      </c>
      <c r="F8" s="74" t="s">
        <v>622</v>
      </c>
      <c r="G8" s="187" t="str">
        <f>'REGIÃO 24 - HISTÓRICO'!D8</f>
        <v>set/out</v>
      </c>
      <c r="H8" s="8">
        <v>254</v>
      </c>
      <c r="I8" s="332" t="str">
        <f>IF(tbResumoR24[[#This Row],[N° TRECHO]]="","",IFERROR(INDEX('REGIÃO 11 - TRECHOS'!$F$4:$F$119,MATCH(tbResumoR24[[#This Row],[N° TRECHO]],'REGIÃO 11 - TRECHOS'!$E$4:$E$119,0)),IFERROR(INDEX('REGIÃO 12 - TRECHOS'!$F$4:$F$76,MATCH(tbResumoR24[[#This Row],[N° TRECHO]],'REGIÃO 12 - TRECHOS'!$E$4:$E$76,0)),IFERROR(INDEX('REGIÃO 13 - TRECHOS'!$F$4:$F$53,MATCH(tbResumoR24[[#This Row],[N° TRECHO]],'REGIÃO 13 - TRECHOS'!$E$4:$E$53,0)),"Trecho não cadastrado"))))</f>
        <v>RODOVIA TO-110 - TRECHO COMBINADO - NOVO ALEGRE - DIVISA TO-GO</v>
      </c>
      <c r="J8" s="74" t="s">
        <v>663</v>
      </c>
      <c r="K8" s="9">
        <f>'REGIÃO 24 - HISTÓRICO'!E8</f>
        <v>6195938.1799999997</v>
      </c>
      <c r="L8" s="8" t="str">
        <f>'REGIÃO 24 - HISTÓRICO'!I8</f>
        <v>Em andamento</v>
      </c>
      <c r="M8" s="188"/>
    </row>
    <row r="9" spans="1:14" ht="46.8" x14ac:dyDescent="0.3">
      <c r="B9" s="32">
        <f>'REGIÃO 24 - HISTÓRICO'!B9</f>
        <v>6</v>
      </c>
      <c r="C9" s="76" t="s">
        <v>168</v>
      </c>
      <c r="D9" s="88" t="str">
        <f>_xlfn.XLOOKUP(tbResumoR24[[#This Row],[REGIÃO]],tbRegioes[Código Região],tbRegioes[Contrato],"")</f>
        <v>041.2025</v>
      </c>
      <c r="E9" s="25">
        <f>'REGIÃO 24 - HISTÓRICO'!C9</f>
        <v>6</v>
      </c>
      <c r="F9" s="74" t="s">
        <v>622</v>
      </c>
      <c r="G9" s="187" t="str">
        <f>'REGIÃO 24 - HISTÓRICO'!D9</f>
        <v>set</v>
      </c>
      <c r="H9" s="8">
        <v>259</v>
      </c>
      <c r="I9" s="332" t="str">
        <f>IF(tbResumoR24[[#This Row],[N° TRECHO]]="","",IFERROR(INDEX('REGIÃO 11 - TRECHOS'!$F$4:$F$119,MATCH(tbResumoR24[[#This Row],[N° TRECHO]],'REGIÃO 11 - TRECHOS'!$E$4:$E$119,0)),IFERROR(INDEX('REGIÃO 12 - TRECHOS'!$F$4:$F$76,MATCH(tbResumoR24[[#This Row],[N° TRECHO]],'REGIÃO 12 - TRECHOS'!$E$4:$E$76,0)),IFERROR(INDEX('REGIÃO 13 - TRECHOS'!$F$4:$F$53,MATCH(tbResumoR24[[#This Row],[N° TRECHO]],'REGIÃO 13 - TRECHOS'!$E$4:$E$53,0)),"Trecho não cadastrado"))))</f>
        <v>RODOVIA TO-110 - TRECHO TAGUATINGA - AURORA DO TOCANTINS</v>
      </c>
      <c r="J9" s="74" t="s">
        <v>663</v>
      </c>
      <c r="K9" s="9">
        <f>'REGIÃO 24 - HISTÓRICO'!E9</f>
        <v>208176.32</v>
      </c>
      <c r="L9" s="8" t="str">
        <f>'REGIÃO 24 - HISTÓRICO'!I9</f>
        <v>Em elaboração</v>
      </c>
      <c r="M9" s="188"/>
    </row>
    <row r="10" spans="1:14" x14ac:dyDescent="0.3">
      <c r="B10" s="32">
        <f>'REGIÃO 24 - HISTÓRICO'!B10</f>
        <v>0</v>
      </c>
      <c r="C10" s="189"/>
      <c r="D10" s="88" t="str">
        <f>_xlfn.XLOOKUP(tbResumoR24[[#This Row],[REGIÃO]],tbRegioes[Código Região],tbRegioes[Contrato],"")</f>
        <v/>
      </c>
      <c r="E10" s="25"/>
      <c r="F10" s="191"/>
      <c r="G10" s="187"/>
      <c r="H10" s="8"/>
      <c r="I10" s="332"/>
      <c r="J10" s="74"/>
      <c r="K10" s="9"/>
      <c r="L10" s="333"/>
      <c r="M10" s="188"/>
    </row>
    <row r="11" spans="1:14" x14ac:dyDescent="0.3">
      <c r="B11" s="32">
        <f>'REGIÃO 24 - HISTÓRICO'!B7</f>
        <v>4</v>
      </c>
      <c r="C11" s="189"/>
      <c r="D11" s="88" t="str">
        <f>_xlfn.XLOOKUP(tbResumoR24[[#This Row],[REGIÃO]],tbRegioes[Código Região],tbRegioes[Contrato],"")</f>
        <v/>
      </c>
      <c r="E11" s="25"/>
      <c r="F11" s="191"/>
      <c r="G11" s="187"/>
      <c r="H11" s="8"/>
      <c r="I11" s="332"/>
      <c r="J11" s="74"/>
      <c r="K11" s="9"/>
      <c r="L11" s="333"/>
      <c r="M11" s="188"/>
    </row>
    <row r="12" spans="1:14" x14ac:dyDescent="0.3">
      <c r="B12" s="28">
        <f>'REGIÃO 24 - HISTÓRICO'!B14</f>
        <v>11</v>
      </c>
      <c r="C12" s="76"/>
      <c r="D12" s="26" t="str">
        <f>_xlfn.XLOOKUP(tbResumoR24[[#This Row],[REGIÃO]],tbRegioes[Código Região],tbRegioes[Contrato],"")</f>
        <v/>
      </c>
      <c r="E12" s="25"/>
      <c r="F12" s="77"/>
      <c r="G12" s="187"/>
      <c r="H12" s="8"/>
      <c r="I12" s="72" t="str">
        <f>IF(tbResumoR24[[#This Row],[N° TRECHO]]="","",IFERROR(INDEX('REGIÃO 11 - TRECHOS'!$F$4:$F$119,MATCH(tbResumoR24[[#This Row],[N° TRECHO]],'REGIÃO 11 - TRECHOS'!$E$4:$E$119,0)),IFERROR(INDEX('REGIÃO 12 - TRECHOS'!$F$4:$F$76,MATCH(tbResumoR24[[#This Row],[N° TRECHO]],'REGIÃO 12 - TRECHOS'!$E$4:$E$76,0)),IFERROR(INDEX('REGIÃO 13 - TRECHOS'!$F$4:$F$53,MATCH(tbResumoR24[[#This Row],[N° TRECHO]],'REGIÃO 13 - TRECHOS'!$E$4:$E$53,0)),"Trecho não cadastrado"))))</f>
        <v/>
      </c>
      <c r="J12" s="74"/>
      <c r="K12" s="9"/>
      <c r="L12" s="8"/>
      <c r="M12" s="188"/>
    </row>
    <row r="13" spans="1:14" x14ac:dyDescent="0.3">
      <c r="B13" s="10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</row>
  </sheetData>
  <sheetProtection formatCells="0" formatColumns="0" formatRows="0" insertColumns="0" insertRows="0" insertHyperlinks="0" deleteColumns="0" deleteRows="0" sort="0" autoFilter="0" pivotTables="0"/>
  <mergeCells count="2">
    <mergeCell ref="B2:M2"/>
    <mergeCell ref="C13:M13"/>
  </mergeCells>
  <phoneticPr fontId="3" type="noConversion"/>
  <dataValidations count="1">
    <dataValidation allowBlank="1" showInputMessage="1" showErrorMessage="1" sqref="D4:D12" xr:uid="{2E43EA06-856D-4A61-8FD2-4B93C8B52E78}"/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85AD85A-B8BD-4063-A828-C73C7689708D}">
          <x14:formula1>
            <xm:f>'Tabelas Auxiliares'!$M$4:$M$11</xm:f>
          </x14:formula1>
          <xm:sqref>L4:L11</xm:sqref>
        </x14:dataValidation>
        <x14:dataValidation type="list" allowBlank="1" showInputMessage="1" showErrorMessage="1" xr:uid="{865EAE82-4007-4141-804F-A65D113994DB}">
          <x14:formula1>
            <xm:f>'Tabelas Auxiliares'!$B$4:$B$9</xm:f>
          </x14:formula1>
          <xm:sqref>C4:C12</xm:sqref>
        </x14:dataValidation>
        <x14:dataValidation type="list" allowBlank="1" showInputMessage="1" showErrorMessage="1" xr:uid="{444853BD-22FF-4572-814E-1E9D1A342140}">
          <x14:formula1>
            <xm:f>'Tabelas Auxiliares'!$K$3:$K$33</xm:f>
          </x14:formula1>
          <xm:sqref>J4:J12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0593-BE36-4907-9326-763AFA6243F7}">
  <sheetPr codeName="Planilha13"/>
  <dimension ref="B2:AG15"/>
  <sheetViews>
    <sheetView zoomScaleNormal="100" workbookViewId="0">
      <pane xSplit="9" ySplit="3" topLeftCell="V4" activePane="bottomRight" state="frozen"/>
      <selection pane="topRight" activeCell="J1" sqref="J1"/>
      <selection pane="bottomLeft" activeCell="A4" sqref="A4"/>
      <selection pane="bottomRight" activeCell="V11" sqref="V11"/>
    </sheetView>
  </sheetViews>
  <sheetFormatPr defaultRowHeight="15.6" x14ac:dyDescent="0.3"/>
  <cols>
    <col min="1" max="1" width="3" customWidth="1"/>
    <col min="2" max="2" width="4.19921875" style="10" hidden="1" customWidth="1"/>
    <col min="3" max="3" width="11.69921875" style="10" customWidth="1"/>
    <col min="4" max="4" width="20" style="10" customWidth="1"/>
    <col min="5" max="7" width="22.5" customWidth="1"/>
    <col min="8" max="8" width="14.8984375" customWidth="1"/>
    <col min="9" max="9" width="22.5" style="35" customWidth="1"/>
    <col min="10" max="10" width="15.8984375" style="45" customWidth="1"/>
    <col min="11" max="11" width="14.69921875" style="10" customWidth="1"/>
    <col min="12" max="12" width="15.5" style="45" customWidth="1"/>
    <col min="13" max="13" width="14.796875" style="10" customWidth="1"/>
    <col min="14" max="14" width="15.59765625" customWidth="1"/>
    <col min="15" max="15" width="14.69921875" style="10" customWidth="1"/>
    <col min="16" max="16" width="15.59765625" customWidth="1"/>
    <col min="17" max="17" width="14.69921875" customWidth="1"/>
    <col min="18" max="18" width="15.59765625" customWidth="1"/>
    <col min="19" max="19" width="14.69921875" customWidth="1"/>
    <col min="20" max="20" width="15.59765625" customWidth="1"/>
    <col min="21" max="21" width="14.69921875" customWidth="1"/>
    <col min="22" max="22" width="15.59765625" customWidth="1"/>
    <col min="23" max="23" width="14.69921875" customWidth="1"/>
    <col min="24" max="24" width="15.59765625" customWidth="1"/>
    <col min="25" max="25" width="14.69921875" customWidth="1"/>
    <col min="26" max="26" width="15.59765625" customWidth="1"/>
    <col min="27" max="27" width="14.69921875" customWidth="1"/>
    <col min="28" max="28" width="15.59765625" customWidth="1"/>
    <col min="29" max="29" width="14.69921875" customWidth="1"/>
    <col min="30" max="30" width="15.59765625" customWidth="1"/>
    <col min="31" max="31" width="14.69921875" customWidth="1"/>
    <col min="32" max="32" width="15.59765625" customWidth="1"/>
    <col min="33" max="33" width="14.69921875" customWidth="1"/>
  </cols>
  <sheetData>
    <row r="2" spans="2:33" ht="30.6" customHeight="1" x14ac:dyDescent="0.3">
      <c r="B2" s="215" t="s">
        <v>186</v>
      </c>
      <c r="C2" s="216"/>
      <c r="D2" s="216"/>
      <c r="E2" s="216"/>
      <c r="F2" s="216"/>
      <c r="G2" s="216"/>
      <c r="H2" s="216"/>
      <c r="I2" s="216"/>
      <c r="J2" s="221">
        <v>46023</v>
      </c>
      <c r="K2" s="222"/>
      <c r="L2" s="223">
        <v>46054</v>
      </c>
      <c r="M2" s="224"/>
      <c r="N2" s="217">
        <v>46082</v>
      </c>
      <c r="O2" s="218"/>
      <c r="P2" s="219">
        <v>46113</v>
      </c>
      <c r="Q2" s="220"/>
      <c r="R2" s="221">
        <v>46143</v>
      </c>
      <c r="S2" s="222"/>
      <c r="T2" s="223">
        <v>46174</v>
      </c>
      <c r="U2" s="224"/>
      <c r="V2" s="217">
        <v>46204</v>
      </c>
      <c r="W2" s="218"/>
      <c r="X2" s="219">
        <v>46235</v>
      </c>
      <c r="Y2" s="220"/>
      <c r="Z2" s="221">
        <v>46266</v>
      </c>
      <c r="AA2" s="222"/>
      <c r="AB2" s="223">
        <v>46296</v>
      </c>
      <c r="AC2" s="224"/>
      <c r="AD2" s="217">
        <v>46327</v>
      </c>
      <c r="AE2" s="218"/>
      <c r="AF2" s="219">
        <v>46357</v>
      </c>
      <c r="AG2" s="220"/>
    </row>
    <row r="3" spans="2:33" ht="31.2" x14ac:dyDescent="0.3">
      <c r="B3" s="16" t="s">
        <v>3</v>
      </c>
      <c r="C3" s="16" t="s">
        <v>6</v>
      </c>
      <c r="D3" s="16" t="s">
        <v>24</v>
      </c>
      <c r="E3" s="16" t="s">
        <v>1</v>
      </c>
      <c r="F3" s="16" t="s">
        <v>25</v>
      </c>
      <c r="G3" s="16" t="s">
        <v>26</v>
      </c>
      <c r="H3" s="16" t="s">
        <v>28</v>
      </c>
      <c r="I3" s="48" t="s">
        <v>27</v>
      </c>
      <c r="J3" s="49" t="s">
        <v>23</v>
      </c>
      <c r="K3" s="13" t="s">
        <v>10</v>
      </c>
      <c r="L3" s="11" t="s">
        <v>23</v>
      </c>
      <c r="M3" s="11" t="s">
        <v>10</v>
      </c>
      <c r="N3" s="14" t="s">
        <v>23</v>
      </c>
      <c r="O3" s="14" t="s">
        <v>10</v>
      </c>
      <c r="P3" s="15" t="s">
        <v>23</v>
      </c>
      <c r="Q3" s="15" t="s">
        <v>10</v>
      </c>
      <c r="R3" s="13" t="s">
        <v>23</v>
      </c>
      <c r="S3" s="13" t="s">
        <v>10</v>
      </c>
      <c r="T3" s="11" t="s">
        <v>23</v>
      </c>
      <c r="U3" s="11" t="s">
        <v>10</v>
      </c>
      <c r="V3" s="14" t="s">
        <v>23</v>
      </c>
      <c r="W3" s="14" t="s">
        <v>10</v>
      </c>
      <c r="X3" s="15" t="s">
        <v>23</v>
      </c>
      <c r="Y3" s="15" t="s">
        <v>10</v>
      </c>
      <c r="Z3" s="13" t="s">
        <v>23</v>
      </c>
      <c r="AA3" s="13" t="s">
        <v>10</v>
      </c>
      <c r="AB3" s="11" t="s">
        <v>23</v>
      </c>
      <c r="AC3" s="11" t="s">
        <v>10</v>
      </c>
      <c r="AD3" s="14" t="s">
        <v>23</v>
      </c>
      <c r="AE3" s="14" t="s">
        <v>10</v>
      </c>
      <c r="AF3" s="15" t="s">
        <v>23</v>
      </c>
      <c r="AG3" s="15" t="s">
        <v>10</v>
      </c>
    </row>
    <row r="4" spans="2:33" x14ac:dyDescent="0.3">
      <c r="B4" s="29">
        <f>ROW()-ROW($B$3)</f>
        <v>1</v>
      </c>
      <c r="C4" s="31">
        <v>1</v>
      </c>
      <c r="D4" s="12" t="s">
        <v>625</v>
      </c>
      <c r="E4" s="18">
        <v>3184726.38</v>
      </c>
      <c r="F4" s="18">
        <f>SUM(J4,L4,N4,P4,R4,T4,V4,X4,Z4,AB4,AD4,AF4)</f>
        <v>3184363.95</v>
      </c>
      <c r="G4" s="47">
        <f>E4-F4</f>
        <v>362.42999999970198</v>
      </c>
      <c r="H4" s="46">
        <f>IFERROR(F4/E4,0)</f>
        <v>0.99988619744469232</v>
      </c>
      <c r="I4" s="78" t="str" cm="1">
        <f t="array" ref="I4">IFERROR(LOOKUP(2,1/((MOD(COLUMN($K4:$AG4),2)=1)*($K4:$AG4&lt;&gt;"-")*($K4:$AG4&lt;&gt;"")),$K4:$AG4),"-")</f>
        <v>Concluída</v>
      </c>
      <c r="J4" s="44"/>
      <c r="K4" s="21"/>
      <c r="L4" s="44"/>
      <c r="M4" s="21"/>
      <c r="N4" s="44"/>
      <c r="O4" s="21"/>
      <c r="P4" s="44"/>
      <c r="Q4" s="21"/>
      <c r="R4" s="44"/>
      <c r="S4" s="21"/>
      <c r="T4" s="44"/>
      <c r="U4" s="21"/>
      <c r="V4" s="44"/>
      <c r="W4" s="21"/>
      <c r="X4" s="44">
        <v>3184363.95</v>
      </c>
      <c r="Y4" s="21" t="s">
        <v>19</v>
      </c>
      <c r="Z4" s="44"/>
      <c r="AA4" s="21"/>
      <c r="AB4" s="44"/>
      <c r="AC4" s="21"/>
      <c r="AD4" s="44"/>
      <c r="AE4" s="21"/>
      <c r="AF4" s="44"/>
      <c r="AG4" s="21"/>
    </row>
    <row r="5" spans="2:33" x14ac:dyDescent="0.3">
      <c r="B5" s="29">
        <f>ROW()-ROW($B$3)</f>
        <v>2</v>
      </c>
      <c r="C5" s="31">
        <v>2</v>
      </c>
      <c r="D5" s="12" t="s">
        <v>624</v>
      </c>
      <c r="E5" s="18">
        <v>2346786.85</v>
      </c>
      <c r="F5" s="18">
        <f>SUM(J5,L5,N5,P5,R5,T5,V5,X5,Z5,AB5,AD5,AF5)</f>
        <v>2156780.35</v>
      </c>
      <c r="G5" s="47">
        <f>E5-F5</f>
        <v>190006.5</v>
      </c>
      <c r="H5" s="46">
        <f>IFERROR(F5/E5,0)</f>
        <v>0.91903546757985288</v>
      </c>
      <c r="I5" s="78" t="str" cm="1">
        <f t="array" ref="I5">IFERROR(LOOKUP(2,1/((MOD(COLUMN($K5:$AG5),2)=1)*($K5:$AG5&lt;&gt;"-")*($K5:$AG5&lt;&gt;"")),$K5:$AG5),"-")</f>
        <v>Concluída</v>
      </c>
      <c r="J5" s="44"/>
      <c r="K5" s="21"/>
      <c r="L5" s="44"/>
      <c r="M5" s="21"/>
      <c r="N5" s="44"/>
      <c r="O5" s="21"/>
      <c r="P5" s="44"/>
      <c r="Q5" s="21"/>
      <c r="R5" s="44"/>
      <c r="S5" s="21"/>
      <c r="T5" s="44"/>
      <c r="U5" s="21"/>
      <c r="V5" s="44"/>
      <c r="W5" s="21"/>
      <c r="X5" s="44">
        <v>2156780.35</v>
      </c>
      <c r="Y5" s="21" t="s">
        <v>19</v>
      </c>
      <c r="Z5" s="44"/>
      <c r="AA5" s="21"/>
      <c r="AB5" s="44"/>
      <c r="AC5" s="21"/>
      <c r="AD5" s="44"/>
      <c r="AE5" s="21"/>
      <c r="AF5" s="44"/>
      <c r="AG5" s="21"/>
    </row>
    <row r="6" spans="2:33" x14ac:dyDescent="0.3">
      <c r="B6" s="29">
        <f>ROW()-ROW($B$3)</f>
        <v>3</v>
      </c>
      <c r="C6" s="31">
        <v>3</v>
      </c>
      <c r="D6" s="12" t="s">
        <v>638</v>
      </c>
      <c r="E6" s="18">
        <v>1779597.57</v>
      </c>
      <c r="F6" s="18">
        <f>SUM(J6,L6,N6,P6,R6,T6,V6,X6,Z6,AB6,AD6,AF6)</f>
        <v>1747140.42</v>
      </c>
      <c r="G6" s="47">
        <f>E6-F6</f>
        <v>32457.15000000014</v>
      </c>
      <c r="H6" s="46">
        <f>IFERROR(F6/E6,0)</f>
        <v>0.98176152263458072</v>
      </c>
      <c r="I6" s="78" t="str" cm="1">
        <f t="array" ref="I6">IFERROR(LOOKUP(2,1/((MOD(COLUMN($K6:$AG6),2)=1)*($K6:$AG6&lt;&gt;"-")*($K6:$AG6&lt;&gt;"")),$K6:$AG6),"-")</f>
        <v>Concluída</v>
      </c>
      <c r="J6" s="44"/>
      <c r="K6" s="21"/>
      <c r="L6" s="44"/>
      <c r="M6" s="21"/>
      <c r="N6" s="44"/>
      <c r="O6" s="21"/>
      <c r="P6" s="44"/>
      <c r="Q6" s="21"/>
      <c r="R6" s="44"/>
      <c r="S6" s="21"/>
      <c r="T6" s="44"/>
      <c r="U6" s="21"/>
      <c r="V6" s="44"/>
      <c r="W6" s="21"/>
      <c r="X6" s="44"/>
      <c r="Y6" s="21"/>
      <c r="Z6" s="44">
        <v>1747140.42</v>
      </c>
      <c r="AA6" s="21" t="s">
        <v>19</v>
      </c>
      <c r="AB6" s="44"/>
      <c r="AC6" s="21"/>
      <c r="AD6" s="44"/>
      <c r="AE6" s="21"/>
      <c r="AF6" s="44"/>
      <c r="AG6" s="21"/>
    </row>
    <row r="7" spans="2:33" x14ac:dyDescent="0.3">
      <c r="B7" s="29">
        <f>ROW()-ROW($B$3)</f>
        <v>4</v>
      </c>
      <c r="C7" s="31">
        <v>4</v>
      </c>
      <c r="D7" s="12" t="s">
        <v>624</v>
      </c>
      <c r="E7" s="18">
        <v>1496430.79</v>
      </c>
      <c r="F7" s="18">
        <f t="shared" ref="F7:F9" si="0">SUM(J7,L7,N7,P7,R7,T7,V7,X7,Z7,AB7,AD7,AF7)</f>
        <v>1496430.79</v>
      </c>
      <c r="G7" s="47">
        <f t="shared" ref="G7:G9" si="1">E7-F7</f>
        <v>0</v>
      </c>
      <c r="H7" s="46">
        <f t="shared" ref="H7:H9" si="2">IFERROR(F7/E7,0)</f>
        <v>1</v>
      </c>
      <c r="I7" s="78" t="str" cm="1">
        <f t="array" ref="I7">IFERROR(LOOKUP(2,1/((MOD(COLUMN($K7:$AG7),2)=1)*($K7:$AG7&lt;&gt;"-")*($K7:$AG7&lt;&gt;"")),$K7:$AG7),"-")</f>
        <v>Concluída</v>
      </c>
      <c r="J7" s="44"/>
      <c r="K7" s="21"/>
      <c r="L7" s="44"/>
      <c r="M7" s="21"/>
      <c r="N7" s="44"/>
      <c r="O7" s="21"/>
      <c r="P7" s="44"/>
      <c r="Q7" s="21"/>
      <c r="R7" s="44"/>
      <c r="S7" s="21"/>
      <c r="T7" s="44"/>
      <c r="U7" s="21"/>
      <c r="V7" s="44"/>
      <c r="W7" s="21"/>
      <c r="X7" s="44">
        <v>1496430.79</v>
      </c>
      <c r="Y7" s="21" t="s">
        <v>19</v>
      </c>
      <c r="Z7" s="44"/>
      <c r="AA7" s="21"/>
      <c r="AB7" s="44"/>
      <c r="AC7" s="21"/>
      <c r="AD7" s="44"/>
      <c r="AE7" s="21"/>
      <c r="AF7" s="44"/>
      <c r="AG7" s="21"/>
    </row>
    <row r="8" spans="2:33" x14ac:dyDescent="0.3">
      <c r="B8" s="29">
        <f>ROW()-ROW($B$3)</f>
        <v>5</v>
      </c>
      <c r="C8" s="31">
        <v>5</v>
      </c>
      <c r="D8" s="12" t="s">
        <v>627</v>
      </c>
      <c r="E8" s="18">
        <v>6195938.1799999997</v>
      </c>
      <c r="F8" s="18">
        <f t="shared" si="0"/>
        <v>4044134.23</v>
      </c>
      <c r="G8" s="47">
        <f t="shared" si="1"/>
        <v>2151803.9499999997</v>
      </c>
      <c r="H8" s="46">
        <f t="shared" si="2"/>
        <v>0.6527073241392477</v>
      </c>
      <c r="I8" s="78" t="str" cm="1">
        <f t="array" ref="I8">IFERROR(LOOKUP(2,1/((MOD(COLUMN($K8:$AG8),2)=1)*($K8:$AG8&lt;&gt;"-")*($K8:$AG8&lt;&gt;"")),$K8:$AG8),"-")</f>
        <v>Em andamento</v>
      </c>
      <c r="J8" s="44"/>
      <c r="K8" s="21"/>
      <c r="L8" s="44"/>
      <c r="M8" s="21"/>
      <c r="N8" s="44"/>
      <c r="O8" s="21"/>
      <c r="P8" s="44"/>
      <c r="Q8" s="21"/>
      <c r="R8" s="44"/>
      <c r="S8" s="21"/>
      <c r="T8" s="44"/>
      <c r="U8" s="21"/>
      <c r="V8" s="44"/>
      <c r="W8" s="21"/>
      <c r="X8" s="44"/>
      <c r="Y8" s="21"/>
      <c r="Z8" s="44">
        <v>4044134.23</v>
      </c>
      <c r="AA8" s="21" t="s">
        <v>18</v>
      </c>
      <c r="AB8" s="44"/>
      <c r="AC8" s="21"/>
      <c r="AD8" s="44"/>
      <c r="AE8" s="21"/>
      <c r="AF8" s="44"/>
      <c r="AG8" s="21"/>
    </row>
    <row r="9" spans="2:33" x14ac:dyDescent="0.3">
      <c r="B9" s="29">
        <f>ROW()-ROW($B$3)</f>
        <v>6</v>
      </c>
      <c r="C9" s="31">
        <v>6</v>
      </c>
      <c r="D9" s="12" t="s">
        <v>662</v>
      </c>
      <c r="E9" s="18">
        <v>208176.32</v>
      </c>
      <c r="F9" s="18">
        <f t="shared" si="0"/>
        <v>0</v>
      </c>
      <c r="G9" s="47">
        <f t="shared" si="1"/>
        <v>208176.32</v>
      </c>
      <c r="H9" s="46">
        <f t="shared" si="2"/>
        <v>0</v>
      </c>
      <c r="I9" s="78" t="str" cm="1">
        <f t="array" ref="I9">IFERROR(LOOKUP(2,1/((MOD(COLUMN($K9:$AG9),2)=1)*($K9:$AG9&lt;&gt;"-")*($K9:$AG9&lt;&gt;"")),$K9:$AG9),"-")</f>
        <v>Em elaboração</v>
      </c>
      <c r="J9" s="44"/>
      <c r="K9" s="21"/>
      <c r="L9" s="44"/>
      <c r="M9" s="21"/>
      <c r="N9" s="44"/>
      <c r="O9" s="21"/>
      <c r="P9" s="44"/>
      <c r="Q9" s="21"/>
      <c r="R9" s="44"/>
      <c r="S9" s="21"/>
      <c r="T9" s="44"/>
      <c r="U9" s="21"/>
      <c r="V9" s="44"/>
      <c r="W9" s="21"/>
      <c r="X9" s="44"/>
      <c r="Y9" s="21"/>
      <c r="Z9" s="44"/>
      <c r="AA9" s="21" t="s">
        <v>38</v>
      </c>
      <c r="AB9" s="44"/>
      <c r="AC9" s="21"/>
      <c r="AD9" s="44"/>
      <c r="AE9" s="21"/>
      <c r="AF9" s="44"/>
      <c r="AG9" s="21"/>
    </row>
    <row r="10" spans="2:33" x14ac:dyDescent="0.3">
      <c r="B10" s="29"/>
      <c r="C10" s="31"/>
      <c r="D10" s="12"/>
      <c r="E10" s="18"/>
      <c r="F10" s="18"/>
      <c r="G10" s="47"/>
      <c r="H10" s="46"/>
      <c r="I10" s="78"/>
      <c r="J10" s="44"/>
      <c r="K10" s="21"/>
      <c r="L10" s="44"/>
      <c r="M10" s="21"/>
      <c r="N10" s="44"/>
      <c r="O10" s="21"/>
      <c r="P10" s="44"/>
      <c r="Q10" s="21"/>
      <c r="R10" s="44"/>
      <c r="S10" s="21"/>
      <c r="T10" s="44"/>
      <c r="U10" s="21"/>
      <c r="V10" s="44"/>
      <c r="W10" s="21"/>
      <c r="X10" s="44"/>
      <c r="Y10" s="21"/>
      <c r="Z10" s="44"/>
      <c r="AA10" s="21"/>
      <c r="AB10" s="44"/>
      <c r="AC10" s="21"/>
      <c r="AD10" s="44"/>
      <c r="AE10" s="21"/>
      <c r="AF10" s="44"/>
      <c r="AG10" s="21"/>
    </row>
    <row r="11" spans="2:33" x14ac:dyDescent="0.3">
      <c r="B11" s="29"/>
      <c r="C11" s="31"/>
      <c r="D11" s="12"/>
      <c r="E11" s="18"/>
      <c r="F11" s="18"/>
      <c r="G11" s="47"/>
      <c r="H11" s="46"/>
      <c r="I11" s="78"/>
      <c r="J11" s="44"/>
      <c r="K11" s="21"/>
      <c r="L11" s="44"/>
      <c r="M11" s="21"/>
      <c r="N11" s="44"/>
      <c r="O11" s="21"/>
      <c r="P11" s="44"/>
      <c r="Q11" s="21"/>
      <c r="R11" s="44"/>
      <c r="S11" s="21"/>
      <c r="T11" s="44"/>
      <c r="U11" s="21"/>
      <c r="V11" s="44"/>
      <c r="W11" s="21"/>
      <c r="X11" s="44"/>
      <c r="Y11" s="21"/>
      <c r="Z11" s="44"/>
      <c r="AA11" s="21"/>
      <c r="AB11" s="44"/>
      <c r="AC11" s="21"/>
      <c r="AD11" s="44"/>
      <c r="AE11" s="21"/>
      <c r="AF11" s="44"/>
      <c r="AG11" s="21"/>
    </row>
    <row r="12" spans="2:33" x14ac:dyDescent="0.3">
      <c r="B12" s="29"/>
      <c r="C12" s="31"/>
      <c r="D12" s="12"/>
      <c r="E12" s="18"/>
      <c r="F12" s="18"/>
      <c r="G12" s="47"/>
      <c r="H12" s="46"/>
      <c r="I12" s="78"/>
      <c r="J12" s="44"/>
      <c r="K12" s="21"/>
      <c r="L12" s="44"/>
      <c r="M12" s="21"/>
      <c r="N12" s="44"/>
      <c r="O12" s="21"/>
      <c r="P12" s="44"/>
      <c r="Q12" s="21"/>
      <c r="R12" s="44"/>
      <c r="S12" s="21"/>
      <c r="T12" s="44"/>
      <c r="U12" s="21"/>
      <c r="V12" s="44"/>
      <c r="W12" s="21"/>
      <c r="X12" s="44"/>
      <c r="Y12" s="21"/>
      <c r="Z12" s="44"/>
      <c r="AA12" s="21"/>
      <c r="AB12" s="44"/>
      <c r="AC12" s="21"/>
      <c r="AD12" s="44"/>
      <c r="AE12" s="21"/>
      <c r="AF12" s="44"/>
      <c r="AG12" s="21"/>
    </row>
    <row r="13" spans="2:33" x14ac:dyDescent="0.3">
      <c r="B13" s="29"/>
      <c r="C13" s="31"/>
      <c r="D13" s="12"/>
      <c r="E13" s="18"/>
      <c r="F13" s="18"/>
      <c r="G13" s="47"/>
      <c r="H13" s="46"/>
      <c r="I13" s="78"/>
      <c r="J13" s="44"/>
      <c r="K13" s="21"/>
      <c r="L13" s="44"/>
      <c r="M13" s="21"/>
      <c r="N13" s="44"/>
      <c r="O13" s="21"/>
      <c r="P13" s="44"/>
      <c r="Q13" s="21"/>
      <c r="R13" s="44"/>
      <c r="S13" s="21"/>
      <c r="T13" s="44"/>
      <c r="U13" s="21"/>
      <c r="V13" s="44"/>
      <c r="W13" s="21"/>
      <c r="X13" s="44"/>
      <c r="Y13" s="21"/>
      <c r="Z13" s="44"/>
      <c r="AA13" s="21"/>
      <c r="AB13" s="44"/>
      <c r="AC13" s="21"/>
      <c r="AD13" s="44"/>
      <c r="AE13" s="21"/>
      <c r="AF13" s="44"/>
      <c r="AG13" s="21"/>
    </row>
    <row r="14" spans="2:33" x14ac:dyDescent="0.3">
      <c r="B14" s="29">
        <f>ROW()-ROW($B$3)</f>
        <v>11</v>
      </c>
      <c r="C14" s="31"/>
      <c r="D14" s="12"/>
      <c r="E14" s="18"/>
      <c r="F14" s="18"/>
      <c r="G14" s="47"/>
      <c r="H14" s="46"/>
      <c r="I14" s="78"/>
      <c r="J14" s="44"/>
      <c r="K14" s="21"/>
      <c r="L14" s="44"/>
      <c r="M14" s="21"/>
      <c r="N14" s="44"/>
      <c r="O14" s="21"/>
      <c r="P14" s="44"/>
      <c r="Q14" s="21"/>
      <c r="R14" s="44"/>
      <c r="S14" s="21"/>
      <c r="T14" s="44"/>
      <c r="U14" s="21"/>
      <c r="V14" s="44"/>
      <c r="W14" s="21"/>
      <c r="X14" s="44"/>
      <c r="Y14" s="21"/>
      <c r="Z14" s="44"/>
      <c r="AA14" s="21"/>
      <c r="AB14" s="44"/>
      <c r="AC14" s="21"/>
      <c r="AD14" s="44"/>
      <c r="AE14" s="21"/>
      <c r="AF14" s="44"/>
      <c r="AG14" s="21"/>
    </row>
    <row r="15" spans="2:33" ht="28.8" customHeight="1" x14ac:dyDescent="0.3">
      <c r="B15" s="17"/>
      <c r="C15" s="31"/>
      <c r="D15" s="12"/>
      <c r="E15" s="18"/>
      <c r="F15" s="18"/>
      <c r="G15" s="18"/>
      <c r="H15" s="34"/>
      <c r="I15" s="34"/>
      <c r="J15" s="44"/>
      <c r="K15" s="21"/>
      <c r="L15" s="44"/>
      <c r="M15" s="21"/>
      <c r="N15" s="19"/>
      <c r="O15" s="21"/>
      <c r="P15" s="19"/>
      <c r="Q15" s="21"/>
      <c r="R15" s="19"/>
      <c r="S15" s="21"/>
      <c r="T15" s="19"/>
      <c r="U15" s="20"/>
      <c r="V15" s="19"/>
      <c r="W15" s="20"/>
      <c r="X15" s="19"/>
      <c r="Y15" s="20"/>
      <c r="Z15" s="19"/>
      <c r="AA15" s="20"/>
      <c r="AB15" s="19"/>
      <c r="AC15" s="20"/>
      <c r="AD15" s="19"/>
      <c r="AE15" s="20"/>
      <c r="AF15" s="19"/>
      <c r="AG15" s="20"/>
    </row>
  </sheetData>
  <mergeCells count="13">
    <mergeCell ref="R2:S2"/>
    <mergeCell ref="B2:I2"/>
    <mergeCell ref="J2:K2"/>
    <mergeCell ref="L2:M2"/>
    <mergeCell ref="N2:O2"/>
    <mergeCell ref="P2:Q2"/>
    <mergeCell ref="AF2:AG2"/>
    <mergeCell ref="T2:U2"/>
    <mergeCell ref="V2:W2"/>
    <mergeCell ref="X2:Y2"/>
    <mergeCell ref="Z2:AA2"/>
    <mergeCell ref="AB2:AC2"/>
    <mergeCell ref="AD2:AE2"/>
  </mergeCells>
  <conditionalFormatting sqref="H4:H14">
    <cfRule type="colorScale" priority="42">
      <colorScale>
        <cfvo type="min"/>
        <cfvo type="percentile" val="50"/>
        <cfvo type="max"/>
        <color rgb="FFC00000"/>
        <color rgb="FFFFFF00"/>
        <color rgb="FF92D050"/>
      </colorScale>
    </cfRule>
  </conditionalFormatting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7B7DC38-28B2-44A6-9649-BCB6836974D4}">
            <xm:f>NOT(ISERROR(SEARCH('Tabelas Auxiliares'!$M$8,H15)))</xm:f>
            <xm:f>'Tabelas Auxiliares'!$M$8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2" operator="containsText" id="{208D584B-2397-4895-9D47-23C88A08843E}">
            <xm:f>NOT(ISERROR(SEARCH('Tabelas Auxiliares'!$M$7,H15)))</xm:f>
            <xm:f>'Tabelas Auxiliares'!$M$7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3" operator="containsText" id="{23E5A91C-0CF7-4896-A943-48DF4A80F5A8}">
            <xm:f>NOT(ISERROR(SEARCH('Tabelas Auxiliares'!$M$6,H15)))</xm:f>
            <xm:f>'Tabelas Auxiliares'!$M$6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4" operator="containsText" id="{1838B5A1-3671-4E1B-9D7D-8692DB3089F7}">
            <xm:f>NOT(ISERROR(SEARCH('Tabelas Auxiliares'!$M$5,H15)))</xm:f>
            <xm:f>'Tabelas Auxiliares'!$M$5</xm:f>
            <x14:dxf>
              <fill>
                <patternFill>
                  <fgColor rgb="FF00B0F0"/>
                  <bgColor rgb="FF00B0F0"/>
                </patternFill>
              </fill>
            </x14:dxf>
          </x14:cfRule>
          <x14:cfRule type="containsText" priority="5" operator="containsText" id="{E3EC6242-C38E-4B97-A9A8-CFFDE46A0773}">
            <xm:f>NOT(ISERROR(SEARCH('Tabelas Auxiliares'!$M$4,H15)))</xm:f>
            <xm:f>'Tabelas Auxiliares'!$M$4</xm:f>
            <x14:dxf>
              <fill>
                <patternFill patternType="solid">
                  <fgColor auto="1"/>
                </patternFill>
              </fill>
            </x14:dxf>
          </x14:cfRule>
          <xm:sqref>H15</xm:sqref>
        </x14:conditionalFormatting>
        <x14:conditionalFormatting xmlns:xm="http://schemas.microsoft.com/office/excel/2006/main">
          <x14:cfRule type="containsText" priority="6" operator="containsText" id="{45858145-75F6-49F5-A36D-92407DF7803E}">
            <xm:f>NOT(ISERROR(SEARCH('Tabelas Auxiliares'!$M$8,I4)))</xm:f>
            <xm:f>'Tabelas Auxiliares'!$M$8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7" operator="containsText" id="{8B42BBF9-33E3-44C2-B67D-089E37824CD8}">
            <xm:f>NOT(ISERROR(SEARCH('Tabelas Auxiliares'!$M$7,I4)))</xm:f>
            <xm:f>'Tabelas Auxiliares'!$M$7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8" operator="containsText" id="{6DC3A0B3-3734-453A-B5B5-FD6A8882AE02}">
            <xm:f>NOT(ISERROR(SEARCH('Tabelas Auxiliares'!$M$6,I4)))</xm:f>
            <xm:f>'Tabelas Auxiliares'!$M$6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9" operator="containsText" id="{849F5CAF-BF50-4AFC-B81C-E4DFD98867FE}">
            <xm:f>NOT(ISERROR(SEARCH('Tabelas Auxiliares'!$M$5,I4)))</xm:f>
            <xm:f>'Tabelas Auxiliares'!$M$5</xm:f>
            <x14:dxf>
              <fill>
                <patternFill>
                  <fgColor rgb="FF00B0F0"/>
                  <bgColor rgb="FF00B0F0"/>
                </patternFill>
              </fill>
            </x14:dxf>
          </x14:cfRule>
          <x14:cfRule type="containsText" priority="10" operator="containsText" id="{AF2D001C-E8EB-44E3-A204-FC59CC110948}">
            <xm:f>NOT(ISERROR(SEARCH('Tabelas Auxiliares'!$M$4,I4)))</xm:f>
            <xm:f>'Tabelas Auxiliares'!$M$4</xm:f>
            <x14:dxf>
              <fill>
                <patternFill patternType="solid">
                  <fgColor auto="1"/>
                </patternFill>
              </fill>
            </x14:dxf>
          </x14:cfRule>
          <x14:cfRule type="containsText" priority="18" operator="containsText" id="{5DC0FCFA-5339-4801-AAFD-F3B005127E61}">
            <xm:f>NOT(ISERROR(SEARCH('Tabelas Auxiliares'!$M$10,I4)))</xm:f>
            <xm:f>'Tabelas Auxiliares'!$M$10</xm:f>
            <x14:dxf>
              <font>
                <color rgb="FFFFFFFF"/>
              </font>
              <fill>
                <patternFill patternType="solid">
                  <fgColor indexed="64"/>
                  <bgColor rgb="FFED7D31"/>
                </patternFill>
              </fill>
            </x14:dxf>
          </x14:cfRule>
          <xm:sqref>I4:I15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6CA935-6C55-4FFC-B6C6-F98B434FC5F4}">
          <x14:formula1>
            <xm:f>'Tabelas Auxiliares'!$M$4:$M$11</xm:f>
          </x14:formula1>
          <xm:sqref>M4:M15 AC4:AC15 Q4:Q15 U4:U15 W4:W15 Y4:Y15 AA4:AA15 AE4:AE15 AG4:AG15 O4:O15 S4:S15 K4:K15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0EF6-08E8-4C0C-AABD-8E9D4B7A2D6B}">
  <sheetPr codeName="Planilha15"/>
  <dimension ref="A2:L62"/>
  <sheetViews>
    <sheetView workbookViewId="0">
      <selection activeCell="D21" sqref="D21"/>
    </sheetView>
  </sheetViews>
  <sheetFormatPr defaultColWidth="8.19921875" defaultRowHeight="13.8" x14ac:dyDescent="0.3"/>
  <cols>
    <col min="1" max="1" width="3.5" style="57" customWidth="1"/>
    <col min="2" max="2" width="8.19921875" style="58" customWidth="1"/>
    <col min="3" max="3" width="18.796875" style="57" customWidth="1"/>
    <col min="4" max="4" width="23.09765625" style="57" customWidth="1"/>
    <col min="5" max="5" width="14.5" style="61" customWidth="1"/>
    <col min="6" max="6" width="88.19921875" style="57" bestFit="1" customWidth="1"/>
    <col min="7" max="7" width="12.09765625" style="58" bestFit="1" customWidth="1"/>
    <col min="8" max="8" width="81.296875" style="57" customWidth="1"/>
    <col min="9" max="9" width="14.09765625" style="60" customWidth="1"/>
    <col min="10" max="10" width="8.19921875" style="58"/>
    <col min="11" max="11" width="15" style="57" customWidth="1"/>
    <col min="12" max="16384" width="8.19921875" style="57"/>
  </cols>
  <sheetData>
    <row r="2" spans="2:11" s="53" customFormat="1" ht="46.5" customHeight="1" x14ac:dyDescent="0.3">
      <c r="B2" s="323" t="s">
        <v>76</v>
      </c>
      <c r="C2" s="323"/>
      <c r="D2" s="323"/>
      <c r="E2" s="323"/>
      <c r="F2" s="323"/>
      <c r="G2" s="323"/>
      <c r="H2" s="323"/>
      <c r="I2" s="323"/>
      <c r="J2" s="323"/>
      <c r="K2" s="323"/>
    </row>
    <row r="3" spans="2:11" s="56" customFormat="1" ht="34.5" customHeight="1" x14ac:dyDescent="0.3">
      <c r="B3" s="169" t="s">
        <v>77</v>
      </c>
      <c r="C3" s="169" t="s">
        <v>78</v>
      </c>
      <c r="D3" s="169" t="s">
        <v>79</v>
      </c>
      <c r="E3" s="170" t="s">
        <v>89</v>
      </c>
      <c r="F3" s="169" t="s">
        <v>0</v>
      </c>
      <c r="G3" s="169" t="s">
        <v>80</v>
      </c>
      <c r="H3" s="169" t="s">
        <v>81</v>
      </c>
      <c r="I3" s="171" t="s">
        <v>82</v>
      </c>
      <c r="J3" s="169" t="s">
        <v>83</v>
      </c>
      <c r="K3" s="169" t="s">
        <v>84</v>
      </c>
    </row>
    <row r="4" spans="2:11" s="56" customFormat="1" x14ac:dyDescent="0.25">
      <c r="B4" s="54">
        <v>11</v>
      </c>
      <c r="C4" s="55">
        <v>11</v>
      </c>
      <c r="D4" s="62" t="s">
        <v>195</v>
      </c>
      <c r="E4" s="55">
        <v>202</v>
      </c>
      <c r="F4" s="63" t="s">
        <v>196</v>
      </c>
      <c r="G4" s="55" t="s">
        <v>197</v>
      </c>
      <c r="H4" s="64" t="s">
        <v>198</v>
      </c>
      <c r="I4" s="65">
        <v>1.1468162850200001</v>
      </c>
      <c r="J4" s="55" t="s">
        <v>585</v>
      </c>
      <c r="K4" s="66" t="s">
        <v>586</v>
      </c>
    </row>
    <row r="5" spans="2:11" s="56" customFormat="1" x14ac:dyDescent="0.25">
      <c r="B5" s="54">
        <v>11</v>
      </c>
      <c r="C5" s="55">
        <v>11</v>
      </c>
      <c r="D5" s="62" t="s">
        <v>195</v>
      </c>
      <c r="E5" s="55">
        <v>203</v>
      </c>
      <c r="F5" s="63" t="s">
        <v>199</v>
      </c>
      <c r="G5" s="55" t="s">
        <v>200</v>
      </c>
      <c r="H5" s="64" t="s">
        <v>201</v>
      </c>
      <c r="I5" s="65">
        <v>0.99985588713600004</v>
      </c>
      <c r="J5" s="55" t="s">
        <v>585</v>
      </c>
      <c r="K5" s="66" t="s">
        <v>586</v>
      </c>
    </row>
    <row r="6" spans="2:11" s="56" customFormat="1" x14ac:dyDescent="0.25">
      <c r="B6" s="54">
        <v>11</v>
      </c>
      <c r="C6" s="55">
        <v>11</v>
      </c>
      <c r="D6" s="62" t="s">
        <v>195</v>
      </c>
      <c r="E6" s="55">
        <v>204</v>
      </c>
      <c r="F6" s="63" t="s">
        <v>202</v>
      </c>
      <c r="G6" s="55" t="s">
        <v>203</v>
      </c>
      <c r="H6" s="64" t="s">
        <v>204</v>
      </c>
      <c r="I6" s="65">
        <v>58.7553489107</v>
      </c>
      <c r="J6" s="55" t="s">
        <v>87</v>
      </c>
      <c r="K6" s="66" t="s">
        <v>86</v>
      </c>
    </row>
    <row r="7" spans="2:11" s="56" customFormat="1" x14ac:dyDescent="0.25">
      <c r="B7" s="54">
        <v>11</v>
      </c>
      <c r="C7" s="55">
        <v>11</v>
      </c>
      <c r="D7" s="62" t="s">
        <v>195</v>
      </c>
      <c r="E7" s="55">
        <v>204</v>
      </c>
      <c r="F7" s="63" t="s">
        <v>202</v>
      </c>
      <c r="G7" s="55" t="s">
        <v>205</v>
      </c>
      <c r="H7" s="64" t="s">
        <v>206</v>
      </c>
      <c r="I7" s="65">
        <v>0.99026287712899996</v>
      </c>
      <c r="J7" s="55" t="s">
        <v>87</v>
      </c>
      <c r="K7" s="66" t="s">
        <v>86</v>
      </c>
    </row>
    <row r="8" spans="2:11" s="56" customFormat="1" x14ac:dyDescent="0.25">
      <c r="B8" s="54">
        <v>11</v>
      </c>
      <c r="C8" s="55">
        <v>11</v>
      </c>
      <c r="D8" s="62" t="s">
        <v>195</v>
      </c>
      <c r="E8" s="55">
        <v>205</v>
      </c>
      <c r="F8" s="63" t="s">
        <v>207</v>
      </c>
      <c r="G8" s="55" t="s">
        <v>208</v>
      </c>
      <c r="H8" s="64" t="s">
        <v>209</v>
      </c>
      <c r="I8" s="65">
        <v>26.907003094499998</v>
      </c>
      <c r="J8" s="55" t="s">
        <v>87</v>
      </c>
      <c r="K8" s="66" t="s">
        <v>86</v>
      </c>
    </row>
    <row r="9" spans="2:11" s="56" customFormat="1" x14ac:dyDescent="0.25">
      <c r="B9" s="54">
        <v>11</v>
      </c>
      <c r="C9" s="55">
        <v>11</v>
      </c>
      <c r="D9" s="62" t="s">
        <v>195</v>
      </c>
      <c r="E9" s="55">
        <v>205</v>
      </c>
      <c r="F9" s="63" t="s">
        <v>207</v>
      </c>
      <c r="G9" s="55" t="s">
        <v>210</v>
      </c>
      <c r="H9" s="64" t="s">
        <v>211</v>
      </c>
      <c r="I9" s="65">
        <v>16.263874520800002</v>
      </c>
      <c r="J9" s="55" t="s">
        <v>87</v>
      </c>
      <c r="K9" s="66" t="s">
        <v>86</v>
      </c>
    </row>
    <row r="10" spans="2:11" s="56" customFormat="1" x14ac:dyDescent="0.25">
      <c r="B10" s="54">
        <v>11</v>
      </c>
      <c r="C10" s="55">
        <v>11</v>
      </c>
      <c r="D10" s="62" t="s">
        <v>195</v>
      </c>
      <c r="E10" s="55">
        <v>205</v>
      </c>
      <c r="F10" s="63" t="s">
        <v>207</v>
      </c>
      <c r="G10" s="55" t="s">
        <v>212</v>
      </c>
      <c r="H10" s="64" t="s">
        <v>213</v>
      </c>
      <c r="I10" s="65">
        <v>3.6652383672800002</v>
      </c>
      <c r="J10" s="55" t="s">
        <v>87</v>
      </c>
      <c r="K10" s="66" t="s">
        <v>86</v>
      </c>
    </row>
    <row r="11" spans="2:11" s="56" customFormat="1" x14ac:dyDescent="0.25">
      <c r="B11" s="54">
        <v>11</v>
      </c>
      <c r="C11" s="55">
        <v>11</v>
      </c>
      <c r="D11" s="62" t="s">
        <v>195</v>
      </c>
      <c r="E11" s="55">
        <v>206</v>
      </c>
      <c r="F11" s="63" t="s">
        <v>214</v>
      </c>
      <c r="G11" s="55" t="s">
        <v>215</v>
      </c>
      <c r="H11" s="64" t="s">
        <v>216</v>
      </c>
      <c r="I11" s="65">
        <v>0.41866269148200003</v>
      </c>
      <c r="J11" s="55" t="s">
        <v>87</v>
      </c>
      <c r="K11" s="66" t="s">
        <v>86</v>
      </c>
    </row>
    <row r="12" spans="2:11" s="56" customFormat="1" x14ac:dyDescent="0.25">
      <c r="B12" s="54">
        <v>11</v>
      </c>
      <c r="C12" s="55">
        <v>11</v>
      </c>
      <c r="D12" s="62" t="s">
        <v>195</v>
      </c>
      <c r="E12" s="55">
        <v>206</v>
      </c>
      <c r="F12" s="63" t="s">
        <v>214</v>
      </c>
      <c r="G12" s="55" t="s">
        <v>217</v>
      </c>
      <c r="H12" s="64" t="s">
        <v>218</v>
      </c>
      <c r="I12" s="65">
        <v>61.3723223752</v>
      </c>
      <c r="J12" s="55" t="s">
        <v>87</v>
      </c>
      <c r="K12" s="66" t="s">
        <v>86</v>
      </c>
    </row>
    <row r="13" spans="2:11" s="56" customFormat="1" x14ac:dyDescent="0.25">
      <c r="B13" s="54">
        <v>11</v>
      </c>
      <c r="C13" s="55">
        <v>11</v>
      </c>
      <c r="D13" s="62" t="s">
        <v>195</v>
      </c>
      <c r="E13" s="55">
        <v>206</v>
      </c>
      <c r="F13" s="63" t="s">
        <v>214</v>
      </c>
      <c r="G13" s="55" t="s">
        <v>219</v>
      </c>
      <c r="H13" s="64" t="s">
        <v>220</v>
      </c>
      <c r="I13" s="65">
        <v>3.1347063349800002</v>
      </c>
      <c r="J13" s="55" t="s">
        <v>587</v>
      </c>
      <c r="K13" s="66" t="s">
        <v>86</v>
      </c>
    </row>
    <row r="14" spans="2:11" s="56" customFormat="1" x14ac:dyDescent="0.25">
      <c r="B14" s="54">
        <v>11</v>
      </c>
      <c r="C14" s="55">
        <v>11</v>
      </c>
      <c r="D14" s="62" t="s">
        <v>195</v>
      </c>
      <c r="E14" s="55">
        <v>202</v>
      </c>
      <c r="F14" s="63" t="s">
        <v>196</v>
      </c>
      <c r="G14" s="55" t="s">
        <v>221</v>
      </c>
      <c r="H14" s="64" t="s">
        <v>222</v>
      </c>
      <c r="I14" s="65">
        <v>59.748298006200002</v>
      </c>
      <c r="J14" s="55" t="s">
        <v>87</v>
      </c>
      <c r="K14" s="66" t="s">
        <v>86</v>
      </c>
    </row>
    <row r="15" spans="2:11" s="56" customFormat="1" x14ac:dyDescent="0.25">
      <c r="B15" s="54">
        <v>11</v>
      </c>
      <c r="C15" s="55">
        <v>11</v>
      </c>
      <c r="D15" s="62" t="s">
        <v>195</v>
      </c>
      <c r="E15" s="55">
        <v>202</v>
      </c>
      <c r="F15" s="63" t="s">
        <v>196</v>
      </c>
      <c r="G15" s="55" t="s">
        <v>223</v>
      </c>
      <c r="H15" s="64" t="s">
        <v>224</v>
      </c>
      <c r="I15" s="65">
        <v>9.4908128442200006</v>
      </c>
      <c r="J15" s="55" t="s">
        <v>87</v>
      </c>
      <c r="K15" s="66" t="s">
        <v>86</v>
      </c>
    </row>
    <row r="16" spans="2:11" s="56" customFormat="1" x14ac:dyDescent="0.25">
      <c r="B16" s="54">
        <v>11</v>
      </c>
      <c r="C16" s="55">
        <v>11</v>
      </c>
      <c r="D16" s="62" t="s">
        <v>195</v>
      </c>
      <c r="E16" s="55">
        <v>202</v>
      </c>
      <c r="F16" s="63" t="s">
        <v>196</v>
      </c>
      <c r="G16" s="55" t="s">
        <v>225</v>
      </c>
      <c r="H16" s="64" t="s">
        <v>226</v>
      </c>
      <c r="I16" s="65">
        <v>32.011003797500003</v>
      </c>
      <c r="J16" s="55" t="s">
        <v>87</v>
      </c>
      <c r="K16" s="66" t="s">
        <v>86</v>
      </c>
    </row>
    <row r="17" spans="2:11" s="56" customFormat="1" x14ac:dyDescent="0.25">
      <c r="B17" s="54">
        <v>11</v>
      </c>
      <c r="C17" s="55">
        <v>11</v>
      </c>
      <c r="D17" s="62" t="s">
        <v>195</v>
      </c>
      <c r="E17" s="55">
        <v>207</v>
      </c>
      <c r="F17" s="63" t="s">
        <v>227</v>
      </c>
      <c r="G17" s="55" t="s">
        <v>228</v>
      </c>
      <c r="H17" s="64" t="s">
        <v>229</v>
      </c>
      <c r="I17" s="65">
        <v>65.901646228800004</v>
      </c>
      <c r="J17" s="55" t="s">
        <v>588</v>
      </c>
      <c r="K17" s="66" t="s">
        <v>86</v>
      </c>
    </row>
    <row r="18" spans="2:11" s="56" customFormat="1" x14ac:dyDescent="0.25">
      <c r="B18" s="54">
        <v>11</v>
      </c>
      <c r="C18" s="55">
        <v>11</v>
      </c>
      <c r="D18" s="62" t="s">
        <v>195</v>
      </c>
      <c r="E18" s="55">
        <v>208</v>
      </c>
      <c r="F18" s="63" t="s">
        <v>230</v>
      </c>
      <c r="G18" s="55" t="s">
        <v>231</v>
      </c>
      <c r="H18" s="64" t="s">
        <v>232</v>
      </c>
      <c r="I18" s="65">
        <v>41.632983258199999</v>
      </c>
      <c r="J18" s="55" t="s">
        <v>588</v>
      </c>
      <c r="K18" s="66" t="s">
        <v>86</v>
      </c>
    </row>
    <row r="19" spans="2:11" s="56" customFormat="1" x14ac:dyDescent="0.25">
      <c r="B19" s="54">
        <v>11</v>
      </c>
      <c r="C19" s="55">
        <v>11</v>
      </c>
      <c r="D19" s="62" t="s">
        <v>195</v>
      </c>
      <c r="E19" s="55">
        <v>209</v>
      </c>
      <c r="F19" s="63" t="s">
        <v>233</v>
      </c>
      <c r="G19" s="55" t="s">
        <v>234</v>
      </c>
      <c r="H19" s="64" t="s">
        <v>235</v>
      </c>
      <c r="I19" s="65">
        <v>18.3114871348</v>
      </c>
      <c r="J19" s="55" t="s">
        <v>87</v>
      </c>
      <c r="K19" s="66" t="s">
        <v>86</v>
      </c>
    </row>
    <row r="20" spans="2:11" s="56" customFormat="1" x14ac:dyDescent="0.25">
      <c r="B20" s="54">
        <v>11</v>
      </c>
      <c r="C20" s="55">
        <v>11</v>
      </c>
      <c r="D20" s="62" t="s">
        <v>195</v>
      </c>
      <c r="E20" s="55">
        <v>209</v>
      </c>
      <c r="F20" s="63" t="s">
        <v>233</v>
      </c>
      <c r="G20" s="55" t="s">
        <v>236</v>
      </c>
      <c r="H20" s="64" t="s">
        <v>237</v>
      </c>
      <c r="I20" s="65">
        <v>17.364398039200001</v>
      </c>
      <c r="J20" s="55" t="s">
        <v>87</v>
      </c>
      <c r="K20" s="66" t="s">
        <v>86</v>
      </c>
    </row>
    <row r="21" spans="2:11" s="56" customFormat="1" x14ac:dyDescent="0.25">
      <c r="B21" s="54">
        <v>11</v>
      </c>
      <c r="C21" s="55">
        <v>11</v>
      </c>
      <c r="D21" s="62" t="s">
        <v>195</v>
      </c>
      <c r="E21" s="55">
        <v>210</v>
      </c>
      <c r="F21" s="63" t="s">
        <v>238</v>
      </c>
      <c r="G21" s="55" t="s">
        <v>239</v>
      </c>
      <c r="H21" s="64" t="s">
        <v>240</v>
      </c>
      <c r="I21" s="65">
        <v>26.160324791800001</v>
      </c>
      <c r="J21" s="55" t="s">
        <v>87</v>
      </c>
      <c r="K21" s="66" t="s">
        <v>86</v>
      </c>
    </row>
    <row r="22" spans="2:11" s="56" customFormat="1" x14ac:dyDescent="0.25">
      <c r="B22" s="54">
        <v>11</v>
      </c>
      <c r="C22" s="55">
        <v>11</v>
      </c>
      <c r="D22" s="62" t="s">
        <v>195</v>
      </c>
      <c r="E22" s="55">
        <v>211</v>
      </c>
      <c r="F22" s="63" t="s">
        <v>241</v>
      </c>
      <c r="G22" s="55" t="s">
        <v>242</v>
      </c>
      <c r="H22" s="64" t="s">
        <v>243</v>
      </c>
      <c r="I22" s="65">
        <v>41.818855395600004</v>
      </c>
      <c r="J22" s="55" t="s">
        <v>588</v>
      </c>
      <c r="K22" s="66" t="s">
        <v>86</v>
      </c>
    </row>
    <row r="23" spans="2:11" s="56" customFormat="1" x14ac:dyDescent="0.25">
      <c r="B23" s="54">
        <v>11</v>
      </c>
      <c r="C23" s="55">
        <v>11</v>
      </c>
      <c r="D23" s="62" t="s">
        <v>195</v>
      </c>
      <c r="E23" s="55">
        <v>212</v>
      </c>
      <c r="F23" s="63" t="s">
        <v>244</v>
      </c>
      <c r="G23" s="55" t="s">
        <v>245</v>
      </c>
      <c r="H23" s="64" t="s">
        <v>246</v>
      </c>
      <c r="I23" s="65">
        <v>48.649724135100001</v>
      </c>
      <c r="J23" s="55" t="s">
        <v>87</v>
      </c>
      <c r="K23" s="66" t="s">
        <v>86</v>
      </c>
    </row>
    <row r="24" spans="2:11" s="56" customFormat="1" x14ac:dyDescent="0.25">
      <c r="B24" s="54">
        <v>11</v>
      </c>
      <c r="C24" s="55">
        <v>11</v>
      </c>
      <c r="D24" s="62" t="s">
        <v>195</v>
      </c>
      <c r="E24" s="55">
        <v>213</v>
      </c>
      <c r="F24" s="63" t="s">
        <v>247</v>
      </c>
      <c r="G24" s="55" t="s">
        <v>248</v>
      </c>
      <c r="H24" s="64" t="s">
        <v>249</v>
      </c>
      <c r="I24" s="65">
        <v>40.379494933700002</v>
      </c>
      <c r="J24" s="55" t="s">
        <v>588</v>
      </c>
      <c r="K24" s="66" t="s">
        <v>86</v>
      </c>
    </row>
    <row r="25" spans="2:11" s="56" customFormat="1" x14ac:dyDescent="0.25">
      <c r="B25" s="54">
        <v>11</v>
      </c>
      <c r="C25" s="55">
        <v>11</v>
      </c>
      <c r="D25" s="62" t="s">
        <v>195</v>
      </c>
      <c r="E25" s="55">
        <v>214</v>
      </c>
      <c r="F25" s="63" t="s">
        <v>250</v>
      </c>
      <c r="G25" s="55" t="s">
        <v>251</v>
      </c>
      <c r="H25" s="64" t="s">
        <v>252</v>
      </c>
      <c r="I25" s="65">
        <v>45.214542429300003</v>
      </c>
      <c r="J25" s="55" t="s">
        <v>588</v>
      </c>
      <c r="K25" s="66" t="s">
        <v>86</v>
      </c>
    </row>
    <row r="26" spans="2:11" s="56" customFormat="1" x14ac:dyDescent="0.25">
      <c r="B26" s="54">
        <v>11</v>
      </c>
      <c r="C26" s="55">
        <v>11</v>
      </c>
      <c r="D26" s="62" t="s">
        <v>195</v>
      </c>
      <c r="E26" s="55">
        <v>214</v>
      </c>
      <c r="F26" s="63" t="s">
        <v>250</v>
      </c>
      <c r="G26" s="55" t="s">
        <v>253</v>
      </c>
      <c r="H26" s="64" t="s">
        <v>254</v>
      </c>
      <c r="I26" s="65">
        <v>0.37470221966700001</v>
      </c>
      <c r="J26" s="55" t="s">
        <v>585</v>
      </c>
      <c r="K26" s="66" t="s">
        <v>86</v>
      </c>
    </row>
    <row r="27" spans="2:11" s="56" customFormat="1" x14ac:dyDescent="0.25">
      <c r="B27" s="54">
        <v>11</v>
      </c>
      <c r="C27" s="55">
        <v>11</v>
      </c>
      <c r="D27" s="62" t="s">
        <v>195</v>
      </c>
      <c r="E27" s="55">
        <v>215</v>
      </c>
      <c r="F27" s="63" t="s">
        <v>255</v>
      </c>
      <c r="G27" s="55" t="s">
        <v>256</v>
      </c>
      <c r="H27" s="64" t="s">
        <v>257</v>
      </c>
      <c r="I27" s="65">
        <v>36.2810952038</v>
      </c>
      <c r="J27" s="55" t="s">
        <v>588</v>
      </c>
      <c r="K27" s="66" t="s">
        <v>86</v>
      </c>
    </row>
    <row r="28" spans="2:11" s="56" customFormat="1" x14ac:dyDescent="0.25">
      <c r="B28" s="54">
        <v>11</v>
      </c>
      <c r="C28" s="55">
        <v>11</v>
      </c>
      <c r="D28" s="62" t="s">
        <v>195</v>
      </c>
      <c r="E28" s="55">
        <v>216</v>
      </c>
      <c r="F28" s="63" t="s">
        <v>258</v>
      </c>
      <c r="G28" s="55" t="s">
        <v>259</v>
      </c>
      <c r="H28" s="64" t="s">
        <v>260</v>
      </c>
      <c r="I28" s="65">
        <v>1.9776353338799999</v>
      </c>
      <c r="J28" s="55" t="s">
        <v>588</v>
      </c>
      <c r="K28" s="66" t="s">
        <v>86</v>
      </c>
    </row>
    <row r="29" spans="2:11" s="56" customFormat="1" x14ac:dyDescent="0.25">
      <c r="B29" s="54">
        <v>11</v>
      </c>
      <c r="C29" s="55">
        <v>11</v>
      </c>
      <c r="D29" s="62" t="s">
        <v>195</v>
      </c>
      <c r="E29" s="55">
        <v>216</v>
      </c>
      <c r="F29" s="63" t="s">
        <v>258</v>
      </c>
      <c r="G29" s="55" t="s">
        <v>261</v>
      </c>
      <c r="H29" s="64" t="s">
        <v>262</v>
      </c>
      <c r="I29" s="65">
        <v>31.591065380500002</v>
      </c>
      <c r="J29" s="55" t="s">
        <v>588</v>
      </c>
      <c r="K29" s="66" t="s">
        <v>86</v>
      </c>
    </row>
    <row r="30" spans="2:11" s="56" customFormat="1" x14ac:dyDescent="0.25">
      <c r="B30" s="54">
        <v>11</v>
      </c>
      <c r="C30" s="55">
        <v>11</v>
      </c>
      <c r="D30" s="62" t="s">
        <v>195</v>
      </c>
      <c r="E30" s="55">
        <v>216</v>
      </c>
      <c r="F30" s="63" t="s">
        <v>258</v>
      </c>
      <c r="G30" s="55" t="s">
        <v>263</v>
      </c>
      <c r="H30" s="64" t="s">
        <v>264</v>
      </c>
      <c r="I30" s="65">
        <v>3.8962468263300001</v>
      </c>
      <c r="J30" s="55" t="s">
        <v>589</v>
      </c>
      <c r="K30" s="66" t="s">
        <v>86</v>
      </c>
    </row>
    <row r="31" spans="2:11" s="56" customFormat="1" x14ac:dyDescent="0.25">
      <c r="B31" s="54">
        <v>11</v>
      </c>
      <c r="C31" s="55">
        <v>11</v>
      </c>
      <c r="D31" s="62" t="s">
        <v>195</v>
      </c>
      <c r="E31" s="55">
        <v>216</v>
      </c>
      <c r="F31" s="63" t="s">
        <v>258</v>
      </c>
      <c r="G31" s="55" t="s">
        <v>265</v>
      </c>
      <c r="H31" s="64" t="s">
        <v>266</v>
      </c>
      <c r="I31" s="65">
        <v>51.914828976000003</v>
      </c>
      <c r="J31" s="55" t="s">
        <v>589</v>
      </c>
      <c r="K31" s="66" t="s">
        <v>86</v>
      </c>
    </row>
    <row r="32" spans="2:11" s="56" customFormat="1" x14ac:dyDescent="0.25">
      <c r="B32" s="54">
        <v>11</v>
      </c>
      <c r="C32" s="55">
        <v>11</v>
      </c>
      <c r="D32" s="62" t="s">
        <v>195</v>
      </c>
      <c r="E32" s="55">
        <v>217</v>
      </c>
      <c r="F32" s="63" t="s">
        <v>267</v>
      </c>
      <c r="G32" s="55" t="s">
        <v>268</v>
      </c>
      <c r="H32" s="64" t="s">
        <v>269</v>
      </c>
      <c r="I32" s="65">
        <v>2.3779246433500001</v>
      </c>
      <c r="J32" s="55" t="s">
        <v>588</v>
      </c>
      <c r="K32" s="66" t="s">
        <v>86</v>
      </c>
    </row>
    <row r="33" spans="1:12" s="56" customFormat="1" x14ac:dyDescent="0.25">
      <c r="B33" s="54">
        <v>11</v>
      </c>
      <c r="C33" s="55">
        <v>11</v>
      </c>
      <c r="D33" s="62" t="s">
        <v>195</v>
      </c>
      <c r="E33" s="55">
        <v>218</v>
      </c>
      <c r="F33" s="63" t="s">
        <v>270</v>
      </c>
      <c r="G33" s="55" t="s">
        <v>271</v>
      </c>
      <c r="H33" s="64" t="s">
        <v>272</v>
      </c>
      <c r="I33" s="65">
        <v>95.248502135300001</v>
      </c>
      <c r="J33" s="55" t="s">
        <v>87</v>
      </c>
      <c r="K33" s="66" t="s">
        <v>86</v>
      </c>
    </row>
    <row r="34" spans="1:12" s="56" customFormat="1" x14ac:dyDescent="0.25">
      <c r="B34" s="54">
        <v>11</v>
      </c>
      <c r="C34" s="55">
        <v>11</v>
      </c>
      <c r="D34" s="62" t="s">
        <v>195</v>
      </c>
      <c r="E34" s="55">
        <v>218</v>
      </c>
      <c r="F34" s="63" t="s">
        <v>270</v>
      </c>
      <c r="G34" s="55" t="s">
        <v>273</v>
      </c>
      <c r="H34" s="64" t="s">
        <v>274</v>
      </c>
      <c r="I34" s="65">
        <v>6.1686927579599997</v>
      </c>
      <c r="J34" s="55" t="s">
        <v>87</v>
      </c>
      <c r="K34" s="66" t="s">
        <v>86</v>
      </c>
    </row>
    <row r="35" spans="1:12" s="56" customFormat="1" x14ac:dyDescent="0.25">
      <c r="B35" s="54">
        <v>11</v>
      </c>
      <c r="C35" s="55">
        <v>11</v>
      </c>
      <c r="D35" s="62" t="s">
        <v>195</v>
      </c>
      <c r="E35" s="55">
        <v>218</v>
      </c>
      <c r="F35" s="63" t="s">
        <v>270</v>
      </c>
      <c r="G35" s="55" t="s">
        <v>275</v>
      </c>
      <c r="H35" s="64" t="s">
        <v>276</v>
      </c>
      <c r="I35" s="65">
        <v>10.8919492962</v>
      </c>
      <c r="J35" s="55" t="s">
        <v>87</v>
      </c>
      <c r="K35" s="66" t="s">
        <v>86</v>
      </c>
    </row>
    <row r="36" spans="1:12" s="56" customFormat="1" x14ac:dyDescent="0.25">
      <c r="B36" s="54">
        <v>11</v>
      </c>
      <c r="C36" s="55">
        <v>11</v>
      </c>
      <c r="D36" s="62" t="s">
        <v>195</v>
      </c>
      <c r="E36" s="55">
        <v>219</v>
      </c>
      <c r="F36" s="63" t="s">
        <v>277</v>
      </c>
      <c r="G36" s="55" t="s">
        <v>278</v>
      </c>
      <c r="H36" s="64" t="s">
        <v>279</v>
      </c>
      <c r="I36" s="65">
        <v>50.300052115100002</v>
      </c>
      <c r="J36" s="55" t="s">
        <v>87</v>
      </c>
      <c r="K36" s="66" t="s">
        <v>86</v>
      </c>
    </row>
    <row r="37" spans="1:12" s="56" customFormat="1" x14ac:dyDescent="0.25">
      <c r="B37" s="54">
        <v>11</v>
      </c>
      <c r="C37" s="55">
        <v>11</v>
      </c>
      <c r="D37" s="62" t="s">
        <v>195</v>
      </c>
      <c r="E37" s="55">
        <v>220</v>
      </c>
      <c r="F37" s="63" t="s">
        <v>280</v>
      </c>
      <c r="G37" s="55" t="s">
        <v>281</v>
      </c>
      <c r="H37" s="64" t="s">
        <v>282</v>
      </c>
      <c r="I37" s="65">
        <v>14.0411420562</v>
      </c>
      <c r="J37" s="55" t="s">
        <v>87</v>
      </c>
      <c r="K37" s="66" t="s">
        <v>86</v>
      </c>
    </row>
    <row r="38" spans="1:12" s="56" customFormat="1" x14ac:dyDescent="0.25">
      <c r="B38" s="54">
        <v>11</v>
      </c>
      <c r="C38" s="55">
        <v>11</v>
      </c>
      <c r="D38" s="62" t="s">
        <v>195</v>
      </c>
      <c r="E38" s="55">
        <v>221</v>
      </c>
      <c r="F38" s="63" t="s">
        <v>283</v>
      </c>
      <c r="G38" s="55" t="s">
        <v>284</v>
      </c>
      <c r="H38" s="64" t="s">
        <v>285</v>
      </c>
      <c r="I38" s="65">
        <v>77.104768097999994</v>
      </c>
      <c r="J38" s="55" t="s">
        <v>588</v>
      </c>
      <c r="K38" s="66" t="s">
        <v>86</v>
      </c>
    </row>
    <row r="39" spans="1:12" s="56" customFormat="1" x14ac:dyDescent="0.25">
      <c r="B39" s="54">
        <v>11</v>
      </c>
      <c r="C39" s="55">
        <v>11</v>
      </c>
      <c r="D39" s="62" t="s">
        <v>195</v>
      </c>
      <c r="E39" s="55">
        <v>222</v>
      </c>
      <c r="F39" s="63" t="s">
        <v>286</v>
      </c>
      <c r="G39" s="55" t="s">
        <v>287</v>
      </c>
      <c r="H39" s="64" t="s">
        <v>288</v>
      </c>
      <c r="I39" s="65">
        <v>0.98012924831600001</v>
      </c>
      <c r="J39" s="55" t="s">
        <v>87</v>
      </c>
      <c r="K39" s="66" t="s">
        <v>86</v>
      </c>
    </row>
    <row r="40" spans="1:12" x14ac:dyDescent="0.25">
      <c r="A40" s="56"/>
      <c r="B40" s="54">
        <v>11</v>
      </c>
      <c r="C40" s="55">
        <v>11</v>
      </c>
      <c r="D40" s="62" t="s">
        <v>195</v>
      </c>
      <c r="E40" s="55">
        <v>222</v>
      </c>
      <c r="F40" s="63" t="s">
        <v>286</v>
      </c>
      <c r="G40" s="55" t="s">
        <v>289</v>
      </c>
      <c r="H40" s="64" t="s">
        <v>290</v>
      </c>
      <c r="I40" s="65">
        <v>38.012738455600001</v>
      </c>
      <c r="J40" s="55" t="s">
        <v>588</v>
      </c>
      <c r="K40" s="66" t="s">
        <v>86</v>
      </c>
      <c r="L40" s="56"/>
    </row>
    <row r="41" spans="1:12" x14ac:dyDescent="0.25">
      <c r="A41" s="56"/>
      <c r="B41" s="54">
        <v>11</v>
      </c>
      <c r="C41" s="55">
        <v>11</v>
      </c>
      <c r="D41" s="62" t="s">
        <v>195</v>
      </c>
      <c r="E41" s="55">
        <v>223</v>
      </c>
      <c r="F41" s="63" t="s">
        <v>291</v>
      </c>
      <c r="G41" s="55" t="s">
        <v>292</v>
      </c>
      <c r="H41" s="64" t="s">
        <v>293</v>
      </c>
      <c r="I41" s="65">
        <v>63.874573671500002</v>
      </c>
      <c r="J41" s="55" t="s">
        <v>588</v>
      </c>
      <c r="K41" s="66" t="s">
        <v>86</v>
      </c>
      <c r="L41" s="56"/>
    </row>
    <row r="42" spans="1:12" ht="14.4" thickBot="1" x14ac:dyDescent="0.3">
      <c r="B42" s="52"/>
      <c r="C42" s="52"/>
      <c r="D42" s="58"/>
      <c r="E42" s="172"/>
      <c r="F42" s="67"/>
      <c r="K42" s="52"/>
    </row>
    <row r="43" spans="1:12" ht="14.4" thickBot="1" x14ac:dyDescent="0.35">
      <c r="H43" s="59" t="s">
        <v>88</v>
      </c>
      <c r="I43" s="68">
        <f>SUM(I4:I41)</f>
        <v>1105.37370875635</v>
      </c>
      <c r="K43" s="52"/>
    </row>
    <row r="44" spans="1:12" x14ac:dyDescent="0.3">
      <c r="K44" s="52"/>
    </row>
    <row r="45" spans="1:12" x14ac:dyDescent="0.3">
      <c r="K45" s="52"/>
    </row>
    <row r="46" spans="1:12" x14ac:dyDescent="0.3">
      <c r="K46" s="52"/>
    </row>
    <row r="47" spans="1:12" x14ac:dyDescent="0.3">
      <c r="K47" s="52"/>
    </row>
    <row r="48" spans="1:12" x14ac:dyDescent="0.3">
      <c r="K48" s="52"/>
    </row>
    <row r="49" spans="11:11" x14ac:dyDescent="0.3">
      <c r="K49" s="52"/>
    </row>
    <row r="50" spans="11:11" x14ac:dyDescent="0.3">
      <c r="K50" s="52"/>
    </row>
    <row r="51" spans="11:11" x14ac:dyDescent="0.3">
      <c r="K51" s="52"/>
    </row>
    <row r="52" spans="11:11" x14ac:dyDescent="0.3">
      <c r="K52" s="52"/>
    </row>
    <row r="53" spans="11:11" x14ac:dyDescent="0.3">
      <c r="K53" s="52"/>
    </row>
    <row r="54" spans="11:11" x14ac:dyDescent="0.3">
      <c r="K54" s="52"/>
    </row>
    <row r="55" spans="11:11" x14ac:dyDescent="0.3">
      <c r="K55" s="52"/>
    </row>
    <row r="56" spans="11:11" x14ac:dyDescent="0.3">
      <c r="K56" s="52"/>
    </row>
    <row r="57" spans="11:11" x14ac:dyDescent="0.3">
      <c r="K57" s="52"/>
    </row>
    <row r="58" spans="11:11" x14ac:dyDescent="0.3">
      <c r="K58" s="52"/>
    </row>
    <row r="59" spans="11:11" x14ac:dyDescent="0.3">
      <c r="K59" s="52"/>
    </row>
    <row r="60" spans="11:11" x14ac:dyDescent="0.3">
      <c r="K60" s="52"/>
    </row>
    <row r="61" spans="11:11" x14ac:dyDescent="0.3">
      <c r="K61" s="52"/>
    </row>
    <row r="62" spans="11:11" x14ac:dyDescent="0.3">
      <c r="K62" s="52"/>
    </row>
  </sheetData>
  <mergeCells count="1">
    <mergeCell ref="B2:K2"/>
  </mergeCells>
  <conditionalFormatting sqref="K1:K1048576">
    <cfRule type="cellIs" dxfId="5" priority="1" operator="equal">
      <formula>"Acesso"</formula>
    </cfRule>
  </conditionalFormatting>
  <conditionalFormatting sqref="K3:K1048576">
    <cfRule type="cellIs" dxfId="4" priority="2" operator="equal">
      <formula>"Municipal"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3D6C-C4F4-49A9-90B7-FE0516B38F2D}">
  <sheetPr codeName="Planilha16"/>
  <dimension ref="A2:L62"/>
  <sheetViews>
    <sheetView workbookViewId="0">
      <selection activeCell="E4" sqref="E4"/>
    </sheetView>
  </sheetViews>
  <sheetFormatPr defaultColWidth="8.19921875" defaultRowHeight="13.8" x14ac:dyDescent="0.3"/>
  <cols>
    <col min="1" max="1" width="4.19921875" style="57" customWidth="1"/>
    <col min="2" max="2" width="8.19921875" style="58"/>
    <col min="3" max="3" width="18.796875" style="57" customWidth="1"/>
    <col min="4" max="4" width="23.09765625" style="57" customWidth="1"/>
    <col min="5" max="5" width="14.5" style="61" customWidth="1"/>
    <col min="6" max="6" width="94.8984375" style="57" bestFit="1" customWidth="1"/>
    <col min="7" max="7" width="12.09765625" style="58" bestFit="1" customWidth="1"/>
    <col min="8" max="8" width="74.19921875" style="57" customWidth="1"/>
    <col min="9" max="9" width="14.09765625" style="60" customWidth="1"/>
    <col min="10" max="10" width="7.796875" style="58" customWidth="1"/>
    <col min="11" max="11" width="15" style="57" customWidth="1"/>
    <col min="12" max="16384" width="8.19921875" style="57"/>
  </cols>
  <sheetData>
    <row r="2" spans="2:11" s="53" customFormat="1" ht="45" customHeight="1" x14ac:dyDescent="0.3">
      <c r="B2" s="324" t="s">
        <v>76</v>
      </c>
      <c r="C2" s="325"/>
      <c r="D2" s="325"/>
      <c r="E2" s="325"/>
      <c r="F2" s="325"/>
      <c r="G2" s="325"/>
      <c r="H2" s="325"/>
      <c r="I2" s="325"/>
      <c r="J2" s="325"/>
      <c r="K2" s="326"/>
    </row>
    <row r="3" spans="2:11" s="56" customFormat="1" ht="39" customHeight="1" x14ac:dyDescent="0.3">
      <c r="B3" s="69" t="s">
        <v>77</v>
      </c>
      <c r="C3" s="69" t="s">
        <v>78</v>
      </c>
      <c r="D3" s="69" t="s">
        <v>79</v>
      </c>
      <c r="E3" s="70" t="s">
        <v>89</v>
      </c>
      <c r="F3" s="69" t="s">
        <v>0</v>
      </c>
      <c r="G3" s="69" t="s">
        <v>80</v>
      </c>
      <c r="H3" s="69" t="s">
        <v>81</v>
      </c>
      <c r="I3" s="71" t="s">
        <v>82</v>
      </c>
      <c r="J3" s="69" t="s">
        <v>83</v>
      </c>
      <c r="K3" s="69" t="s">
        <v>84</v>
      </c>
    </row>
    <row r="4" spans="2:11" s="56" customFormat="1" x14ac:dyDescent="0.25">
      <c r="B4" s="54">
        <v>12</v>
      </c>
      <c r="C4" s="55">
        <v>12</v>
      </c>
      <c r="D4" s="62" t="s">
        <v>294</v>
      </c>
      <c r="E4" s="55">
        <v>224</v>
      </c>
      <c r="F4" s="63" t="s">
        <v>295</v>
      </c>
      <c r="G4" s="55" t="s">
        <v>296</v>
      </c>
      <c r="H4" s="64" t="s">
        <v>297</v>
      </c>
      <c r="I4" s="65">
        <v>26.24</v>
      </c>
      <c r="J4" s="55" t="s">
        <v>87</v>
      </c>
      <c r="K4" s="66" t="s">
        <v>86</v>
      </c>
    </row>
    <row r="5" spans="2:11" s="56" customFormat="1" x14ac:dyDescent="0.25">
      <c r="B5" s="54">
        <v>12</v>
      </c>
      <c r="C5" s="55">
        <v>12</v>
      </c>
      <c r="D5" s="62" t="s">
        <v>294</v>
      </c>
      <c r="E5" s="55">
        <v>225</v>
      </c>
      <c r="F5" s="63" t="s">
        <v>298</v>
      </c>
      <c r="G5" s="55" t="s">
        <v>299</v>
      </c>
      <c r="H5" s="64" t="s">
        <v>300</v>
      </c>
      <c r="I5" s="65">
        <v>76.278130035900006</v>
      </c>
      <c r="J5" s="55" t="s">
        <v>87</v>
      </c>
      <c r="K5" s="66" t="s">
        <v>86</v>
      </c>
    </row>
    <row r="6" spans="2:11" s="56" customFormat="1" x14ac:dyDescent="0.25">
      <c r="B6" s="54">
        <v>12</v>
      </c>
      <c r="C6" s="55">
        <v>12</v>
      </c>
      <c r="D6" s="62" t="s">
        <v>294</v>
      </c>
      <c r="E6" s="55">
        <v>226</v>
      </c>
      <c r="F6" s="63" t="s">
        <v>301</v>
      </c>
      <c r="G6" s="55" t="s">
        <v>302</v>
      </c>
      <c r="H6" s="64" t="s">
        <v>303</v>
      </c>
      <c r="I6" s="65">
        <v>3.59154085616</v>
      </c>
      <c r="J6" s="55" t="s">
        <v>87</v>
      </c>
      <c r="K6" s="66" t="s">
        <v>86</v>
      </c>
    </row>
    <row r="7" spans="2:11" s="56" customFormat="1" x14ac:dyDescent="0.25">
      <c r="B7" s="54">
        <v>12</v>
      </c>
      <c r="C7" s="55">
        <v>12</v>
      </c>
      <c r="D7" s="62" t="s">
        <v>294</v>
      </c>
      <c r="E7" s="55">
        <v>226</v>
      </c>
      <c r="F7" s="63" t="s">
        <v>301</v>
      </c>
      <c r="G7" s="55" t="s">
        <v>304</v>
      </c>
      <c r="H7" s="64" t="s">
        <v>305</v>
      </c>
      <c r="I7" s="65">
        <v>52.926657861199999</v>
      </c>
      <c r="J7" s="55" t="s">
        <v>87</v>
      </c>
      <c r="K7" s="66" t="s">
        <v>86</v>
      </c>
    </row>
    <row r="8" spans="2:11" s="56" customFormat="1" x14ac:dyDescent="0.25">
      <c r="B8" s="54">
        <v>12</v>
      </c>
      <c r="C8" s="55">
        <v>12</v>
      </c>
      <c r="D8" s="62" t="s">
        <v>294</v>
      </c>
      <c r="E8" s="55">
        <v>226</v>
      </c>
      <c r="F8" s="63" t="s">
        <v>301</v>
      </c>
      <c r="G8" s="55" t="s">
        <v>306</v>
      </c>
      <c r="H8" s="64" t="s">
        <v>307</v>
      </c>
      <c r="I8" s="65">
        <v>8.5124137477299993</v>
      </c>
      <c r="J8" s="55" t="s">
        <v>87</v>
      </c>
      <c r="K8" s="66" t="s">
        <v>86</v>
      </c>
    </row>
    <row r="9" spans="2:11" s="56" customFormat="1" x14ac:dyDescent="0.25">
      <c r="B9" s="54">
        <v>12</v>
      </c>
      <c r="C9" s="55">
        <v>12</v>
      </c>
      <c r="D9" s="62" t="s">
        <v>294</v>
      </c>
      <c r="E9" s="55">
        <v>227</v>
      </c>
      <c r="F9" s="63" t="s">
        <v>308</v>
      </c>
      <c r="G9" s="55" t="s">
        <v>309</v>
      </c>
      <c r="H9" s="64" t="s">
        <v>310</v>
      </c>
      <c r="I9" s="65">
        <v>1.8557688138099999</v>
      </c>
      <c r="J9" s="55" t="s">
        <v>585</v>
      </c>
      <c r="K9" s="66" t="s">
        <v>586</v>
      </c>
    </row>
    <row r="10" spans="2:11" s="56" customFormat="1" x14ac:dyDescent="0.25">
      <c r="B10" s="54">
        <v>12</v>
      </c>
      <c r="C10" s="55">
        <v>12</v>
      </c>
      <c r="D10" s="62" t="s">
        <v>294</v>
      </c>
      <c r="E10" s="55">
        <v>227</v>
      </c>
      <c r="F10" s="63" t="s">
        <v>308</v>
      </c>
      <c r="G10" s="55" t="s">
        <v>311</v>
      </c>
      <c r="H10" s="64" t="s">
        <v>312</v>
      </c>
      <c r="I10" s="65">
        <v>1.24134512999</v>
      </c>
      <c r="J10" s="55" t="s">
        <v>87</v>
      </c>
      <c r="K10" s="66" t="s">
        <v>86</v>
      </c>
    </row>
    <row r="11" spans="2:11" s="56" customFormat="1" x14ac:dyDescent="0.25">
      <c r="B11" s="54">
        <v>12</v>
      </c>
      <c r="C11" s="55">
        <v>12</v>
      </c>
      <c r="D11" s="62" t="s">
        <v>294</v>
      </c>
      <c r="E11" s="55">
        <v>227</v>
      </c>
      <c r="F11" s="63" t="s">
        <v>308</v>
      </c>
      <c r="G11" s="55" t="s">
        <v>313</v>
      </c>
      <c r="H11" s="64" t="s">
        <v>314</v>
      </c>
      <c r="I11" s="65">
        <v>9.5427730781100006</v>
      </c>
      <c r="J11" s="55" t="s">
        <v>87</v>
      </c>
      <c r="K11" s="66" t="s">
        <v>86</v>
      </c>
    </row>
    <row r="12" spans="2:11" s="56" customFormat="1" x14ac:dyDescent="0.25">
      <c r="B12" s="54">
        <v>12</v>
      </c>
      <c r="C12" s="55">
        <v>12</v>
      </c>
      <c r="D12" s="62" t="s">
        <v>294</v>
      </c>
      <c r="E12" s="55">
        <v>227</v>
      </c>
      <c r="F12" s="63" t="s">
        <v>308</v>
      </c>
      <c r="G12" s="55" t="s">
        <v>315</v>
      </c>
      <c r="H12" s="64" t="s">
        <v>316</v>
      </c>
      <c r="I12" s="65">
        <v>21.5248107056</v>
      </c>
      <c r="J12" s="55" t="s">
        <v>87</v>
      </c>
      <c r="K12" s="66" t="s">
        <v>86</v>
      </c>
    </row>
    <row r="13" spans="2:11" s="56" customFormat="1" x14ac:dyDescent="0.25">
      <c r="B13" s="54">
        <v>12</v>
      </c>
      <c r="C13" s="55">
        <v>12</v>
      </c>
      <c r="D13" s="62" t="s">
        <v>294</v>
      </c>
      <c r="E13" s="55">
        <v>227</v>
      </c>
      <c r="F13" s="63" t="s">
        <v>308</v>
      </c>
      <c r="G13" s="55" t="s">
        <v>85</v>
      </c>
      <c r="H13" s="64" t="s">
        <v>317</v>
      </c>
      <c r="I13" s="65">
        <v>8.9931636998800002</v>
      </c>
      <c r="J13" s="55" t="s">
        <v>87</v>
      </c>
      <c r="K13" s="66" t="s">
        <v>318</v>
      </c>
    </row>
    <row r="14" spans="2:11" s="56" customFormat="1" x14ac:dyDescent="0.25">
      <c r="B14" s="54">
        <v>12</v>
      </c>
      <c r="C14" s="55">
        <v>12</v>
      </c>
      <c r="D14" s="62" t="s">
        <v>294</v>
      </c>
      <c r="E14" s="55">
        <v>228</v>
      </c>
      <c r="F14" s="63" t="s">
        <v>319</v>
      </c>
      <c r="G14" s="55" t="s">
        <v>320</v>
      </c>
      <c r="H14" s="64" t="s">
        <v>321</v>
      </c>
      <c r="I14" s="65">
        <v>54.941976282500001</v>
      </c>
      <c r="J14" s="55" t="s">
        <v>87</v>
      </c>
      <c r="K14" s="66" t="s">
        <v>86</v>
      </c>
    </row>
    <row r="15" spans="2:11" s="56" customFormat="1" x14ac:dyDescent="0.25">
      <c r="B15" s="54">
        <v>12</v>
      </c>
      <c r="C15" s="55">
        <v>12</v>
      </c>
      <c r="D15" s="62" t="s">
        <v>294</v>
      </c>
      <c r="E15" s="55">
        <v>228</v>
      </c>
      <c r="F15" s="63" t="s">
        <v>319</v>
      </c>
      <c r="G15" s="55" t="s">
        <v>85</v>
      </c>
      <c r="H15" s="64" t="s">
        <v>322</v>
      </c>
      <c r="I15" s="65">
        <v>12.3173480749</v>
      </c>
      <c r="J15" s="55" t="s">
        <v>588</v>
      </c>
      <c r="K15" s="66" t="s">
        <v>318</v>
      </c>
    </row>
    <row r="16" spans="2:11" s="56" customFormat="1" x14ac:dyDescent="0.25">
      <c r="B16" s="54">
        <v>12</v>
      </c>
      <c r="C16" s="55">
        <v>12</v>
      </c>
      <c r="D16" s="62" t="s">
        <v>294</v>
      </c>
      <c r="E16" s="55">
        <v>229</v>
      </c>
      <c r="F16" s="63" t="s">
        <v>323</v>
      </c>
      <c r="G16" s="55" t="s">
        <v>324</v>
      </c>
      <c r="H16" s="64" t="s">
        <v>325</v>
      </c>
      <c r="I16" s="65">
        <v>1.96994655083</v>
      </c>
      <c r="J16" s="55" t="s">
        <v>87</v>
      </c>
      <c r="K16" s="66" t="s">
        <v>86</v>
      </c>
    </row>
    <row r="17" spans="2:11" s="56" customFormat="1" x14ac:dyDescent="0.25">
      <c r="B17" s="54">
        <v>12</v>
      </c>
      <c r="C17" s="55">
        <v>12</v>
      </c>
      <c r="D17" s="62" t="s">
        <v>294</v>
      </c>
      <c r="E17" s="55">
        <v>229</v>
      </c>
      <c r="F17" s="63" t="s">
        <v>323</v>
      </c>
      <c r="G17" s="55" t="s">
        <v>326</v>
      </c>
      <c r="H17" s="64" t="s">
        <v>327</v>
      </c>
      <c r="I17" s="65">
        <v>22.432306739400001</v>
      </c>
      <c r="J17" s="55" t="s">
        <v>589</v>
      </c>
      <c r="K17" s="66" t="s">
        <v>86</v>
      </c>
    </row>
    <row r="18" spans="2:11" s="56" customFormat="1" x14ac:dyDescent="0.25">
      <c r="B18" s="54">
        <v>12</v>
      </c>
      <c r="C18" s="55">
        <v>12</v>
      </c>
      <c r="D18" s="62" t="s">
        <v>294</v>
      </c>
      <c r="E18" s="55">
        <v>229</v>
      </c>
      <c r="F18" s="63" t="s">
        <v>323</v>
      </c>
      <c r="G18" s="55" t="s">
        <v>328</v>
      </c>
      <c r="H18" s="64" t="s">
        <v>329</v>
      </c>
      <c r="I18" s="65">
        <v>7.6576127770199998</v>
      </c>
      <c r="J18" s="55" t="s">
        <v>589</v>
      </c>
      <c r="K18" s="66" t="s">
        <v>86</v>
      </c>
    </row>
    <row r="19" spans="2:11" s="56" customFormat="1" x14ac:dyDescent="0.25">
      <c r="B19" s="54">
        <v>12</v>
      </c>
      <c r="C19" s="55">
        <v>12</v>
      </c>
      <c r="D19" s="62" t="s">
        <v>294</v>
      </c>
      <c r="E19" s="55">
        <v>229</v>
      </c>
      <c r="F19" s="63" t="s">
        <v>323</v>
      </c>
      <c r="G19" s="55" t="s">
        <v>330</v>
      </c>
      <c r="H19" s="64" t="s">
        <v>331</v>
      </c>
      <c r="I19" s="65">
        <v>51.627934935699997</v>
      </c>
      <c r="J19" s="55" t="s">
        <v>589</v>
      </c>
      <c r="K19" s="66" t="s">
        <v>86</v>
      </c>
    </row>
    <row r="20" spans="2:11" s="56" customFormat="1" x14ac:dyDescent="0.25">
      <c r="B20" s="54">
        <v>12</v>
      </c>
      <c r="C20" s="55">
        <v>12</v>
      </c>
      <c r="D20" s="62" t="s">
        <v>294</v>
      </c>
      <c r="E20" s="55">
        <v>229</v>
      </c>
      <c r="F20" s="63" t="s">
        <v>323</v>
      </c>
      <c r="G20" s="55" t="s">
        <v>332</v>
      </c>
      <c r="H20" s="64" t="s">
        <v>333</v>
      </c>
      <c r="I20" s="65">
        <v>0.197889553547</v>
      </c>
      <c r="J20" s="55" t="s">
        <v>585</v>
      </c>
      <c r="K20" s="66" t="s">
        <v>586</v>
      </c>
    </row>
    <row r="21" spans="2:11" s="56" customFormat="1" x14ac:dyDescent="0.25">
      <c r="B21" s="54">
        <v>12</v>
      </c>
      <c r="C21" s="55">
        <v>12</v>
      </c>
      <c r="D21" s="62" t="s">
        <v>294</v>
      </c>
      <c r="E21" s="55">
        <v>229</v>
      </c>
      <c r="F21" s="63" t="s">
        <v>323</v>
      </c>
      <c r="G21" s="55" t="s">
        <v>334</v>
      </c>
      <c r="H21" s="64" t="s">
        <v>333</v>
      </c>
      <c r="I21" s="65">
        <v>0.240769749157</v>
      </c>
      <c r="J21" s="55" t="s">
        <v>585</v>
      </c>
      <c r="K21" s="66" t="s">
        <v>586</v>
      </c>
    </row>
    <row r="22" spans="2:11" s="56" customFormat="1" x14ac:dyDescent="0.25">
      <c r="B22" s="54">
        <v>12</v>
      </c>
      <c r="C22" s="55">
        <v>12</v>
      </c>
      <c r="D22" s="62" t="s">
        <v>294</v>
      </c>
      <c r="E22" s="55">
        <v>230</v>
      </c>
      <c r="F22" s="63" t="s">
        <v>335</v>
      </c>
      <c r="G22" s="55" t="s">
        <v>336</v>
      </c>
      <c r="H22" s="64" t="s">
        <v>337</v>
      </c>
      <c r="I22" s="65">
        <v>16.519213165099998</v>
      </c>
      <c r="J22" s="55" t="s">
        <v>87</v>
      </c>
      <c r="K22" s="66" t="s">
        <v>86</v>
      </c>
    </row>
    <row r="23" spans="2:11" s="56" customFormat="1" x14ac:dyDescent="0.25">
      <c r="B23" s="54">
        <v>12</v>
      </c>
      <c r="C23" s="55">
        <v>12</v>
      </c>
      <c r="D23" s="62" t="s">
        <v>294</v>
      </c>
      <c r="E23" s="55">
        <v>230</v>
      </c>
      <c r="F23" s="63" t="s">
        <v>335</v>
      </c>
      <c r="G23" s="55" t="s">
        <v>338</v>
      </c>
      <c r="H23" s="64" t="s">
        <v>339</v>
      </c>
      <c r="I23" s="65">
        <v>46.3845222737</v>
      </c>
      <c r="J23" s="55" t="s">
        <v>87</v>
      </c>
      <c r="K23" s="66" t="s">
        <v>86</v>
      </c>
    </row>
    <row r="24" spans="2:11" s="56" customFormat="1" x14ac:dyDescent="0.25">
      <c r="B24" s="54">
        <v>12</v>
      </c>
      <c r="C24" s="55">
        <v>12</v>
      </c>
      <c r="D24" s="62" t="s">
        <v>294</v>
      </c>
      <c r="E24" s="55">
        <v>231</v>
      </c>
      <c r="F24" s="63" t="s">
        <v>340</v>
      </c>
      <c r="G24" s="55" t="s">
        <v>341</v>
      </c>
      <c r="H24" s="64" t="s">
        <v>342</v>
      </c>
      <c r="I24" s="65">
        <v>21.3542155608</v>
      </c>
      <c r="J24" s="55" t="s">
        <v>588</v>
      </c>
      <c r="K24" s="66" t="s">
        <v>86</v>
      </c>
    </row>
    <row r="25" spans="2:11" s="56" customFormat="1" x14ac:dyDescent="0.25">
      <c r="B25" s="54">
        <v>12</v>
      </c>
      <c r="C25" s="55">
        <v>12</v>
      </c>
      <c r="D25" s="62" t="s">
        <v>294</v>
      </c>
      <c r="E25" s="55">
        <v>231</v>
      </c>
      <c r="F25" s="63" t="s">
        <v>340</v>
      </c>
      <c r="G25" s="55" t="s">
        <v>343</v>
      </c>
      <c r="H25" s="64" t="s">
        <v>344</v>
      </c>
      <c r="I25" s="65">
        <v>6.2394458372699999</v>
      </c>
      <c r="J25" s="55" t="s">
        <v>588</v>
      </c>
      <c r="K25" s="66" t="s">
        <v>86</v>
      </c>
    </row>
    <row r="26" spans="2:11" s="56" customFormat="1" x14ac:dyDescent="0.25">
      <c r="B26" s="54">
        <v>12</v>
      </c>
      <c r="C26" s="55">
        <v>12</v>
      </c>
      <c r="D26" s="62" t="s">
        <v>294</v>
      </c>
      <c r="E26" s="55">
        <v>231</v>
      </c>
      <c r="F26" s="63" t="s">
        <v>340</v>
      </c>
      <c r="G26" s="55" t="s">
        <v>345</v>
      </c>
      <c r="H26" s="64" t="s">
        <v>346</v>
      </c>
      <c r="I26" s="65">
        <v>5.3298941924200003</v>
      </c>
      <c r="J26" s="55" t="s">
        <v>588</v>
      </c>
      <c r="K26" s="66" t="s">
        <v>86</v>
      </c>
    </row>
    <row r="27" spans="2:11" s="56" customFormat="1" x14ac:dyDescent="0.25">
      <c r="B27" s="54">
        <v>12</v>
      </c>
      <c r="C27" s="55">
        <v>12</v>
      </c>
      <c r="D27" s="62" t="s">
        <v>294</v>
      </c>
      <c r="E27" s="55">
        <v>231</v>
      </c>
      <c r="F27" s="63" t="s">
        <v>340</v>
      </c>
      <c r="G27" s="55" t="s">
        <v>347</v>
      </c>
      <c r="H27" s="64" t="s">
        <v>348</v>
      </c>
      <c r="I27" s="65">
        <v>1.12549100823</v>
      </c>
      <c r="J27" s="55" t="s">
        <v>585</v>
      </c>
      <c r="K27" s="66" t="s">
        <v>586</v>
      </c>
    </row>
    <row r="28" spans="2:11" s="56" customFormat="1" x14ac:dyDescent="0.25">
      <c r="B28" s="54">
        <v>12</v>
      </c>
      <c r="C28" s="55">
        <v>12</v>
      </c>
      <c r="D28" s="62" t="s">
        <v>294</v>
      </c>
      <c r="E28" s="55">
        <v>231</v>
      </c>
      <c r="F28" s="63" t="s">
        <v>340</v>
      </c>
      <c r="G28" s="55" t="s">
        <v>349</v>
      </c>
      <c r="H28" s="64" t="s">
        <v>350</v>
      </c>
      <c r="I28" s="65">
        <v>1.3310601720899999</v>
      </c>
      <c r="J28" s="55" t="s">
        <v>588</v>
      </c>
      <c r="K28" s="66" t="s">
        <v>86</v>
      </c>
    </row>
    <row r="29" spans="2:11" s="56" customFormat="1" x14ac:dyDescent="0.25">
      <c r="B29" s="54">
        <v>12</v>
      </c>
      <c r="C29" s="55">
        <v>12</v>
      </c>
      <c r="D29" s="62" t="s">
        <v>294</v>
      </c>
      <c r="E29" s="55">
        <v>232</v>
      </c>
      <c r="F29" s="63" t="s">
        <v>351</v>
      </c>
      <c r="G29" s="55" t="s">
        <v>352</v>
      </c>
      <c r="H29" s="64" t="s">
        <v>353</v>
      </c>
      <c r="I29" s="65">
        <v>25.932626726399999</v>
      </c>
      <c r="J29" s="55" t="s">
        <v>588</v>
      </c>
      <c r="K29" s="66" t="s">
        <v>86</v>
      </c>
    </row>
    <row r="30" spans="2:11" s="56" customFormat="1" x14ac:dyDescent="0.25">
      <c r="B30" s="54">
        <v>12</v>
      </c>
      <c r="C30" s="55">
        <v>12</v>
      </c>
      <c r="D30" s="62" t="s">
        <v>294</v>
      </c>
      <c r="E30" s="55">
        <v>232</v>
      </c>
      <c r="F30" s="63" t="s">
        <v>351</v>
      </c>
      <c r="G30" s="55" t="s">
        <v>354</v>
      </c>
      <c r="H30" s="64" t="s">
        <v>355</v>
      </c>
      <c r="I30" s="65">
        <v>39.401207841999998</v>
      </c>
      <c r="J30" s="55" t="s">
        <v>588</v>
      </c>
      <c r="K30" s="66" t="s">
        <v>86</v>
      </c>
    </row>
    <row r="31" spans="2:11" s="56" customFormat="1" x14ac:dyDescent="0.25">
      <c r="B31" s="54">
        <v>12</v>
      </c>
      <c r="C31" s="55">
        <v>12</v>
      </c>
      <c r="D31" s="62" t="s">
        <v>294</v>
      </c>
      <c r="E31" s="55">
        <v>232</v>
      </c>
      <c r="F31" s="63" t="s">
        <v>351</v>
      </c>
      <c r="G31" s="55" t="s">
        <v>356</v>
      </c>
      <c r="H31" s="64" t="s">
        <v>357</v>
      </c>
      <c r="I31" s="65">
        <v>1.55186856897</v>
      </c>
      <c r="J31" s="55" t="s">
        <v>588</v>
      </c>
      <c r="K31" s="66" t="s">
        <v>86</v>
      </c>
    </row>
    <row r="32" spans="2:11" s="56" customFormat="1" x14ac:dyDescent="0.25">
      <c r="B32" s="54">
        <v>12</v>
      </c>
      <c r="C32" s="55">
        <v>12</v>
      </c>
      <c r="D32" s="62" t="s">
        <v>294</v>
      </c>
      <c r="E32" s="55">
        <v>232</v>
      </c>
      <c r="F32" s="63" t="s">
        <v>351</v>
      </c>
      <c r="G32" s="55" t="s">
        <v>358</v>
      </c>
      <c r="H32" s="64" t="s">
        <v>359</v>
      </c>
      <c r="I32" s="65">
        <v>20.9453418423</v>
      </c>
      <c r="J32" s="55" t="s">
        <v>588</v>
      </c>
      <c r="K32" s="66" t="s">
        <v>86</v>
      </c>
    </row>
    <row r="33" spans="1:12" s="56" customFormat="1" x14ac:dyDescent="0.25">
      <c r="B33" s="54">
        <v>12</v>
      </c>
      <c r="C33" s="55">
        <v>12</v>
      </c>
      <c r="D33" s="62" t="s">
        <v>294</v>
      </c>
      <c r="E33" s="55">
        <v>233</v>
      </c>
      <c r="F33" s="63" t="s">
        <v>360</v>
      </c>
      <c r="G33" s="55" t="s">
        <v>361</v>
      </c>
      <c r="H33" s="64" t="s">
        <v>362</v>
      </c>
      <c r="I33" s="65">
        <v>22.7883117728</v>
      </c>
      <c r="J33" s="55" t="s">
        <v>87</v>
      </c>
      <c r="K33" s="66" t="s">
        <v>86</v>
      </c>
    </row>
    <row r="34" spans="1:12" s="56" customFormat="1" x14ac:dyDescent="0.25">
      <c r="B34" s="54">
        <v>12</v>
      </c>
      <c r="C34" s="55">
        <v>12</v>
      </c>
      <c r="D34" s="62" t="s">
        <v>294</v>
      </c>
      <c r="E34" s="55">
        <v>233</v>
      </c>
      <c r="F34" s="63" t="s">
        <v>360</v>
      </c>
      <c r="G34" s="55" t="s">
        <v>363</v>
      </c>
      <c r="H34" s="64" t="s">
        <v>364</v>
      </c>
      <c r="I34" s="65">
        <v>21.785344017</v>
      </c>
      <c r="J34" s="55" t="s">
        <v>87</v>
      </c>
      <c r="K34" s="66" t="s">
        <v>86</v>
      </c>
    </row>
    <row r="35" spans="1:12" s="56" customFormat="1" x14ac:dyDescent="0.25">
      <c r="B35" s="54">
        <v>12</v>
      </c>
      <c r="C35" s="55">
        <v>12</v>
      </c>
      <c r="D35" s="62" t="s">
        <v>294</v>
      </c>
      <c r="E35" s="55">
        <v>233</v>
      </c>
      <c r="F35" s="63" t="s">
        <v>360</v>
      </c>
      <c r="G35" s="55" t="s">
        <v>365</v>
      </c>
      <c r="H35" s="64" t="s">
        <v>366</v>
      </c>
      <c r="I35" s="65">
        <v>13.872973655999999</v>
      </c>
      <c r="J35" s="55" t="s">
        <v>87</v>
      </c>
      <c r="K35" s="66" t="s">
        <v>86</v>
      </c>
    </row>
    <row r="36" spans="1:12" s="56" customFormat="1" x14ac:dyDescent="0.25">
      <c r="B36" s="54">
        <v>12</v>
      </c>
      <c r="C36" s="55">
        <v>12</v>
      </c>
      <c r="D36" s="62" t="s">
        <v>294</v>
      </c>
      <c r="E36" s="55">
        <v>233</v>
      </c>
      <c r="F36" s="63" t="s">
        <v>360</v>
      </c>
      <c r="G36" s="55" t="s">
        <v>367</v>
      </c>
      <c r="H36" s="64" t="s">
        <v>368</v>
      </c>
      <c r="I36" s="65">
        <v>23.4028628015</v>
      </c>
      <c r="J36" s="55" t="s">
        <v>87</v>
      </c>
      <c r="K36" s="66" t="s">
        <v>86</v>
      </c>
    </row>
    <row r="37" spans="1:12" s="56" customFormat="1" x14ac:dyDescent="0.25">
      <c r="B37" s="54">
        <v>12</v>
      </c>
      <c r="C37" s="55">
        <v>12</v>
      </c>
      <c r="D37" s="62" t="s">
        <v>294</v>
      </c>
      <c r="E37" s="55">
        <v>234</v>
      </c>
      <c r="F37" s="63" t="s">
        <v>369</v>
      </c>
      <c r="G37" s="55" t="s">
        <v>370</v>
      </c>
      <c r="H37" s="64" t="s">
        <v>371</v>
      </c>
      <c r="I37" s="65">
        <v>37.422325510199997</v>
      </c>
      <c r="J37" s="55" t="s">
        <v>87</v>
      </c>
      <c r="K37" s="66" t="s">
        <v>86</v>
      </c>
    </row>
    <row r="38" spans="1:12" s="56" customFormat="1" x14ac:dyDescent="0.25">
      <c r="B38" s="54">
        <v>12</v>
      </c>
      <c r="C38" s="55">
        <v>12</v>
      </c>
      <c r="D38" s="62" t="s">
        <v>294</v>
      </c>
      <c r="E38" s="55">
        <v>235</v>
      </c>
      <c r="F38" s="63" t="s">
        <v>372</v>
      </c>
      <c r="G38" s="55" t="s">
        <v>373</v>
      </c>
      <c r="H38" s="64" t="s">
        <v>374</v>
      </c>
      <c r="I38" s="65">
        <v>0.64415038338800001</v>
      </c>
      <c r="J38" s="55" t="s">
        <v>585</v>
      </c>
      <c r="K38" s="66" t="s">
        <v>586</v>
      </c>
    </row>
    <row r="39" spans="1:12" s="56" customFormat="1" x14ac:dyDescent="0.25">
      <c r="B39" s="54">
        <v>12</v>
      </c>
      <c r="C39" s="55">
        <v>12</v>
      </c>
      <c r="D39" s="62" t="s">
        <v>294</v>
      </c>
      <c r="E39" s="55">
        <v>235</v>
      </c>
      <c r="F39" s="63" t="s">
        <v>372</v>
      </c>
      <c r="G39" s="55" t="s">
        <v>375</v>
      </c>
      <c r="H39" s="64" t="s">
        <v>374</v>
      </c>
      <c r="I39" s="65">
        <v>1.3221506387399999</v>
      </c>
      <c r="J39" s="55" t="s">
        <v>585</v>
      </c>
      <c r="K39" s="66" t="s">
        <v>586</v>
      </c>
    </row>
    <row r="40" spans="1:12" x14ac:dyDescent="0.25">
      <c r="A40" s="56"/>
      <c r="B40" s="54">
        <v>12</v>
      </c>
      <c r="C40" s="55">
        <v>12</v>
      </c>
      <c r="D40" s="62" t="s">
        <v>294</v>
      </c>
      <c r="E40" s="55">
        <v>235</v>
      </c>
      <c r="F40" s="63" t="s">
        <v>372</v>
      </c>
      <c r="G40" s="55" t="s">
        <v>376</v>
      </c>
      <c r="H40" s="64" t="s">
        <v>377</v>
      </c>
      <c r="I40" s="65">
        <v>16.889369018</v>
      </c>
      <c r="J40" s="55" t="s">
        <v>87</v>
      </c>
      <c r="K40" s="66" t="s">
        <v>86</v>
      </c>
      <c r="L40" s="56"/>
    </row>
    <row r="41" spans="1:12" x14ac:dyDescent="0.25">
      <c r="A41" s="56"/>
      <c r="B41" s="54">
        <v>12</v>
      </c>
      <c r="C41" s="55">
        <v>12</v>
      </c>
      <c r="D41" s="62" t="s">
        <v>294</v>
      </c>
      <c r="E41" s="55">
        <v>235</v>
      </c>
      <c r="F41" s="63" t="s">
        <v>372</v>
      </c>
      <c r="G41" s="55" t="s">
        <v>378</v>
      </c>
      <c r="H41" s="64" t="s">
        <v>379</v>
      </c>
      <c r="I41" s="65">
        <v>5.0201753927799997</v>
      </c>
      <c r="J41" s="55" t="s">
        <v>87</v>
      </c>
      <c r="K41" s="66" t="s">
        <v>86</v>
      </c>
      <c r="L41" s="56"/>
    </row>
    <row r="42" spans="1:12" x14ac:dyDescent="0.25">
      <c r="A42" s="56"/>
      <c r="B42" s="54">
        <v>12</v>
      </c>
      <c r="C42" s="55">
        <v>12</v>
      </c>
      <c r="D42" s="62" t="s">
        <v>294</v>
      </c>
      <c r="E42" s="55">
        <v>235</v>
      </c>
      <c r="F42" s="63" t="s">
        <v>372</v>
      </c>
      <c r="G42" s="55" t="s">
        <v>380</v>
      </c>
      <c r="H42" s="64" t="s">
        <v>381</v>
      </c>
      <c r="I42" s="65">
        <v>6.2417577269300004</v>
      </c>
      <c r="J42" s="55" t="s">
        <v>87</v>
      </c>
      <c r="K42" s="66" t="s">
        <v>86</v>
      </c>
      <c r="L42" s="56"/>
    </row>
    <row r="43" spans="1:12" x14ac:dyDescent="0.25">
      <c r="A43" s="56"/>
      <c r="B43" s="54">
        <v>12</v>
      </c>
      <c r="C43" s="55">
        <v>12</v>
      </c>
      <c r="D43" s="62" t="s">
        <v>294</v>
      </c>
      <c r="E43" s="55">
        <v>236</v>
      </c>
      <c r="F43" s="63" t="s">
        <v>382</v>
      </c>
      <c r="G43" s="55" t="s">
        <v>383</v>
      </c>
      <c r="H43" s="64" t="s">
        <v>384</v>
      </c>
      <c r="I43" s="65">
        <v>9.4784747975600006</v>
      </c>
      <c r="J43" s="55" t="s">
        <v>588</v>
      </c>
      <c r="K43" s="66" t="s">
        <v>86</v>
      </c>
      <c r="L43" s="56"/>
    </row>
    <row r="44" spans="1:12" x14ac:dyDescent="0.25">
      <c r="A44" s="56"/>
      <c r="B44" s="54">
        <v>12</v>
      </c>
      <c r="C44" s="55">
        <v>12</v>
      </c>
      <c r="D44" s="62" t="s">
        <v>294</v>
      </c>
      <c r="E44" s="55">
        <v>236</v>
      </c>
      <c r="F44" s="63" t="s">
        <v>382</v>
      </c>
      <c r="G44" s="55" t="s">
        <v>385</v>
      </c>
      <c r="H44" s="64" t="s">
        <v>386</v>
      </c>
      <c r="I44" s="65">
        <v>21.460758116600001</v>
      </c>
      <c r="J44" s="55" t="s">
        <v>588</v>
      </c>
      <c r="K44" s="66" t="s">
        <v>86</v>
      </c>
      <c r="L44" s="56"/>
    </row>
    <row r="45" spans="1:12" x14ac:dyDescent="0.25">
      <c r="A45" s="56"/>
      <c r="B45" s="54">
        <v>12</v>
      </c>
      <c r="C45" s="55">
        <v>12</v>
      </c>
      <c r="D45" s="62" t="s">
        <v>294</v>
      </c>
      <c r="E45" s="55">
        <v>236</v>
      </c>
      <c r="F45" s="63" t="s">
        <v>382</v>
      </c>
      <c r="G45" s="55" t="s">
        <v>387</v>
      </c>
      <c r="H45" s="64" t="s">
        <v>388</v>
      </c>
      <c r="I45" s="65">
        <v>3.02740671831</v>
      </c>
      <c r="J45" s="55" t="s">
        <v>588</v>
      </c>
      <c r="K45" s="66" t="s">
        <v>86</v>
      </c>
      <c r="L45" s="56"/>
    </row>
    <row r="46" spans="1:12" x14ac:dyDescent="0.25">
      <c r="A46" s="56"/>
      <c r="B46" s="54">
        <v>12</v>
      </c>
      <c r="C46" s="55">
        <v>12</v>
      </c>
      <c r="D46" s="62" t="s">
        <v>294</v>
      </c>
      <c r="E46" s="55">
        <v>237</v>
      </c>
      <c r="F46" s="63" t="s">
        <v>389</v>
      </c>
      <c r="G46" s="55" t="s">
        <v>390</v>
      </c>
      <c r="H46" s="64" t="s">
        <v>391</v>
      </c>
      <c r="I46" s="65">
        <v>26.043992977599999</v>
      </c>
      <c r="J46" s="55" t="s">
        <v>588</v>
      </c>
      <c r="K46" s="66" t="s">
        <v>86</v>
      </c>
      <c r="L46" s="56"/>
    </row>
    <row r="47" spans="1:12" x14ac:dyDescent="0.25">
      <c r="A47" s="56"/>
      <c r="B47" s="54">
        <v>12</v>
      </c>
      <c r="C47" s="55">
        <v>12</v>
      </c>
      <c r="D47" s="62" t="s">
        <v>294</v>
      </c>
      <c r="E47" s="55">
        <v>238</v>
      </c>
      <c r="F47" s="63" t="s">
        <v>392</v>
      </c>
      <c r="G47" s="55" t="s">
        <v>393</v>
      </c>
      <c r="H47" s="64" t="s">
        <v>394</v>
      </c>
      <c r="I47" s="65">
        <v>21.698196634199999</v>
      </c>
      <c r="J47" s="55" t="s">
        <v>588</v>
      </c>
      <c r="K47" s="66" t="s">
        <v>86</v>
      </c>
      <c r="L47" s="56"/>
    </row>
    <row r="48" spans="1:12" x14ac:dyDescent="0.25">
      <c r="A48" s="56"/>
      <c r="B48" s="54">
        <v>12</v>
      </c>
      <c r="C48" s="55">
        <v>12</v>
      </c>
      <c r="D48" s="62" t="s">
        <v>294</v>
      </c>
      <c r="E48" s="55">
        <v>238</v>
      </c>
      <c r="F48" s="63" t="s">
        <v>392</v>
      </c>
      <c r="G48" s="55" t="s">
        <v>395</v>
      </c>
      <c r="H48" s="64" t="s">
        <v>396</v>
      </c>
      <c r="I48" s="65">
        <v>17.3678422658</v>
      </c>
      <c r="J48" s="55" t="s">
        <v>588</v>
      </c>
      <c r="K48" s="66" t="s">
        <v>86</v>
      </c>
      <c r="L48" s="56"/>
    </row>
    <row r="49" spans="1:12" x14ac:dyDescent="0.25">
      <c r="A49" s="56"/>
      <c r="B49" s="54">
        <v>12</v>
      </c>
      <c r="C49" s="55">
        <v>12</v>
      </c>
      <c r="D49" s="62" t="s">
        <v>294</v>
      </c>
      <c r="E49" s="55">
        <v>238</v>
      </c>
      <c r="F49" s="63" t="s">
        <v>392</v>
      </c>
      <c r="G49" s="55" t="s">
        <v>397</v>
      </c>
      <c r="H49" s="64" t="s">
        <v>398</v>
      </c>
      <c r="I49" s="65">
        <v>34.4884422716</v>
      </c>
      <c r="J49" s="55" t="s">
        <v>588</v>
      </c>
      <c r="K49" s="66" t="s">
        <v>86</v>
      </c>
      <c r="L49" s="56"/>
    </row>
    <row r="50" spans="1:12" x14ac:dyDescent="0.25">
      <c r="A50" s="56"/>
      <c r="B50" s="54">
        <v>12</v>
      </c>
      <c r="C50" s="55">
        <v>12</v>
      </c>
      <c r="D50" s="62" t="s">
        <v>294</v>
      </c>
      <c r="E50" s="55">
        <v>239</v>
      </c>
      <c r="F50" s="63" t="s">
        <v>399</v>
      </c>
      <c r="G50" s="55" t="s">
        <v>400</v>
      </c>
      <c r="H50" s="64" t="s">
        <v>401</v>
      </c>
      <c r="I50" s="65">
        <v>63.930071377099999</v>
      </c>
      <c r="J50" s="55" t="s">
        <v>588</v>
      </c>
      <c r="K50" s="66" t="s">
        <v>86</v>
      </c>
      <c r="L50" s="56"/>
    </row>
    <row r="51" spans="1:12" x14ac:dyDescent="0.25">
      <c r="A51" s="56"/>
      <c r="B51" s="54">
        <v>12</v>
      </c>
      <c r="C51" s="55">
        <v>12</v>
      </c>
      <c r="D51" s="62" t="s">
        <v>294</v>
      </c>
      <c r="E51" s="55">
        <v>240</v>
      </c>
      <c r="F51" s="63" t="s">
        <v>402</v>
      </c>
      <c r="G51" s="55" t="s">
        <v>403</v>
      </c>
      <c r="H51" s="64" t="s">
        <v>404</v>
      </c>
      <c r="I51" s="65">
        <v>34.7691744595</v>
      </c>
      <c r="J51" s="55" t="s">
        <v>588</v>
      </c>
      <c r="K51" s="66" t="s">
        <v>86</v>
      </c>
      <c r="L51" s="56"/>
    </row>
    <row r="52" spans="1:12" x14ac:dyDescent="0.25">
      <c r="A52" s="56"/>
      <c r="B52" s="54">
        <v>12</v>
      </c>
      <c r="C52" s="55">
        <v>12</v>
      </c>
      <c r="D52" s="62" t="s">
        <v>294</v>
      </c>
      <c r="E52" s="55">
        <v>240</v>
      </c>
      <c r="F52" s="63" t="s">
        <v>402</v>
      </c>
      <c r="G52" s="55" t="s">
        <v>405</v>
      </c>
      <c r="H52" s="64" t="s">
        <v>406</v>
      </c>
      <c r="I52" s="65">
        <v>46.307033582199999</v>
      </c>
      <c r="J52" s="55" t="s">
        <v>588</v>
      </c>
      <c r="K52" s="66" t="s">
        <v>86</v>
      </c>
      <c r="L52" s="56"/>
    </row>
    <row r="53" spans="1:12" x14ac:dyDescent="0.25">
      <c r="A53" s="56"/>
      <c r="B53" s="54">
        <v>12</v>
      </c>
      <c r="C53" s="55">
        <v>12</v>
      </c>
      <c r="D53" s="62" t="s">
        <v>294</v>
      </c>
      <c r="E53" s="55">
        <v>241</v>
      </c>
      <c r="F53" s="63" t="s">
        <v>407</v>
      </c>
      <c r="G53" s="55" t="s">
        <v>408</v>
      </c>
      <c r="H53" s="64" t="s">
        <v>409</v>
      </c>
      <c r="I53" s="65">
        <v>60.310112592999999</v>
      </c>
      <c r="J53" s="55" t="s">
        <v>588</v>
      </c>
      <c r="K53" s="66" t="s">
        <v>86</v>
      </c>
      <c r="L53" s="56"/>
    </row>
    <row r="54" spans="1:12" x14ac:dyDescent="0.25">
      <c r="A54" s="56"/>
      <c r="B54" s="54">
        <v>12</v>
      </c>
      <c r="C54" s="55">
        <v>12</v>
      </c>
      <c r="D54" s="62" t="s">
        <v>294</v>
      </c>
      <c r="E54" s="55">
        <v>242</v>
      </c>
      <c r="F54" s="63" t="s">
        <v>410</v>
      </c>
      <c r="G54" s="55" t="s">
        <v>411</v>
      </c>
      <c r="H54" s="64" t="s">
        <v>412</v>
      </c>
      <c r="I54" s="65">
        <v>16.272420419700001</v>
      </c>
      <c r="J54" s="55" t="s">
        <v>588</v>
      </c>
      <c r="K54" s="66" t="s">
        <v>86</v>
      </c>
      <c r="L54" s="56"/>
    </row>
    <row r="55" spans="1:12" x14ac:dyDescent="0.25">
      <c r="A55" s="56"/>
      <c r="B55" s="54">
        <v>12</v>
      </c>
      <c r="C55" s="55">
        <v>12</v>
      </c>
      <c r="D55" s="62" t="s">
        <v>294</v>
      </c>
      <c r="E55" s="55">
        <v>242</v>
      </c>
      <c r="F55" s="63" t="s">
        <v>410</v>
      </c>
      <c r="G55" s="55" t="s">
        <v>413</v>
      </c>
      <c r="H55" s="64" t="s">
        <v>414</v>
      </c>
      <c r="I55" s="65">
        <v>5.4039721786000001</v>
      </c>
      <c r="J55" s="55" t="s">
        <v>588</v>
      </c>
      <c r="K55" s="66" t="s">
        <v>86</v>
      </c>
      <c r="L55" s="56"/>
    </row>
    <row r="56" spans="1:12" x14ac:dyDescent="0.25">
      <c r="A56" s="56"/>
      <c r="B56" s="54">
        <v>12</v>
      </c>
      <c r="C56" s="55">
        <v>12</v>
      </c>
      <c r="D56" s="62" t="s">
        <v>294</v>
      </c>
      <c r="E56" s="55">
        <v>243</v>
      </c>
      <c r="F56" s="63" t="s">
        <v>415</v>
      </c>
      <c r="G56" s="55" t="s">
        <v>416</v>
      </c>
      <c r="H56" s="64" t="s">
        <v>417</v>
      </c>
      <c r="I56" s="65">
        <v>32.0347892375</v>
      </c>
      <c r="J56" s="55" t="s">
        <v>87</v>
      </c>
      <c r="K56" s="66" t="s">
        <v>86</v>
      </c>
      <c r="L56" s="56"/>
    </row>
    <row r="57" spans="1:12" x14ac:dyDescent="0.25">
      <c r="A57" s="56"/>
      <c r="B57" s="54">
        <v>12</v>
      </c>
      <c r="C57" s="55">
        <v>12</v>
      </c>
      <c r="D57" s="62" t="s">
        <v>294</v>
      </c>
      <c r="E57" s="55">
        <v>243</v>
      </c>
      <c r="F57" s="63" t="s">
        <v>415</v>
      </c>
      <c r="G57" s="55" t="s">
        <v>418</v>
      </c>
      <c r="H57" s="64" t="s">
        <v>419</v>
      </c>
      <c r="I57" s="65">
        <v>4.0257705207300001</v>
      </c>
      <c r="J57" s="55" t="s">
        <v>87</v>
      </c>
      <c r="K57" s="66" t="s">
        <v>86</v>
      </c>
      <c r="L57" s="56"/>
    </row>
    <row r="58" spans="1:12" x14ac:dyDescent="0.25">
      <c r="A58" s="56"/>
      <c r="B58" s="54">
        <v>12</v>
      </c>
      <c r="C58" s="55">
        <v>12</v>
      </c>
      <c r="D58" s="62" t="s">
        <v>294</v>
      </c>
      <c r="E58" s="55">
        <v>244</v>
      </c>
      <c r="F58" s="63" t="s">
        <v>420</v>
      </c>
      <c r="G58" s="55" t="s">
        <v>421</v>
      </c>
      <c r="H58" s="64" t="s">
        <v>422</v>
      </c>
      <c r="I58" s="65">
        <v>20.941914691400001</v>
      </c>
      <c r="J58" s="55" t="s">
        <v>87</v>
      </c>
      <c r="K58" s="66" t="s">
        <v>86</v>
      </c>
      <c r="L58" s="56"/>
    </row>
    <row r="59" spans="1:12" x14ac:dyDescent="0.25">
      <c r="A59" s="56"/>
      <c r="B59" s="54">
        <v>12</v>
      </c>
      <c r="C59" s="55">
        <v>12</v>
      </c>
      <c r="D59" s="62" t="s">
        <v>294</v>
      </c>
      <c r="E59" s="55">
        <v>244</v>
      </c>
      <c r="F59" s="63" t="s">
        <v>420</v>
      </c>
      <c r="G59" s="55" t="s">
        <v>423</v>
      </c>
      <c r="H59" s="64" t="s">
        <v>424</v>
      </c>
      <c r="I59" s="65">
        <v>12.101114412199999</v>
      </c>
      <c r="J59" s="55" t="s">
        <v>87</v>
      </c>
      <c r="K59" s="66" t="s">
        <v>86</v>
      </c>
      <c r="L59" s="56"/>
    </row>
    <row r="60" spans="1:12" x14ac:dyDescent="0.25">
      <c r="A60" s="56"/>
      <c r="B60" s="54">
        <v>12</v>
      </c>
      <c r="C60" s="55">
        <v>12</v>
      </c>
      <c r="D60" s="62" t="s">
        <v>294</v>
      </c>
      <c r="E60" s="55">
        <v>244</v>
      </c>
      <c r="F60" s="63" t="s">
        <v>420</v>
      </c>
      <c r="G60" s="55" t="s">
        <v>425</v>
      </c>
      <c r="H60" s="64" t="s">
        <v>426</v>
      </c>
      <c r="I60" s="65">
        <v>9.0435974920700009</v>
      </c>
      <c r="J60" s="55" t="s">
        <v>87</v>
      </c>
      <c r="K60" s="66" t="s">
        <v>86</v>
      </c>
      <c r="L60" s="56"/>
    </row>
    <row r="61" spans="1:12" ht="14.4" thickBot="1" x14ac:dyDescent="0.35">
      <c r="K61" s="52"/>
    </row>
    <row r="62" spans="1:12" ht="14.4" thickBot="1" x14ac:dyDescent="0.35">
      <c r="H62" s="59" t="s">
        <v>88</v>
      </c>
      <c r="I62" s="68">
        <f>SUM(I4:I60)</f>
        <v>1136.3017814437221</v>
      </c>
      <c r="K62" s="52"/>
    </row>
  </sheetData>
  <mergeCells count="1">
    <mergeCell ref="B2:K2"/>
  </mergeCells>
  <conditionalFormatting sqref="K1:K1048576">
    <cfRule type="cellIs" dxfId="3" priority="1" operator="equal">
      <formula>"Acesso"</formula>
    </cfRule>
    <cfRule type="cellIs" dxfId="2" priority="2" operator="equal">
      <formula>"Municipal"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093D-6248-4E35-9056-6368F12BE495}">
  <sheetPr codeName="Planilha18"/>
  <dimension ref="B2:L70"/>
  <sheetViews>
    <sheetView workbookViewId="0">
      <selection activeCell="E68" sqref="E68"/>
    </sheetView>
  </sheetViews>
  <sheetFormatPr defaultColWidth="8.19921875" defaultRowHeight="13.8" x14ac:dyDescent="0.3"/>
  <cols>
    <col min="1" max="1" width="4.796875" style="57" customWidth="1"/>
    <col min="2" max="2" width="8.19921875" style="58"/>
    <col min="3" max="3" width="18.796875" style="57" customWidth="1"/>
    <col min="4" max="4" width="23.09765625" style="57" customWidth="1"/>
    <col min="5" max="5" width="14.5" style="61" customWidth="1"/>
    <col min="6" max="6" width="93.5" style="57" bestFit="1" customWidth="1"/>
    <col min="7" max="7" width="12.09765625" style="58" bestFit="1" customWidth="1"/>
    <col min="8" max="8" width="70.59765625" style="57" customWidth="1"/>
    <col min="9" max="9" width="14.09765625" style="60" customWidth="1"/>
    <col min="10" max="10" width="8.19921875" style="58"/>
    <col min="11" max="11" width="15" style="57" customWidth="1"/>
    <col min="12" max="16384" width="8.19921875" style="57"/>
  </cols>
  <sheetData>
    <row r="2" spans="2:11" s="53" customFormat="1" ht="43.5" customHeight="1" x14ac:dyDescent="0.3">
      <c r="B2" s="324" t="s">
        <v>76</v>
      </c>
      <c r="C2" s="325"/>
      <c r="D2" s="325"/>
      <c r="E2" s="325"/>
      <c r="F2" s="325"/>
      <c r="G2" s="325"/>
      <c r="H2" s="325"/>
      <c r="I2" s="325"/>
      <c r="J2" s="325"/>
      <c r="K2" s="326"/>
    </row>
    <row r="3" spans="2:11" s="56" customFormat="1" ht="36.75" customHeight="1" x14ac:dyDescent="0.3">
      <c r="B3" s="173" t="s">
        <v>77</v>
      </c>
      <c r="C3" s="173" t="s">
        <v>78</v>
      </c>
      <c r="D3" s="173" t="s">
        <v>79</v>
      </c>
      <c r="E3" s="174" t="s">
        <v>89</v>
      </c>
      <c r="F3" s="173" t="s">
        <v>0</v>
      </c>
      <c r="G3" s="173" t="s">
        <v>80</v>
      </c>
      <c r="H3" s="173" t="s">
        <v>81</v>
      </c>
      <c r="I3" s="175" t="s">
        <v>82</v>
      </c>
      <c r="J3" s="173" t="s">
        <v>83</v>
      </c>
      <c r="K3" s="173" t="s">
        <v>84</v>
      </c>
    </row>
    <row r="4" spans="2:11" s="56" customFormat="1" ht="15" customHeight="1" x14ac:dyDescent="0.3">
      <c r="B4" s="176">
        <v>13</v>
      </c>
      <c r="C4" s="177">
        <v>13</v>
      </c>
      <c r="D4" s="178" t="s">
        <v>427</v>
      </c>
      <c r="E4" s="213">
        <v>245</v>
      </c>
      <c r="F4" s="179" t="s">
        <v>428</v>
      </c>
      <c r="G4" s="177" t="s">
        <v>429</v>
      </c>
      <c r="H4" s="180" t="s">
        <v>430</v>
      </c>
      <c r="I4" s="181">
        <v>56.716371924999997</v>
      </c>
      <c r="J4" s="177" t="s">
        <v>589</v>
      </c>
      <c r="K4" s="182" t="s">
        <v>86</v>
      </c>
    </row>
    <row r="5" spans="2:11" s="56" customFormat="1" x14ac:dyDescent="0.3">
      <c r="B5" s="54">
        <v>13</v>
      </c>
      <c r="C5" s="55">
        <v>13</v>
      </c>
      <c r="D5" s="62" t="s">
        <v>427</v>
      </c>
      <c r="E5" s="214">
        <v>246</v>
      </c>
      <c r="F5" s="183" t="s">
        <v>431</v>
      </c>
      <c r="G5" s="55" t="s">
        <v>432</v>
      </c>
      <c r="H5" s="64" t="s">
        <v>433</v>
      </c>
      <c r="I5" s="65">
        <v>1.57022046791</v>
      </c>
      <c r="J5" s="55" t="s">
        <v>87</v>
      </c>
      <c r="K5" s="66" t="s">
        <v>86</v>
      </c>
    </row>
    <row r="6" spans="2:11" s="56" customFormat="1" x14ac:dyDescent="0.3">
      <c r="B6" s="54">
        <v>13</v>
      </c>
      <c r="C6" s="55">
        <v>13</v>
      </c>
      <c r="D6" s="62" t="s">
        <v>427</v>
      </c>
      <c r="E6" s="214">
        <v>246</v>
      </c>
      <c r="F6" s="183" t="s">
        <v>431</v>
      </c>
      <c r="G6" s="55" t="s">
        <v>434</v>
      </c>
      <c r="H6" s="64" t="s">
        <v>435</v>
      </c>
      <c r="I6" s="65">
        <v>13.3233917017</v>
      </c>
      <c r="J6" s="55" t="s">
        <v>87</v>
      </c>
      <c r="K6" s="66" t="s">
        <v>86</v>
      </c>
    </row>
    <row r="7" spans="2:11" s="56" customFormat="1" x14ac:dyDescent="0.3">
      <c r="B7" s="54">
        <v>13</v>
      </c>
      <c r="C7" s="55">
        <v>13</v>
      </c>
      <c r="D7" s="62" t="s">
        <v>427</v>
      </c>
      <c r="E7" s="214">
        <v>247</v>
      </c>
      <c r="F7" s="183" t="s">
        <v>436</v>
      </c>
      <c r="G7" s="55" t="s">
        <v>437</v>
      </c>
      <c r="H7" s="64" t="s">
        <v>438</v>
      </c>
      <c r="I7" s="65">
        <v>6.2949204345299998</v>
      </c>
      <c r="J7" s="55" t="s">
        <v>87</v>
      </c>
      <c r="K7" s="66" t="s">
        <v>86</v>
      </c>
    </row>
    <row r="8" spans="2:11" s="56" customFormat="1" x14ac:dyDescent="0.3">
      <c r="B8" s="54">
        <v>13</v>
      </c>
      <c r="C8" s="55">
        <v>13</v>
      </c>
      <c r="D8" s="62" t="s">
        <v>427</v>
      </c>
      <c r="E8" s="214">
        <v>247</v>
      </c>
      <c r="F8" s="183" t="s">
        <v>436</v>
      </c>
      <c r="G8" s="55" t="s">
        <v>439</v>
      </c>
      <c r="H8" s="64" t="s">
        <v>440</v>
      </c>
      <c r="I8" s="65">
        <v>11.481208842299999</v>
      </c>
      <c r="J8" s="55" t="s">
        <v>87</v>
      </c>
      <c r="K8" s="66" t="s">
        <v>86</v>
      </c>
    </row>
    <row r="9" spans="2:11" s="56" customFormat="1" x14ac:dyDescent="0.3">
      <c r="B9" s="54">
        <v>13</v>
      </c>
      <c r="C9" s="55">
        <v>13</v>
      </c>
      <c r="D9" s="62" t="s">
        <v>427</v>
      </c>
      <c r="E9" s="214">
        <v>247</v>
      </c>
      <c r="F9" s="183" t="s">
        <v>436</v>
      </c>
      <c r="G9" s="55" t="s">
        <v>441</v>
      </c>
      <c r="H9" s="64" t="s">
        <v>442</v>
      </c>
      <c r="I9" s="65">
        <v>18.270379774199998</v>
      </c>
      <c r="J9" s="55" t="s">
        <v>87</v>
      </c>
      <c r="K9" s="66" t="s">
        <v>86</v>
      </c>
    </row>
    <row r="10" spans="2:11" s="56" customFormat="1" x14ac:dyDescent="0.3">
      <c r="B10" s="54">
        <v>13</v>
      </c>
      <c r="C10" s="55">
        <v>13</v>
      </c>
      <c r="D10" s="62" t="s">
        <v>427</v>
      </c>
      <c r="E10" s="214">
        <v>248</v>
      </c>
      <c r="F10" s="183" t="s">
        <v>443</v>
      </c>
      <c r="G10" s="55" t="s">
        <v>444</v>
      </c>
      <c r="H10" s="64" t="s">
        <v>445</v>
      </c>
      <c r="I10" s="65">
        <v>5.8182596155799997</v>
      </c>
      <c r="J10" s="55" t="s">
        <v>87</v>
      </c>
      <c r="K10" s="66" t="s">
        <v>86</v>
      </c>
    </row>
    <row r="11" spans="2:11" s="56" customFormat="1" x14ac:dyDescent="0.3">
      <c r="B11" s="54">
        <v>13</v>
      </c>
      <c r="C11" s="55">
        <v>13</v>
      </c>
      <c r="D11" s="62" t="s">
        <v>427</v>
      </c>
      <c r="E11" s="214">
        <v>248</v>
      </c>
      <c r="F11" s="183" t="s">
        <v>443</v>
      </c>
      <c r="G11" s="55" t="s">
        <v>446</v>
      </c>
      <c r="H11" s="64" t="s">
        <v>447</v>
      </c>
      <c r="I11" s="65">
        <v>37.187731417099997</v>
      </c>
      <c r="J11" s="55" t="s">
        <v>87</v>
      </c>
      <c r="K11" s="66" t="s">
        <v>86</v>
      </c>
    </row>
    <row r="12" spans="2:11" s="56" customFormat="1" x14ac:dyDescent="0.3">
      <c r="B12" s="54">
        <v>13</v>
      </c>
      <c r="C12" s="55">
        <v>13</v>
      </c>
      <c r="D12" s="62" t="s">
        <v>427</v>
      </c>
      <c r="E12" s="214">
        <v>249</v>
      </c>
      <c r="F12" s="183" t="s">
        <v>448</v>
      </c>
      <c r="G12" s="55" t="s">
        <v>85</v>
      </c>
      <c r="H12" s="64" t="s">
        <v>449</v>
      </c>
      <c r="I12" s="65">
        <v>8.6840399444400003</v>
      </c>
      <c r="J12" s="55" t="s">
        <v>87</v>
      </c>
      <c r="K12" s="66" t="s">
        <v>318</v>
      </c>
    </row>
    <row r="13" spans="2:11" s="56" customFormat="1" x14ac:dyDescent="0.3">
      <c r="B13" s="54">
        <v>13</v>
      </c>
      <c r="C13" s="55">
        <v>13</v>
      </c>
      <c r="D13" s="62" t="s">
        <v>427</v>
      </c>
      <c r="E13" s="214">
        <v>249</v>
      </c>
      <c r="F13" s="183" t="s">
        <v>448</v>
      </c>
      <c r="G13" s="55" t="s">
        <v>450</v>
      </c>
      <c r="H13" s="64" t="s">
        <v>451</v>
      </c>
      <c r="I13" s="65">
        <v>15.045976034300001</v>
      </c>
      <c r="J13" s="55" t="s">
        <v>87</v>
      </c>
      <c r="K13" s="66" t="s">
        <v>86</v>
      </c>
    </row>
    <row r="14" spans="2:11" s="56" customFormat="1" x14ac:dyDescent="0.3">
      <c r="B14" s="54">
        <v>13</v>
      </c>
      <c r="C14" s="55">
        <v>13</v>
      </c>
      <c r="D14" s="62" t="s">
        <v>427</v>
      </c>
      <c r="E14" s="214">
        <v>249</v>
      </c>
      <c r="F14" s="183" t="s">
        <v>448</v>
      </c>
      <c r="G14" s="55" t="s">
        <v>452</v>
      </c>
      <c r="H14" s="64" t="s">
        <v>453</v>
      </c>
      <c r="I14" s="65">
        <v>11.205250684099999</v>
      </c>
      <c r="J14" s="55" t="s">
        <v>87</v>
      </c>
      <c r="K14" s="66" t="s">
        <v>86</v>
      </c>
    </row>
    <row r="15" spans="2:11" s="56" customFormat="1" x14ac:dyDescent="0.3">
      <c r="B15" s="54">
        <v>13</v>
      </c>
      <c r="C15" s="55">
        <v>13</v>
      </c>
      <c r="D15" s="62" t="s">
        <v>427</v>
      </c>
      <c r="E15" s="214">
        <v>250</v>
      </c>
      <c r="F15" s="183" t="s">
        <v>454</v>
      </c>
      <c r="G15" s="55" t="s">
        <v>455</v>
      </c>
      <c r="H15" s="64" t="s">
        <v>456</v>
      </c>
      <c r="I15" s="65">
        <v>4.9837539104499999</v>
      </c>
      <c r="J15" s="55" t="s">
        <v>87</v>
      </c>
      <c r="K15" s="66" t="s">
        <v>86</v>
      </c>
    </row>
    <row r="16" spans="2:11" s="56" customFormat="1" x14ac:dyDescent="0.3">
      <c r="B16" s="54">
        <v>13</v>
      </c>
      <c r="C16" s="55">
        <v>13</v>
      </c>
      <c r="D16" s="62" t="s">
        <v>427</v>
      </c>
      <c r="E16" s="214">
        <v>250</v>
      </c>
      <c r="F16" s="183" t="s">
        <v>454</v>
      </c>
      <c r="G16" s="55" t="s">
        <v>457</v>
      </c>
      <c r="H16" s="64" t="s">
        <v>458</v>
      </c>
      <c r="I16" s="65">
        <v>1.8568037714200001</v>
      </c>
      <c r="J16" s="55" t="s">
        <v>87</v>
      </c>
      <c r="K16" s="66" t="s">
        <v>86</v>
      </c>
    </row>
    <row r="17" spans="2:11" s="56" customFormat="1" x14ac:dyDescent="0.3">
      <c r="B17" s="54">
        <v>13</v>
      </c>
      <c r="C17" s="55">
        <v>13</v>
      </c>
      <c r="D17" s="62" t="s">
        <v>427</v>
      </c>
      <c r="E17" s="214">
        <v>250</v>
      </c>
      <c r="F17" s="183" t="s">
        <v>454</v>
      </c>
      <c r="G17" s="55" t="s">
        <v>459</v>
      </c>
      <c r="H17" s="64" t="s">
        <v>460</v>
      </c>
      <c r="I17" s="65">
        <v>8.54784982346</v>
      </c>
      <c r="J17" s="55" t="s">
        <v>87</v>
      </c>
      <c r="K17" s="66" t="s">
        <v>86</v>
      </c>
    </row>
    <row r="18" spans="2:11" s="56" customFormat="1" x14ac:dyDescent="0.3">
      <c r="B18" s="54">
        <v>13</v>
      </c>
      <c r="C18" s="55">
        <v>13</v>
      </c>
      <c r="D18" s="62" t="s">
        <v>427</v>
      </c>
      <c r="E18" s="214">
        <v>251</v>
      </c>
      <c r="F18" s="183" t="s">
        <v>461</v>
      </c>
      <c r="G18" s="55" t="s">
        <v>462</v>
      </c>
      <c r="H18" s="64" t="s">
        <v>463</v>
      </c>
      <c r="I18" s="65">
        <v>33.953784900000002</v>
      </c>
      <c r="J18" s="55" t="s">
        <v>87</v>
      </c>
      <c r="K18" s="66" t="s">
        <v>86</v>
      </c>
    </row>
    <row r="19" spans="2:11" s="56" customFormat="1" x14ac:dyDescent="0.3">
      <c r="B19" s="54">
        <v>13</v>
      </c>
      <c r="C19" s="55">
        <v>13</v>
      </c>
      <c r="D19" s="62" t="s">
        <v>427</v>
      </c>
      <c r="E19" s="214">
        <v>251</v>
      </c>
      <c r="F19" s="183" t="s">
        <v>461</v>
      </c>
      <c r="G19" s="55" t="s">
        <v>464</v>
      </c>
      <c r="H19" s="64" t="s">
        <v>465</v>
      </c>
      <c r="I19" s="65">
        <v>47.950062449500003</v>
      </c>
      <c r="J19" s="55" t="s">
        <v>87</v>
      </c>
      <c r="K19" s="66" t="s">
        <v>86</v>
      </c>
    </row>
    <row r="20" spans="2:11" s="56" customFormat="1" x14ac:dyDescent="0.3">
      <c r="B20" s="54">
        <v>13</v>
      </c>
      <c r="C20" s="55">
        <v>13</v>
      </c>
      <c r="D20" s="62" t="s">
        <v>427</v>
      </c>
      <c r="E20" s="214">
        <v>251</v>
      </c>
      <c r="F20" s="183" t="s">
        <v>461</v>
      </c>
      <c r="G20" s="55" t="s">
        <v>466</v>
      </c>
      <c r="H20" s="64" t="s">
        <v>467</v>
      </c>
      <c r="I20" s="65">
        <v>18.959078117099999</v>
      </c>
      <c r="J20" s="55" t="s">
        <v>87</v>
      </c>
      <c r="K20" s="66" t="s">
        <v>86</v>
      </c>
    </row>
    <row r="21" spans="2:11" s="56" customFormat="1" x14ac:dyDescent="0.3">
      <c r="B21" s="54">
        <v>13</v>
      </c>
      <c r="C21" s="55">
        <v>13</v>
      </c>
      <c r="D21" s="62" t="s">
        <v>427</v>
      </c>
      <c r="E21" s="214">
        <v>251</v>
      </c>
      <c r="F21" s="183" t="s">
        <v>461</v>
      </c>
      <c r="G21" s="55" t="s">
        <v>468</v>
      </c>
      <c r="H21" s="64" t="s">
        <v>469</v>
      </c>
      <c r="I21" s="65">
        <v>3.6488389734100002</v>
      </c>
      <c r="J21" s="55" t="s">
        <v>87</v>
      </c>
      <c r="K21" s="66" t="s">
        <v>86</v>
      </c>
    </row>
    <row r="22" spans="2:11" s="56" customFormat="1" x14ac:dyDescent="0.3">
      <c r="B22" s="54">
        <v>13</v>
      </c>
      <c r="C22" s="55">
        <v>13</v>
      </c>
      <c r="D22" s="62" t="s">
        <v>427</v>
      </c>
      <c r="E22" s="214">
        <v>252</v>
      </c>
      <c r="F22" s="183" t="s">
        <v>470</v>
      </c>
      <c r="G22" s="55" t="s">
        <v>471</v>
      </c>
      <c r="H22" s="64" t="s">
        <v>472</v>
      </c>
      <c r="I22" s="65">
        <v>1.4023074398199999</v>
      </c>
      <c r="J22" s="55" t="s">
        <v>585</v>
      </c>
      <c r="K22" s="66" t="s">
        <v>586</v>
      </c>
    </row>
    <row r="23" spans="2:11" s="56" customFormat="1" x14ac:dyDescent="0.3">
      <c r="B23" s="54">
        <v>13</v>
      </c>
      <c r="C23" s="55">
        <v>13</v>
      </c>
      <c r="D23" s="62" t="s">
        <v>427</v>
      </c>
      <c r="E23" s="214">
        <v>252</v>
      </c>
      <c r="F23" s="183" t="s">
        <v>470</v>
      </c>
      <c r="G23" s="55" t="s">
        <v>473</v>
      </c>
      <c r="H23" s="64" t="s">
        <v>474</v>
      </c>
      <c r="I23" s="65">
        <v>45.7523322025</v>
      </c>
      <c r="J23" s="55" t="s">
        <v>87</v>
      </c>
      <c r="K23" s="66" t="s">
        <v>86</v>
      </c>
    </row>
    <row r="24" spans="2:11" s="56" customFormat="1" x14ac:dyDescent="0.3">
      <c r="B24" s="54">
        <v>13</v>
      </c>
      <c r="C24" s="55">
        <v>13</v>
      </c>
      <c r="D24" s="62" t="s">
        <v>427</v>
      </c>
      <c r="E24" s="214">
        <v>252</v>
      </c>
      <c r="F24" s="183" t="s">
        <v>470</v>
      </c>
      <c r="G24" s="55" t="s">
        <v>475</v>
      </c>
      <c r="H24" s="64" t="s">
        <v>476</v>
      </c>
      <c r="I24" s="65">
        <v>5.51803175531</v>
      </c>
      <c r="J24" s="55" t="s">
        <v>87</v>
      </c>
      <c r="K24" s="66" t="s">
        <v>86</v>
      </c>
    </row>
    <row r="25" spans="2:11" s="56" customFormat="1" x14ac:dyDescent="0.3">
      <c r="B25" s="54">
        <v>13</v>
      </c>
      <c r="C25" s="55">
        <v>13</v>
      </c>
      <c r="D25" s="62" t="s">
        <v>427</v>
      </c>
      <c r="E25" s="214">
        <v>253</v>
      </c>
      <c r="F25" s="183" t="s">
        <v>477</v>
      </c>
      <c r="G25" s="55" t="s">
        <v>478</v>
      </c>
      <c r="H25" s="64" t="s">
        <v>479</v>
      </c>
      <c r="I25" s="65">
        <v>15.560727356799999</v>
      </c>
      <c r="J25" s="55" t="s">
        <v>87</v>
      </c>
      <c r="K25" s="66" t="s">
        <v>86</v>
      </c>
    </row>
    <row r="26" spans="2:11" s="56" customFormat="1" x14ac:dyDescent="0.3">
      <c r="B26" s="54">
        <v>13</v>
      </c>
      <c r="C26" s="55">
        <v>13</v>
      </c>
      <c r="D26" s="62" t="s">
        <v>427</v>
      </c>
      <c r="E26" s="214">
        <v>254</v>
      </c>
      <c r="F26" s="183" t="s">
        <v>480</v>
      </c>
      <c r="G26" s="55" t="s">
        <v>481</v>
      </c>
      <c r="H26" s="64" t="s">
        <v>482</v>
      </c>
      <c r="I26" s="65">
        <v>1.1652050469699999</v>
      </c>
      <c r="J26" s="55" t="s">
        <v>585</v>
      </c>
      <c r="K26" s="66" t="s">
        <v>586</v>
      </c>
    </row>
    <row r="27" spans="2:11" s="56" customFormat="1" x14ac:dyDescent="0.3">
      <c r="B27" s="54">
        <v>13</v>
      </c>
      <c r="C27" s="55">
        <v>13</v>
      </c>
      <c r="D27" s="62" t="s">
        <v>427</v>
      </c>
      <c r="E27" s="214">
        <v>254</v>
      </c>
      <c r="F27" s="183" t="s">
        <v>480</v>
      </c>
      <c r="G27" s="55" t="s">
        <v>483</v>
      </c>
      <c r="H27" s="64" t="s">
        <v>484</v>
      </c>
      <c r="I27" s="65">
        <v>10.290560861399999</v>
      </c>
      <c r="J27" s="55" t="s">
        <v>87</v>
      </c>
      <c r="K27" s="66" t="s">
        <v>86</v>
      </c>
    </row>
    <row r="28" spans="2:11" s="56" customFormat="1" x14ac:dyDescent="0.3">
      <c r="B28" s="54">
        <v>13</v>
      </c>
      <c r="C28" s="55">
        <v>13</v>
      </c>
      <c r="D28" s="62" t="s">
        <v>427</v>
      </c>
      <c r="E28" s="214">
        <v>254</v>
      </c>
      <c r="F28" s="183" t="s">
        <v>480</v>
      </c>
      <c r="G28" s="55" t="s">
        <v>485</v>
      </c>
      <c r="H28" s="64" t="s">
        <v>486</v>
      </c>
      <c r="I28" s="65">
        <v>6.5224718560000001</v>
      </c>
      <c r="J28" s="55" t="s">
        <v>87</v>
      </c>
      <c r="K28" s="66" t="s">
        <v>86</v>
      </c>
    </row>
    <row r="29" spans="2:11" s="56" customFormat="1" x14ac:dyDescent="0.3">
      <c r="B29" s="54">
        <v>13</v>
      </c>
      <c r="C29" s="55">
        <v>13</v>
      </c>
      <c r="D29" s="62" t="s">
        <v>427</v>
      </c>
      <c r="E29" s="214">
        <v>255</v>
      </c>
      <c r="F29" s="183" t="s">
        <v>487</v>
      </c>
      <c r="G29" s="55" t="s">
        <v>488</v>
      </c>
      <c r="H29" s="64" t="s">
        <v>489</v>
      </c>
      <c r="I29" s="65">
        <v>57.452308968700002</v>
      </c>
      <c r="J29" s="55" t="s">
        <v>87</v>
      </c>
      <c r="K29" s="66" t="s">
        <v>86</v>
      </c>
    </row>
    <row r="30" spans="2:11" s="56" customFormat="1" x14ac:dyDescent="0.3">
      <c r="B30" s="54">
        <v>13</v>
      </c>
      <c r="C30" s="55">
        <v>13</v>
      </c>
      <c r="D30" s="62" t="s">
        <v>427</v>
      </c>
      <c r="E30" s="214">
        <v>256</v>
      </c>
      <c r="F30" s="183" t="s">
        <v>490</v>
      </c>
      <c r="G30" s="55" t="s">
        <v>491</v>
      </c>
      <c r="H30" s="64" t="s">
        <v>492</v>
      </c>
      <c r="I30" s="65">
        <v>5.0826416457799999</v>
      </c>
      <c r="J30" s="55" t="s">
        <v>87</v>
      </c>
      <c r="K30" s="66" t="s">
        <v>86</v>
      </c>
    </row>
    <row r="31" spans="2:11" s="56" customFormat="1" x14ac:dyDescent="0.3">
      <c r="B31" s="54">
        <v>13</v>
      </c>
      <c r="C31" s="55">
        <v>13</v>
      </c>
      <c r="D31" s="62" t="s">
        <v>427</v>
      </c>
      <c r="E31" s="214">
        <v>256</v>
      </c>
      <c r="F31" s="183" t="s">
        <v>490</v>
      </c>
      <c r="G31" s="55" t="s">
        <v>493</v>
      </c>
      <c r="H31" s="64" t="s">
        <v>494</v>
      </c>
      <c r="I31" s="65">
        <v>3.7674197791899999</v>
      </c>
      <c r="J31" s="55" t="s">
        <v>87</v>
      </c>
      <c r="K31" s="66" t="s">
        <v>86</v>
      </c>
    </row>
    <row r="32" spans="2:11" s="56" customFormat="1" x14ac:dyDescent="0.3">
      <c r="B32" s="54">
        <v>13</v>
      </c>
      <c r="C32" s="55">
        <v>13</v>
      </c>
      <c r="D32" s="62" t="s">
        <v>427</v>
      </c>
      <c r="E32" s="214">
        <v>256</v>
      </c>
      <c r="F32" s="183" t="s">
        <v>490</v>
      </c>
      <c r="G32" s="55" t="s">
        <v>495</v>
      </c>
      <c r="H32" s="64" t="s">
        <v>496</v>
      </c>
      <c r="I32" s="65">
        <v>5.3611366482399996</v>
      </c>
      <c r="J32" s="55" t="s">
        <v>87</v>
      </c>
      <c r="K32" s="66" t="s">
        <v>86</v>
      </c>
    </row>
    <row r="33" spans="2:12" s="56" customFormat="1" x14ac:dyDescent="0.3">
      <c r="B33" s="54">
        <v>13</v>
      </c>
      <c r="C33" s="55">
        <v>13</v>
      </c>
      <c r="D33" s="62" t="s">
        <v>427</v>
      </c>
      <c r="E33" s="214">
        <v>256</v>
      </c>
      <c r="F33" s="183" t="s">
        <v>490</v>
      </c>
      <c r="G33" s="55" t="s">
        <v>497</v>
      </c>
      <c r="H33" s="64" t="s">
        <v>498</v>
      </c>
      <c r="I33" s="65">
        <v>19.874596345499999</v>
      </c>
      <c r="J33" s="55" t="s">
        <v>87</v>
      </c>
      <c r="K33" s="66" t="s">
        <v>86</v>
      </c>
    </row>
    <row r="34" spans="2:12" s="56" customFormat="1" x14ac:dyDescent="0.3">
      <c r="B34" s="54">
        <v>13</v>
      </c>
      <c r="C34" s="55">
        <v>13</v>
      </c>
      <c r="D34" s="62" t="s">
        <v>427</v>
      </c>
      <c r="E34" s="214">
        <v>256</v>
      </c>
      <c r="F34" s="183" t="s">
        <v>490</v>
      </c>
      <c r="G34" s="55" t="s">
        <v>499</v>
      </c>
      <c r="H34" s="64" t="s">
        <v>500</v>
      </c>
      <c r="I34" s="65">
        <v>3.9202904580200002</v>
      </c>
      <c r="J34" s="55" t="s">
        <v>87</v>
      </c>
      <c r="K34" s="66" t="s">
        <v>86</v>
      </c>
    </row>
    <row r="35" spans="2:12" s="56" customFormat="1" x14ac:dyDescent="0.3">
      <c r="B35" s="54">
        <v>13</v>
      </c>
      <c r="C35" s="55">
        <v>13</v>
      </c>
      <c r="D35" s="62" t="s">
        <v>427</v>
      </c>
      <c r="E35" s="214">
        <v>257</v>
      </c>
      <c r="F35" s="183" t="s">
        <v>501</v>
      </c>
      <c r="G35" s="55" t="s">
        <v>502</v>
      </c>
      <c r="H35" s="64" t="s">
        <v>503</v>
      </c>
      <c r="I35" s="65">
        <v>6.3844721453100002</v>
      </c>
      <c r="J35" s="55" t="s">
        <v>87</v>
      </c>
      <c r="K35" s="66" t="s">
        <v>86</v>
      </c>
    </row>
    <row r="36" spans="2:12" s="56" customFormat="1" x14ac:dyDescent="0.3">
      <c r="B36" s="54">
        <v>13</v>
      </c>
      <c r="C36" s="55">
        <v>13</v>
      </c>
      <c r="D36" s="62" t="s">
        <v>427</v>
      </c>
      <c r="E36" s="214">
        <v>258</v>
      </c>
      <c r="F36" s="183" t="s">
        <v>504</v>
      </c>
      <c r="G36" s="55" t="s">
        <v>505</v>
      </c>
      <c r="H36" s="64" t="s">
        <v>506</v>
      </c>
      <c r="I36" s="65">
        <v>7.3072537821100001</v>
      </c>
      <c r="J36" s="55" t="s">
        <v>87</v>
      </c>
      <c r="K36" s="66" t="s">
        <v>86</v>
      </c>
    </row>
    <row r="37" spans="2:12" s="56" customFormat="1" x14ac:dyDescent="0.3">
      <c r="B37" s="54">
        <v>13</v>
      </c>
      <c r="C37" s="55">
        <v>13</v>
      </c>
      <c r="D37" s="62" t="s">
        <v>427</v>
      </c>
      <c r="E37" s="214">
        <v>258</v>
      </c>
      <c r="F37" s="183" t="s">
        <v>504</v>
      </c>
      <c r="G37" s="55" t="s">
        <v>507</v>
      </c>
      <c r="H37" s="64" t="s">
        <v>508</v>
      </c>
      <c r="I37" s="65">
        <v>9.1714459656499994</v>
      </c>
      <c r="J37" s="55" t="s">
        <v>87</v>
      </c>
      <c r="K37" s="66" t="s">
        <v>86</v>
      </c>
    </row>
    <row r="38" spans="2:12" s="56" customFormat="1" x14ac:dyDescent="0.3">
      <c r="B38" s="54">
        <v>13</v>
      </c>
      <c r="C38" s="55">
        <v>13</v>
      </c>
      <c r="D38" s="62" t="s">
        <v>427</v>
      </c>
      <c r="E38" s="214">
        <v>258</v>
      </c>
      <c r="F38" s="183" t="s">
        <v>504</v>
      </c>
      <c r="G38" s="55" t="s">
        <v>509</v>
      </c>
      <c r="H38" s="64" t="s">
        <v>510</v>
      </c>
      <c r="I38" s="65">
        <v>19.018099254500001</v>
      </c>
      <c r="J38" s="55" t="s">
        <v>87</v>
      </c>
      <c r="K38" s="66" t="s">
        <v>86</v>
      </c>
    </row>
    <row r="39" spans="2:12" s="56" customFormat="1" x14ac:dyDescent="0.3">
      <c r="B39" s="54">
        <v>13</v>
      </c>
      <c r="C39" s="55">
        <v>13</v>
      </c>
      <c r="D39" s="62" t="s">
        <v>427</v>
      </c>
      <c r="E39" s="214">
        <v>259</v>
      </c>
      <c r="F39" s="183" t="s">
        <v>511</v>
      </c>
      <c r="G39" s="55" t="s">
        <v>512</v>
      </c>
      <c r="H39" s="64" t="s">
        <v>513</v>
      </c>
      <c r="I39" s="65">
        <v>3.6312180823000002</v>
      </c>
      <c r="J39" s="55" t="s">
        <v>585</v>
      </c>
      <c r="K39" s="66" t="s">
        <v>586</v>
      </c>
    </row>
    <row r="40" spans="2:12" s="56" customFormat="1" x14ac:dyDescent="0.3">
      <c r="B40" s="54">
        <v>13</v>
      </c>
      <c r="C40" s="55">
        <v>13</v>
      </c>
      <c r="D40" s="62" t="s">
        <v>427</v>
      </c>
      <c r="E40" s="214">
        <v>259</v>
      </c>
      <c r="F40" s="183" t="s">
        <v>511</v>
      </c>
      <c r="G40" s="55" t="s">
        <v>514</v>
      </c>
      <c r="H40" s="64" t="s">
        <v>515</v>
      </c>
      <c r="I40" s="65">
        <v>19.0081215001</v>
      </c>
      <c r="J40" s="55" t="s">
        <v>87</v>
      </c>
      <c r="K40" s="66" t="s">
        <v>86</v>
      </c>
    </row>
    <row r="41" spans="2:12" s="56" customFormat="1" x14ac:dyDescent="0.3">
      <c r="B41" s="54">
        <v>13</v>
      </c>
      <c r="C41" s="55">
        <v>13</v>
      </c>
      <c r="D41" s="62" t="s">
        <v>427</v>
      </c>
      <c r="E41" s="214">
        <v>259</v>
      </c>
      <c r="F41" s="183" t="s">
        <v>511</v>
      </c>
      <c r="G41" s="55" t="s">
        <v>516</v>
      </c>
      <c r="H41" s="64" t="s">
        <v>517</v>
      </c>
      <c r="I41" s="65">
        <v>5.4077161822699997</v>
      </c>
      <c r="J41" s="55" t="s">
        <v>87</v>
      </c>
      <c r="K41" s="66" t="s">
        <v>86</v>
      </c>
    </row>
    <row r="42" spans="2:12" s="56" customFormat="1" x14ac:dyDescent="0.3">
      <c r="B42" s="54">
        <v>13</v>
      </c>
      <c r="C42" s="55">
        <v>13</v>
      </c>
      <c r="D42" s="62" t="s">
        <v>427</v>
      </c>
      <c r="E42" s="214">
        <v>259</v>
      </c>
      <c r="F42" s="183" t="s">
        <v>511</v>
      </c>
      <c r="G42" s="55" t="s">
        <v>518</v>
      </c>
      <c r="H42" s="64" t="s">
        <v>519</v>
      </c>
      <c r="I42" s="65">
        <v>19.2339814133</v>
      </c>
      <c r="J42" s="55" t="s">
        <v>87</v>
      </c>
      <c r="K42" s="66" t="s">
        <v>86</v>
      </c>
    </row>
    <row r="43" spans="2:12" s="56" customFormat="1" x14ac:dyDescent="0.3">
      <c r="B43" s="54">
        <v>13</v>
      </c>
      <c r="C43" s="55">
        <v>13</v>
      </c>
      <c r="D43" s="62" t="s">
        <v>427</v>
      </c>
      <c r="E43" s="214">
        <v>259</v>
      </c>
      <c r="F43" s="183" t="s">
        <v>511</v>
      </c>
      <c r="G43" s="55" t="s">
        <v>85</v>
      </c>
      <c r="H43" s="64" t="s">
        <v>520</v>
      </c>
      <c r="I43" s="65">
        <v>1.0864508096300001</v>
      </c>
      <c r="J43" s="55" t="s">
        <v>87</v>
      </c>
      <c r="K43" s="66" t="s">
        <v>86</v>
      </c>
    </row>
    <row r="44" spans="2:12" s="56" customFormat="1" x14ac:dyDescent="0.3">
      <c r="B44" s="54">
        <v>13</v>
      </c>
      <c r="C44" s="55">
        <v>13</v>
      </c>
      <c r="D44" s="62" t="s">
        <v>427</v>
      </c>
      <c r="E44" s="214">
        <v>260</v>
      </c>
      <c r="F44" s="183" t="s">
        <v>521</v>
      </c>
      <c r="G44" s="55" t="s">
        <v>522</v>
      </c>
      <c r="H44" s="64" t="s">
        <v>523</v>
      </c>
      <c r="I44" s="65">
        <v>30.279582362199999</v>
      </c>
      <c r="J44" s="55" t="s">
        <v>588</v>
      </c>
      <c r="K44" s="66" t="s">
        <v>86</v>
      </c>
    </row>
    <row r="45" spans="2:12" s="56" customFormat="1" x14ac:dyDescent="0.3">
      <c r="B45" s="54">
        <v>13</v>
      </c>
      <c r="C45" s="55">
        <v>13</v>
      </c>
      <c r="D45" s="62" t="s">
        <v>427</v>
      </c>
      <c r="E45" s="214">
        <v>260</v>
      </c>
      <c r="F45" s="183" t="s">
        <v>521</v>
      </c>
      <c r="G45" s="55" t="s">
        <v>524</v>
      </c>
      <c r="H45" s="64" t="s">
        <v>525</v>
      </c>
      <c r="I45" s="65">
        <v>21.855986949199998</v>
      </c>
      <c r="J45" s="55" t="s">
        <v>588</v>
      </c>
      <c r="K45" s="66" t="s">
        <v>86</v>
      </c>
    </row>
    <row r="46" spans="2:12" s="56" customFormat="1" x14ac:dyDescent="0.3">
      <c r="B46" s="54">
        <v>13</v>
      </c>
      <c r="C46" s="55">
        <v>13</v>
      </c>
      <c r="D46" s="62" t="s">
        <v>427</v>
      </c>
      <c r="E46" s="214">
        <v>261</v>
      </c>
      <c r="F46" s="183" t="s">
        <v>526</v>
      </c>
      <c r="G46" s="55" t="s">
        <v>527</v>
      </c>
      <c r="H46" s="64" t="s">
        <v>528</v>
      </c>
      <c r="I46" s="65">
        <v>50.619704282800001</v>
      </c>
      <c r="J46" s="55" t="s">
        <v>588</v>
      </c>
      <c r="K46" s="66" t="s">
        <v>86</v>
      </c>
    </row>
    <row r="47" spans="2:12" x14ac:dyDescent="0.3">
      <c r="B47" s="54">
        <v>13</v>
      </c>
      <c r="C47" s="55">
        <v>13</v>
      </c>
      <c r="D47" s="62" t="s">
        <v>427</v>
      </c>
      <c r="E47" s="214">
        <v>262</v>
      </c>
      <c r="F47" s="183" t="s">
        <v>529</v>
      </c>
      <c r="G47" s="55" t="s">
        <v>530</v>
      </c>
      <c r="H47" s="64" t="s">
        <v>531</v>
      </c>
      <c r="I47" s="65">
        <v>23.9510365581</v>
      </c>
      <c r="J47" s="55" t="s">
        <v>588</v>
      </c>
      <c r="K47" s="66" t="s">
        <v>86</v>
      </c>
      <c r="L47" s="56"/>
    </row>
    <row r="48" spans="2:12" x14ac:dyDescent="0.3">
      <c r="B48" s="54">
        <v>13</v>
      </c>
      <c r="C48" s="55">
        <v>13</v>
      </c>
      <c r="D48" s="62" t="s">
        <v>427</v>
      </c>
      <c r="E48" s="214">
        <v>263</v>
      </c>
      <c r="F48" s="183" t="s">
        <v>532</v>
      </c>
      <c r="G48" s="55" t="s">
        <v>533</v>
      </c>
      <c r="H48" s="64" t="s">
        <v>534</v>
      </c>
      <c r="I48" s="65">
        <v>39.501800082499997</v>
      </c>
      <c r="J48" s="55" t="s">
        <v>588</v>
      </c>
      <c r="K48" s="66" t="s">
        <v>86</v>
      </c>
      <c r="L48" s="56"/>
    </row>
    <row r="49" spans="2:12" x14ac:dyDescent="0.3">
      <c r="B49" s="54">
        <v>13</v>
      </c>
      <c r="C49" s="55">
        <v>13</v>
      </c>
      <c r="D49" s="62" t="s">
        <v>427</v>
      </c>
      <c r="E49" s="214">
        <v>264</v>
      </c>
      <c r="F49" s="183" t="s">
        <v>535</v>
      </c>
      <c r="G49" s="55" t="s">
        <v>536</v>
      </c>
      <c r="H49" s="64" t="s">
        <v>537</v>
      </c>
      <c r="I49" s="65">
        <v>42.464392694399997</v>
      </c>
      <c r="J49" s="55" t="s">
        <v>588</v>
      </c>
      <c r="K49" s="66" t="s">
        <v>86</v>
      </c>
      <c r="L49" s="56"/>
    </row>
    <row r="50" spans="2:12" x14ac:dyDescent="0.3">
      <c r="B50" s="54">
        <v>13</v>
      </c>
      <c r="C50" s="55">
        <v>13</v>
      </c>
      <c r="D50" s="62" t="s">
        <v>427</v>
      </c>
      <c r="E50" s="214">
        <v>265</v>
      </c>
      <c r="F50" s="183" t="s">
        <v>538</v>
      </c>
      <c r="G50" s="55" t="s">
        <v>539</v>
      </c>
      <c r="H50" s="64" t="s">
        <v>540</v>
      </c>
      <c r="I50" s="65">
        <v>67.817857462199996</v>
      </c>
      <c r="J50" s="55" t="s">
        <v>588</v>
      </c>
      <c r="K50" s="66" t="s">
        <v>86</v>
      </c>
      <c r="L50" s="56"/>
    </row>
    <row r="51" spans="2:12" x14ac:dyDescent="0.3">
      <c r="B51" s="54">
        <v>13</v>
      </c>
      <c r="C51" s="55">
        <v>13</v>
      </c>
      <c r="D51" s="62" t="s">
        <v>427</v>
      </c>
      <c r="E51" s="214">
        <v>265</v>
      </c>
      <c r="F51" s="183" t="s">
        <v>538</v>
      </c>
      <c r="G51" s="55" t="s">
        <v>541</v>
      </c>
      <c r="H51" s="64" t="s">
        <v>542</v>
      </c>
      <c r="I51" s="65">
        <v>1.08661106769</v>
      </c>
      <c r="J51" s="55" t="s">
        <v>585</v>
      </c>
      <c r="K51" s="66" t="s">
        <v>586</v>
      </c>
      <c r="L51" s="56"/>
    </row>
    <row r="52" spans="2:12" x14ac:dyDescent="0.3">
      <c r="B52" s="54">
        <v>13</v>
      </c>
      <c r="C52" s="55">
        <v>13</v>
      </c>
      <c r="D52" s="62" t="s">
        <v>427</v>
      </c>
      <c r="E52" s="214">
        <v>266</v>
      </c>
      <c r="F52" s="183" t="s">
        <v>543</v>
      </c>
      <c r="G52" s="55" t="s">
        <v>544</v>
      </c>
      <c r="H52" s="64" t="s">
        <v>545</v>
      </c>
      <c r="I52" s="65">
        <v>6.9762042709800003</v>
      </c>
      <c r="J52" s="55" t="s">
        <v>87</v>
      </c>
      <c r="K52" s="66" t="s">
        <v>86</v>
      </c>
      <c r="L52" s="56"/>
    </row>
    <row r="53" spans="2:12" x14ac:dyDescent="0.3">
      <c r="B53" s="54">
        <v>13</v>
      </c>
      <c r="C53" s="55">
        <v>13</v>
      </c>
      <c r="D53" s="62" t="s">
        <v>427</v>
      </c>
      <c r="E53" s="214">
        <v>266</v>
      </c>
      <c r="F53" s="183" t="s">
        <v>543</v>
      </c>
      <c r="G53" s="55" t="s">
        <v>546</v>
      </c>
      <c r="H53" s="64" t="s">
        <v>547</v>
      </c>
      <c r="I53" s="65">
        <v>19.761116343099999</v>
      </c>
      <c r="J53" s="55" t="s">
        <v>87</v>
      </c>
      <c r="K53" s="66" t="s">
        <v>86</v>
      </c>
      <c r="L53" s="56"/>
    </row>
    <row r="54" spans="2:12" x14ac:dyDescent="0.3">
      <c r="B54" s="54">
        <v>13</v>
      </c>
      <c r="C54" s="55">
        <v>13</v>
      </c>
      <c r="D54" s="62" t="s">
        <v>427</v>
      </c>
      <c r="E54" s="214">
        <v>267</v>
      </c>
      <c r="F54" s="183" t="s">
        <v>548</v>
      </c>
      <c r="G54" s="55" t="s">
        <v>549</v>
      </c>
      <c r="H54" s="64" t="s">
        <v>550</v>
      </c>
      <c r="I54" s="65">
        <v>14.4762033839</v>
      </c>
      <c r="J54" s="55" t="s">
        <v>588</v>
      </c>
      <c r="K54" s="66" t="s">
        <v>86</v>
      </c>
      <c r="L54" s="56"/>
    </row>
    <row r="55" spans="2:12" x14ac:dyDescent="0.3">
      <c r="B55" s="54">
        <v>13</v>
      </c>
      <c r="C55" s="55">
        <v>13</v>
      </c>
      <c r="D55" s="62" t="s">
        <v>427</v>
      </c>
      <c r="E55" s="214">
        <v>268</v>
      </c>
      <c r="F55" s="183" t="s">
        <v>551</v>
      </c>
      <c r="G55" s="55" t="s">
        <v>552</v>
      </c>
      <c r="H55" s="64" t="s">
        <v>553</v>
      </c>
      <c r="I55" s="65">
        <v>34.769106100999998</v>
      </c>
      <c r="J55" s="55" t="s">
        <v>588</v>
      </c>
      <c r="K55" s="66" t="s">
        <v>86</v>
      </c>
      <c r="L55" s="56"/>
    </row>
    <row r="56" spans="2:12" x14ac:dyDescent="0.3">
      <c r="B56" s="54">
        <v>13</v>
      </c>
      <c r="C56" s="55">
        <v>13</v>
      </c>
      <c r="D56" s="62" t="s">
        <v>427</v>
      </c>
      <c r="E56" s="214">
        <v>269</v>
      </c>
      <c r="F56" s="183" t="s">
        <v>554</v>
      </c>
      <c r="G56" s="55" t="s">
        <v>555</v>
      </c>
      <c r="H56" s="64" t="s">
        <v>556</v>
      </c>
      <c r="I56" s="65">
        <v>63.074548194599998</v>
      </c>
      <c r="J56" s="55" t="s">
        <v>588</v>
      </c>
      <c r="K56" s="66" t="s">
        <v>86</v>
      </c>
      <c r="L56" s="56"/>
    </row>
    <row r="57" spans="2:12" x14ac:dyDescent="0.3">
      <c r="B57" s="54">
        <v>13</v>
      </c>
      <c r="C57" s="55">
        <v>13</v>
      </c>
      <c r="D57" s="62" t="s">
        <v>427</v>
      </c>
      <c r="E57" s="214">
        <v>269</v>
      </c>
      <c r="F57" s="183" t="s">
        <v>554</v>
      </c>
      <c r="G57" s="55" t="s">
        <v>557</v>
      </c>
      <c r="H57" s="64" t="s">
        <v>558</v>
      </c>
      <c r="I57" s="65">
        <v>9.9650282909799994</v>
      </c>
      <c r="J57" s="55" t="s">
        <v>588</v>
      </c>
      <c r="K57" s="66" t="s">
        <v>86</v>
      </c>
      <c r="L57" s="56"/>
    </row>
    <row r="58" spans="2:12" x14ac:dyDescent="0.3">
      <c r="B58" s="54">
        <v>13</v>
      </c>
      <c r="C58" s="55">
        <v>13</v>
      </c>
      <c r="D58" s="62" t="s">
        <v>427</v>
      </c>
      <c r="E58" s="214">
        <v>270</v>
      </c>
      <c r="F58" s="183" t="s">
        <v>559</v>
      </c>
      <c r="G58" s="55" t="s">
        <v>560</v>
      </c>
      <c r="H58" s="64" t="s">
        <v>561</v>
      </c>
      <c r="I58" s="65">
        <v>21.438443621200001</v>
      </c>
      <c r="J58" s="55" t="s">
        <v>588</v>
      </c>
      <c r="K58" s="66" t="s">
        <v>86</v>
      </c>
      <c r="L58" s="56"/>
    </row>
    <row r="59" spans="2:12" x14ac:dyDescent="0.3">
      <c r="B59" s="54">
        <v>13</v>
      </c>
      <c r="C59" s="55">
        <v>13</v>
      </c>
      <c r="D59" s="62" t="s">
        <v>427</v>
      </c>
      <c r="E59" s="214">
        <v>270</v>
      </c>
      <c r="F59" s="183" t="s">
        <v>559</v>
      </c>
      <c r="G59" s="55" t="s">
        <v>562</v>
      </c>
      <c r="H59" s="64" t="s">
        <v>563</v>
      </c>
      <c r="I59" s="65">
        <v>10.494900493899999</v>
      </c>
      <c r="J59" s="55" t="s">
        <v>588</v>
      </c>
      <c r="K59" s="66" t="s">
        <v>86</v>
      </c>
      <c r="L59" s="56"/>
    </row>
    <row r="60" spans="2:12" x14ac:dyDescent="0.3">
      <c r="B60" s="54">
        <v>13</v>
      </c>
      <c r="C60" s="55">
        <v>13</v>
      </c>
      <c r="D60" s="62" t="s">
        <v>427</v>
      </c>
      <c r="E60" s="214">
        <v>270</v>
      </c>
      <c r="F60" s="183" t="s">
        <v>559</v>
      </c>
      <c r="G60" s="55" t="s">
        <v>564</v>
      </c>
      <c r="H60" s="64" t="s">
        <v>565</v>
      </c>
      <c r="I60" s="65">
        <v>18.119655920700001</v>
      </c>
      <c r="J60" s="55" t="s">
        <v>588</v>
      </c>
      <c r="K60" s="66" t="s">
        <v>86</v>
      </c>
      <c r="L60" s="56"/>
    </row>
    <row r="61" spans="2:12" x14ac:dyDescent="0.3">
      <c r="B61" s="54">
        <v>13</v>
      </c>
      <c r="C61" s="55">
        <v>13</v>
      </c>
      <c r="D61" s="62" t="s">
        <v>427</v>
      </c>
      <c r="E61" s="214">
        <v>270</v>
      </c>
      <c r="F61" s="183" t="s">
        <v>559</v>
      </c>
      <c r="G61" s="55" t="s">
        <v>566</v>
      </c>
      <c r="H61" s="64" t="s">
        <v>567</v>
      </c>
      <c r="I61" s="65">
        <v>24.005730035599999</v>
      </c>
      <c r="J61" s="55" t="s">
        <v>588</v>
      </c>
      <c r="K61" s="66" t="s">
        <v>86</v>
      </c>
      <c r="L61" s="56"/>
    </row>
    <row r="62" spans="2:12" x14ac:dyDescent="0.3">
      <c r="B62" s="54">
        <v>13</v>
      </c>
      <c r="C62" s="55">
        <v>13</v>
      </c>
      <c r="D62" s="62" t="s">
        <v>427</v>
      </c>
      <c r="E62" s="214">
        <v>270</v>
      </c>
      <c r="F62" s="183" t="s">
        <v>559</v>
      </c>
      <c r="G62" s="55" t="s">
        <v>568</v>
      </c>
      <c r="H62" s="64" t="s">
        <v>569</v>
      </c>
      <c r="I62" s="65">
        <v>24.703955130299999</v>
      </c>
      <c r="J62" s="55" t="s">
        <v>588</v>
      </c>
      <c r="K62" s="66" t="s">
        <v>86</v>
      </c>
      <c r="L62" s="56"/>
    </row>
    <row r="63" spans="2:12" x14ac:dyDescent="0.3">
      <c r="B63" s="54">
        <v>13</v>
      </c>
      <c r="C63" s="55">
        <v>13</v>
      </c>
      <c r="D63" s="62" t="s">
        <v>427</v>
      </c>
      <c r="E63" s="214">
        <v>271</v>
      </c>
      <c r="F63" s="183" t="s">
        <v>570</v>
      </c>
      <c r="G63" s="55" t="s">
        <v>571</v>
      </c>
      <c r="H63" s="64" t="s">
        <v>572</v>
      </c>
      <c r="I63" s="65">
        <v>21.621530415900001</v>
      </c>
      <c r="J63" s="55" t="s">
        <v>588</v>
      </c>
      <c r="K63" s="66" t="s">
        <v>86</v>
      </c>
      <c r="L63" s="56"/>
    </row>
    <row r="64" spans="2:12" x14ac:dyDescent="0.3">
      <c r="B64" s="54">
        <v>13</v>
      </c>
      <c r="C64" s="55">
        <v>13</v>
      </c>
      <c r="D64" s="62" t="s">
        <v>427</v>
      </c>
      <c r="E64" s="214">
        <v>272</v>
      </c>
      <c r="F64" s="183" t="s">
        <v>573</v>
      </c>
      <c r="G64" s="55" t="s">
        <v>574</v>
      </c>
      <c r="H64" s="64" t="s">
        <v>575</v>
      </c>
      <c r="I64" s="65">
        <v>15.9386324677</v>
      </c>
      <c r="J64" s="55" t="s">
        <v>588</v>
      </c>
      <c r="K64" s="66" t="s">
        <v>86</v>
      </c>
      <c r="L64" s="56"/>
    </row>
    <row r="65" spans="2:12" x14ac:dyDescent="0.3">
      <c r="B65" s="54">
        <v>13</v>
      </c>
      <c r="C65" s="55">
        <v>13</v>
      </c>
      <c r="D65" s="62" t="s">
        <v>427</v>
      </c>
      <c r="E65" s="214">
        <v>272</v>
      </c>
      <c r="F65" s="183" t="s">
        <v>573</v>
      </c>
      <c r="G65" s="55" t="s">
        <v>576</v>
      </c>
      <c r="H65" s="64" t="s">
        <v>577</v>
      </c>
      <c r="I65" s="65">
        <v>27.240275671399999</v>
      </c>
      <c r="J65" s="55" t="s">
        <v>588</v>
      </c>
      <c r="K65" s="66" t="s">
        <v>86</v>
      </c>
      <c r="L65" s="56"/>
    </row>
    <row r="66" spans="2:12" x14ac:dyDescent="0.3">
      <c r="B66" s="54">
        <v>13</v>
      </c>
      <c r="C66" s="55">
        <v>13</v>
      </c>
      <c r="D66" s="62" t="s">
        <v>427</v>
      </c>
      <c r="E66" s="214">
        <v>272</v>
      </c>
      <c r="F66" s="183" t="s">
        <v>573</v>
      </c>
      <c r="G66" s="55" t="s">
        <v>578</v>
      </c>
      <c r="H66" s="64" t="s">
        <v>579</v>
      </c>
      <c r="I66" s="65">
        <v>28.420723737599999</v>
      </c>
      <c r="J66" s="55" t="s">
        <v>588</v>
      </c>
      <c r="K66" s="66" t="s">
        <v>86</v>
      </c>
      <c r="L66" s="56"/>
    </row>
    <row r="67" spans="2:12" x14ac:dyDescent="0.3">
      <c r="B67" s="54">
        <v>13</v>
      </c>
      <c r="C67" s="55">
        <v>13</v>
      </c>
      <c r="D67" s="62" t="s">
        <v>427</v>
      </c>
      <c r="E67" s="214">
        <v>272</v>
      </c>
      <c r="F67" s="183" t="s">
        <v>573</v>
      </c>
      <c r="G67" s="55" t="s">
        <v>580</v>
      </c>
      <c r="H67" s="64" t="s">
        <v>581</v>
      </c>
      <c r="I67" s="65">
        <v>4.1873192117800002</v>
      </c>
      <c r="J67" s="55" t="s">
        <v>588</v>
      </c>
      <c r="K67" s="66" t="s">
        <v>86</v>
      </c>
      <c r="L67" s="56"/>
    </row>
    <row r="68" spans="2:12" x14ac:dyDescent="0.3">
      <c r="B68" s="54">
        <v>13</v>
      </c>
      <c r="C68" s="55">
        <v>13</v>
      </c>
      <c r="D68" s="62" t="s">
        <v>427</v>
      </c>
      <c r="E68" s="214">
        <v>273</v>
      </c>
      <c r="F68" s="183" t="s">
        <v>582</v>
      </c>
      <c r="G68" s="55" t="s">
        <v>583</v>
      </c>
      <c r="H68" s="64" t="s">
        <v>584</v>
      </c>
      <c r="I68" s="65">
        <v>11.2079170884</v>
      </c>
      <c r="J68" s="55" t="s">
        <v>588</v>
      </c>
      <c r="K68" s="66" t="s">
        <v>86</v>
      </c>
      <c r="L68" s="56"/>
    </row>
    <row r="70" spans="2:12" ht="14.4" thickBot="1" x14ac:dyDescent="0.35">
      <c r="H70" s="59" t="s">
        <v>88</v>
      </c>
      <c r="I70" s="68">
        <f>SUM(I4:I69)</f>
        <v>1211.3949741240303</v>
      </c>
    </row>
  </sheetData>
  <mergeCells count="1">
    <mergeCell ref="B2:K2"/>
  </mergeCells>
  <conditionalFormatting sqref="K1:K1048576">
    <cfRule type="cellIs" dxfId="1" priority="1" operator="equal">
      <formula>"Acesso"</formula>
    </cfRule>
    <cfRule type="cellIs" dxfId="0" priority="2" operator="equal">
      <formula>"Municipal"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B0F2-5CFE-47C2-BD8F-E4AAA39F8639}">
  <sheetPr codeName="Planilha14"/>
  <dimension ref="B1:P85"/>
  <sheetViews>
    <sheetView topLeftCell="E1" zoomScaleNormal="100" workbookViewId="0">
      <selection activeCell="K14" sqref="K14"/>
    </sheetView>
  </sheetViews>
  <sheetFormatPr defaultRowHeight="15.6" x14ac:dyDescent="0.3"/>
  <cols>
    <col min="1" max="1" width="3.59765625" customWidth="1"/>
    <col min="2" max="2" width="12.09765625" customWidth="1"/>
    <col min="3" max="3" width="13.5" customWidth="1"/>
    <col min="4" max="4" width="11.8984375" customWidth="1"/>
    <col min="5" max="5" width="12.59765625" customWidth="1"/>
    <col min="6" max="6" width="7" customWidth="1"/>
    <col min="7" max="7" width="3.796875" customWidth="1"/>
    <col min="8" max="8" width="45.296875" customWidth="1"/>
    <col min="9" max="9" width="6.8984375" customWidth="1"/>
    <col min="10" max="10" width="3.796875" customWidth="1"/>
    <col min="11" max="11" width="44.796875" customWidth="1"/>
    <col min="12" max="12" width="5.8984375" customWidth="1"/>
    <col min="13" max="13" width="20.8984375" customWidth="1"/>
    <col min="14" max="14" width="5.8984375" customWidth="1"/>
    <col min="15" max="15" width="15.59765625" customWidth="1"/>
    <col min="16" max="16" width="13.09765625" customWidth="1"/>
  </cols>
  <sheetData>
    <row r="1" spans="2:16" ht="26.4" customHeight="1" x14ac:dyDescent="0.3"/>
    <row r="2" spans="2:16" ht="55.2" customHeight="1" x14ac:dyDescent="0.3">
      <c r="B2" s="327" t="s">
        <v>11</v>
      </c>
      <c r="C2" s="328"/>
      <c r="D2" s="327" t="s">
        <v>12</v>
      </c>
      <c r="E2" s="328"/>
      <c r="F2" s="50"/>
      <c r="O2" s="329" t="s">
        <v>158</v>
      </c>
      <c r="P2" s="330"/>
    </row>
    <row r="3" spans="2:16" ht="34.799999999999997" customHeight="1" x14ac:dyDescent="0.3">
      <c r="B3" s="4" t="s">
        <v>13</v>
      </c>
      <c r="C3" s="5" t="s">
        <v>14</v>
      </c>
      <c r="D3" s="7" t="s">
        <v>15</v>
      </c>
      <c r="E3" s="6" t="s">
        <v>16</v>
      </c>
      <c r="F3" s="50"/>
      <c r="H3" s="3" t="s">
        <v>591</v>
      </c>
      <c r="K3" s="3" t="s">
        <v>590</v>
      </c>
      <c r="M3" s="3" t="s">
        <v>10</v>
      </c>
      <c r="O3" s="184" t="s">
        <v>159</v>
      </c>
      <c r="P3" s="184" t="s">
        <v>160</v>
      </c>
    </row>
    <row r="4" spans="2:16" x14ac:dyDescent="0.3">
      <c r="B4" s="37" t="s">
        <v>163</v>
      </c>
      <c r="C4" s="38">
        <v>11</v>
      </c>
      <c r="D4" s="38" t="s">
        <v>169</v>
      </c>
      <c r="E4" s="39" t="s">
        <v>175</v>
      </c>
      <c r="F4" s="50"/>
      <c r="G4" s="201" t="s">
        <v>39</v>
      </c>
      <c r="H4" s="36" t="s">
        <v>17</v>
      </c>
      <c r="J4" s="201" t="s">
        <v>631</v>
      </c>
      <c r="K4" s="36" t="s">
        <v>60</v>
      </c>
      <c r="M4" s="36" t="s">
        <v>38</v>
      </c>
      <c r="O4" s="185" t="s">
        <v>116</v>
      </c>
      <c r="P4" s="186" t="s">
        <v>161</v>
      </c>
    </row>
    <row r="5" spans="2:16" x14ac:dyDescent="0.3">
      <c r="B5" s="37" t="s">
        <v>164</v>
      </c>
      <c r="C5" s="38">
        <v>12</v>
      </c>
      <c r="D5" s="38" t="s">
        <v>170</v>
      </c>
      <c r="E5" s="40" t="s">
        <v>176</v>
      </c>
      <c r="F5" s="50"/>
      <c r="G5" s="10"/>
      <c r="H5" s="36" t="s">
        <v>90</v>
      </c>
      <c r="J5" s="201" t="s">
        <v>632</v>
      </c>
      <c r="K5" s="36" t="s">
        <v>58</v>
      </c>
      <c r="M5" s="195" t="s">
        <v>18</v>
      </c>
      <c r="O5" s="186" t="str">
        <f t="shared" ref="O5:O10" si="0">"REGIÃO "&amp;TEXT($C4,"00")</f>
        <v>REGIÃO 11</v>
      </c>
      <c r="P5" s="186" t="str">
        <f t="shared" ref="P5:P10" si="1">$B4</f>
        <v>R11</v>
      </c>
    </row>
    <row r="6" spans="2:16" x14ac:dyDescent="0.3">
      <c r="B6" s="37" t="s">
        <v>165</v>
      </c>
      <c r="C6" s="38">
        <v>13</v>
      </c>
      <c r="D6" s="38" t="s">
        <v>171</v>
      </c>
      <c r="E6" s="40" t="s">
        <v>177</v>
      </c>
      <c r="F6" s="50"/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" s="186" t="str">
        <f t="shared" si="0"/>
        <v>REGIÃO 12</v>
      </c>
      <c r="P6" s="186" t="str">
        <f t="shared" si="1"/>
        <v>R12</v>
      </c>
    </row>
    <row r="7" spans="2:16" x14ac:dyDescent="0.3">
      <c r="B7" s="37" t="s">
        <v>166</v>
      </c>
      <c r="C7" s="38">
        <v>22</v>
      </c>
      <c r="D7" s="38" t="s">
        <v>172</v>
      </c>
      <c r="E7" s="40" t="s">
        <v>178</v>
      </c>
      <c r="F7" s="50"/>
      <c r="G7" s="201" t="s">
        <v>40</v>
      </c>
      <c r="H7" s="36" t="s">
        <v>41</v>
      </c>
      <c r="J7" s="201" t="s">
        <v>634</v>
      </c>
      <c r="K7" s="334" t="s">
        <v>628</v>
      </c>
      <c r="M7" s="197" t="s">
        <v>20</v>
      </c>
      <c r="O7" s="186" t="str">
        <f t="shared" si="0"/>
        <v>REGIÃO 13</v>
      </c>
      <c r="P7" s="186" t="str">
        <f t="shared" si="1"/>
        <v>R13</v>
      </c>
    </row>
    <row r="8" spans="2:16" x14ac:dyDescent="0.3">
      <c r="B8" s="37" t="s">
        <v>167</v>
      </c>
      <c r="C8" s="38">
        <v>23</v>
      </c>
      <c r="D8" s="38" t="s">
        <v>173</v>
      </c>
      <c r="E8" s="40" t="s">
        <v>179</v>
      </c>
      <c r="F8" s="50"/>
      <c r="G8" s="10"/>
      <c r="H8" s="36" t="s">
        <v>42</v>
      </c>
      <c r="J8" s="201" t="s">
        <v>635</v>
      </c>
      <c r="K8" s="36" t="s">
        <v>629</v>
      </c>
      <c r="M8" s="198" t="s">
        <v>21</v>
      </c>
      <c r="O8" s="186" t="str">
        <f t="shared" si="0"/>
        <v>REGIÃO 22</v>
      </c>
      <c r="P8" s="186" t="str">
        <f t="shared" si="1"/>
        <v>R22</v>
      </c>
    </row>
    <row r="9" spans="2:16" x14ac:dyDescent="0.3">
      <c r="B9" s="41" t="s">
        <v>168</v>
      </c>
      <c r="C9" s="42">
        <v>24</v>
      </c>
      <c r="D9" s="42" t="s">
        <v>174</v>
      </c>
      <c r="E9" s="43" t="s">
        <v>180</v>
      </c>
      <c r="F9" s="50"/>
      <c r="G9" s="201" t="s">
        <v>43</v>
      </c>
      <c r="H9" s="36" t="s">
        <v>36</v>
      </c>
      <c r="K9" s="73" t="s">
        <v>94</v>
      </c>
      <c r="M9" s="199" t="s">
        <v>607</v>
      </c>
      <c r="O9" s="186" t="str">
        <f t="shared" si="0"/>
        <v>REGIÃO 23</v>
      </c>
      <c r="P9" s="186" t="str">
        <f t="shared" si="1"/>
        <v>R23</v>
      </c>
    </row>
    <row r="10" spans="2:16" x14ac:dyDescent="0.3">
      <c r="H10" s="36" t="s">
        <v>44</v>
      </c>
      <c r="K10" s="36" t="s">
        <v>60</v>
      </c>
      <c r="M10" s="200" t="s">
        <v>608</v>
      </c>
      <c r="O10" s="186" t="str">
        <f t="shared" si="0"/>
        <v>REGIÃO 24</v>
      </c>
      <c r="P10" s="186" t="str">
        <f t="shared" si="1"/>
        <v>R24</v>
      </c>
    </row>
    <row r="11" spans="2:16" ht="31.2" x14ac:dyDescent="0.3">
      <c r="H11" s="36" t="s">
        <v>45</v>
      </c>
      <c r="K11" s="36" t="s">
        <v>663</v>
      </c>
      <c r="M11" s="36" t="s">
        <v>2</v>
      </c>
    </row>
    <row r="12" spans="2:16" x14ac:dyDescent="0.3">
      <c r="H12" s="36" t="s">
        <v>46</v>
      </c>
      <c r="K12" s="36" t="s">
        <v>2</v>
      </c>
      <c r="M12" s="36" t="s">
        <v>2</v>
      </c>
    </row>
    <row r="13" spans="2:16" ht="31.2" x14ac:dyDescent="0.3">
      <c r="H13" s="36" t="s">
        <v>47</v>
      </c>
      <c r="K13" s="36" t="s">
        <v>664</v>
      </c>
    </row>
    <row r="14" spans="2:16" ht="46.8" x14ac:dyDescent="0.3">
      <c r="H14" s="36" t="s">
        <v>48</v>
      </c>
      <c r="K14" s="36" t="s">
        <v>665</v>
      </c>
    </row>
    <row r="15" spans="2:16" x14ac:dyDescent="0.3">
      <c r="H15" s="36" t="s">
        <v>49</v>
      </c>
      <c r="K15" s="36" t="s">
        <v>2</v>
      </c>
    </row>
    <row r="16" spans="2:16" x14ac:dyDescent="0.3">
      <c r="H16" s="36" t="s">
        <v>50</v>
      </c>
      <c r="K16" s="36" t="s">
        <v>2</v>
      </c>
    </row>
    <row r="17" spans="7:11" x14ac:dyDescent="0.3">
      <c r="H17" s="36" t="s">
        <v>51</v>
      </c>
      <c r="K17" s="36"/>
    </row>
    <row r="18" spans="7:11" x14ac:dyDescent="0.3">
      <c r="H18" s="36" t="s">
        <v>52</v>
      </c>
      <c r="K18" s="36"/>
    </row>
    <row r="19" spans="7:11" x14ac:dyDescent="0.3">
      <c r="H19" s="36" t="s">
        <v>92</v>
      </c>
      <c r="K19" s="36"/>
    </row>
    <row r="20" spans="7:11" x14ac:dyDescent="0.3">
      <c r="H20" s="36" t="s">
        <v>54</v>
      </c>
      <c r="K20" s="36"/>
    </row>
    <row r="21" spans="7:11" x14ac:dyDescent="0.3">
      <c r="H21" s="36" t="s">
        <v>37</v>
      </c>
      <c r="K21" s="36"/>
    </row>
    <row r="22" spans="7:11" x14ac:dyDescent="0.3">
      <c r="H22" s="36" t="s">
        <v>53</v>
      </c>
      <c r="K22" s="36"/>
    </row>
    <row r="23" spans="7:11" x14ac:dyDescent="0.3">
      <c r="H23" s="36" t="s">
        <v>55</v>
      </c>
      <c r="K23" s="36"/>
    </row>
    <row r="24" spans="7:11" x14ac:dyDescent="0.3">
      <c r="G24" s="51" t="s">
        <v>57</v>
      </c>
      <c r="H24" s="36" t="s">
        <v>56</v>
      </c>
      <c r="K24" s="36"/>
    </row>
    <row r="25" spans="7:11" x14ac:dyDescent="0.3">
      <c r="H25" s="36" t="s">
        <v>60</v>
      </c>
      <c r="K25" s="36"/>
    </row>
    <row r="26" spans="7:11" x14ac:dyDescent="0.3">
      <c r="H26" s="36" t="s">
        <v>58</v>
      </c>
      <c r="K26" s="36"/>
    </row>
    <row r="27" spans="7:11" x14ac:dyDescent="0.3">
      <c r="H27" s="36" t="s">
        <v>59</v>
      </c>
      <c r="K27" s="36"/>
    </row>
    <row r="28" spans="7:11" x14ac:dyDescent="0.3">
      <c r="G28" s="51" t="s">
        <v>61</v>
      </c>
      <c r="H28" s="36" t="s">
        <v>62</v>
      </c>
      <c r="K28" s="36"/>
    </row>
    <row r="29" spans="7:11" x14ac:dyDescent="0.3">
      <c r="H29" s="36" t="s">
        <v>63</v>
      </c>
      <c r="K29" s="36"/>
    </row>
    <row r="30" spans="7:11" x14ac:dyDescent="0.3">
      <c r="H30" s="36" t="s">
        <v>97</v>
      </c>
      <c r="K30" s="36"/>
    </row>
    <row r="31" spans="7:11" x14ac:dyDescent="0.3">
      <c r="H31" s="36" t="s">
        <v>64</v>
      </c>
      <c r="K31" s="36"/>
    </row>
    <row r="32" spans="7:11" x14ac:dyDescent="0.3">
      <c r="H32" s="36" t="s">
        <v>65</v>
      </c>
      <c r="K32" s="36"/>
    </row>
    <row r="33" spans="7:11" x14ac:dyDescent="0.3">
      <c r="G33" s="51" t="s">
        <v>66</v>
      </c>
      <c r="H33" s="36" t="s">
        <v>67</v>
      </c>
      <c r="K33" s="36"/>
    </row>
    <row r="34" spans="7:11" x14ac:dyDescent="0.3">
      <c r="H34" s="36" t="s">
        <v>68</v>
      </c>
      <c r="K34" s="36"/>
    </row>
    <row r="35" spans="7:11" ht="31.2" x14ac:dyDescent="0.3">
      <c r="G35" s="51" t="s">
        <v>70</v>
      </c>
      <c r="H35" s="36" t="s">
        <v>69</v>
      </c>
    </row>
    <row r="36" spans="7:11" x14ac:dyDescent="0.3">
      <c r="H36" s="36" t="s">
        <v>71</v>
      </c>
    </row>
    <row r="37" spans="7:11" x14ac:dyDescent="0.3">
      <c r="H37" s="36" t="s">
        <v>72</v>
      </c>
    </row>
    <row r="38" spans="7:11" x14ac:dyDescent="0.3">
      <c r="G38" s="51" t="s">
        <v>74</v>
      </c>
      <c r="H38" s="36" t="s">
        <v>73</v>
      </c>
    </row>
    <row r="39" spans="7:11" x14ac:dyDescent="0.3">
      <c r="H39" s="36" t="s">
        <v>75</v>
      </c>
    </row>
    <row r="40" spans="7:11" x14ac:dyDescent="0.3">
      <c r="H40" s="73" t="s">
        <v>94</v>
      </c>
    </row>
    <row r="41" spans="7:11" x14ac:dyDescent="0.3">
      <c r="H41" s="36" t="s">
        <v>93</v>
      </c>
    </row>
    <row r="42" spans="7:11" ht="62.4" x14ac:dyDescent="0.3">
      <c r="H42" s="36" t="s">
        <v>95</v>
      </c>
    </row>
    <row r="43" spans="7:11" ht="62.4" x14ac:dyDescent="0.3">
      <c r="H43" s="36" t="s">
        <v>96</v>
      </c>
    </row>
    <row r="44" spans="7:11" ht="46.8" x14ac:dyDescent="0.3">
      <c r="H44" s="36" t="s">
        <v>98</v>
      </c>
    </row>
    <row r="45" spans="7:11" ht="46.8" x14ac:dyDescent="0.3">
      <c r="H45" s="36" t="s">
        <v>99</v>
      </c>
    </row>
    <row r="46" spans="7:11" ht="46.8" x14ac:dyDescent="0.3">
      <c r="H46" s="36" t="s">
        <v>102</v>
      </c>
    </row>
    <row r="47" spans="7:11" ht="31.2" x14ac:dyDescent="0.3">
      <c r="H47" s="36" t="s">
        <v>100</v>
      </c>
    </row>
    <row r="48" spans="7:11" ht="31.2" x14ac:dyDescent="0.3">
      <c r="H48" s="36" t="s">
        <v>101</v>
      </c>
    </row>
    <row r="49" spans="8:8" ht="62.4" x14ac:dyDescent="0.3">
      <c r="H49" s="36" t="s">
        <v>103</v>
      </c>
    </row>
    <row r="50" spans="8:8" x14ac:dyDescent="0.3">
      <c r="H50" s="36" t="s">
        <v>104</v>
      </c>
    </row>
    <row r="51" spans="8:8" x14ac:dyDescent="0.3">
      <c r="H51" s="36" t="s">
        <v>105</v>
      </c>
    </row>
    <row r="52" spans="8:8" x14ac:dyDescent="0.3">
      <c r="H52" s="36" t="s">
        <v>106</v>
      </c>
    </row>
    <row r="53" spans="8:8" x14ac:dyDescent="0.3">
      <c r="H53" s="36" t="s">
        <v>107</v>
      </c>
    </row>
    <row r="54" spans="8:8" x14ac:dyDescent="0.3">
      <c r="H54" s="36" t="s">
        <v>108</v>
      </c>
    </row>
    <row r="55" spans="8:8" x14ac:dyDescent="0.3">
      <c r="H55" s="36" t="s">
        <v>109</v>
      </c>
    </row>
    <row r="56" spans="8:8" x14ac:dyDescent="0.3">
      <c r="H56" s="36" t="s">
        <v>143</v>
      </c>
    </row>
    <row r="57" spans="8:8" ht="46.8" x14ac:dyDescent="0.3">
      <c r="H57" s="36" t="s">
        <v>592</v>
      </c>
    </row>
    <row r="58" spans="8:8" ht="31.2" x14ac:dyDescent="0.3">
      <c r="H58" s="36" t="s">
        <v>593</v>
      </c>
    </row>
    <row r="59" spans="8:8" x14ac:dyDescent="0.3">
      <c r="H59" s="36" t="s">
        <v>648</v>
      </c>
    </row>
    <row r="60" spans="8:8" ht="46.8" x14ac:dyDescent="0.3">
      <c r="H60" s="36" t="s">
        <v>594</v>
      </c>
    </row>
    <row r="61" spans="8:8" ht="46.8" x14ac:dyDescent="0.3">
      <c r="H61" s="36" t="s">
        <v>595</v>
      </c>
    </row>
    <row r="62" spans="8:8" ht="46.8" x14ac:dyDescent="0.3">
      <c r="H62" s="36" t="s">
        <v>596</v>
      </c>
    </row>
    <row r="63" spans="8:8" x14ac:dyDescent="0.3">
      <c r="H63" s="36" t="s">
        <v>597</v>
      </c>
    </row>
    <row r="64" spans="8:8" ht="31.2" x14ac:dyDescent="0.3">
      <c r="H64" s="36" t="s">
        <v>598</v>
      </c>
    </row>
    <row r="65" spans="8:8" ht="62.4" x14ac:dyDescent="0.3">
      <c r="H65" s="36" t="s">
        <v>599</v>
      </c>
    </row>
    <row r="66" spans="8:8" ht="62.4" x14ac:dyDescent="0.3">
      <c r="H66" s="36" t="s">
        <v>600</v>
      </c>
    </row>
    <row r="67" spans="8:8" x14ac:dyDescent="0.3">
      <c r="H67" s="36" t="s">
        <v>601</v>
      </c>
    </row>
    <row r="68" spans="8:8" ht="31.2" x14ac:dyDescent="0.3">
      <c r="H68" s="36" t="s">
        <v>602</v>
      </c>
    </row>
    <row r="69" spans="8:8" ht="31.2" x14ac:dyDescent="0.3">
      <c r="H69" s="36" t="s">
        <v>656</v>
      </c>
    </row>
    <row r="70" spans="8:8" ht="31.2" x14ac:dyDescent="0.3">
      <c r="H70" s="36" t="s">
        <v>603</v>
      </c>
    </row>
    <row r="71" spans="8:8" ht="31.2" x14ac:dyDescent="0.3">
      <c r="H71" s="36" t="s">
        <v>101</v>
      </c>
    </row>
    <row r="72" spans="8:8" x14ac:dyDescent="0.3">
      <c r="H72" s="36" t="s">
        <v>604</v>
      </c>
    </row>
    <row r="73" spans="8:8" ht="31.2" x14ac:dyDescent="0.3">
      <c r="H73" s="36" t="s">
        <v>605</v>
      </c>
    </row>
    <row r="74" spans="8:8" ht="31.2" x14ac:dyDescent="0.3">
      <c r="H74" s="36" t="s">
        <v>606</v>
      </c>
    </row>
    <row r="75" spans="8:8" x14ac:dyDescent="0.3">
      <c r="H75" s="36" t="s">
        <v>617</v>
      </c>
    </row>
    <row r="76" spans="8:8" ht="46.8" x14ac:dyDescent="0.3">
      <c r="H76" s="36" t="s">
        <v>618</v>
      </c>
    </row>
    <row r="77" spans="8:8" ht="46.8" x14ac:dyDescent="0.3">
      <c r="H77" s="36" t="s">
        <v>619</v>
      </c>
    </row>
    <row r="78" spans="8:8" x14ac:dyDescent="0.3">
      <c r="H78" s="36" t="s">
        <v>641</v>
      </c>
    </row>
    <row r="79" spans="8:8" ht="31.2" x14ac:dyDescent="0.3">
      <c r="H79" s="36" t="s">
        <v>653</v>
      </c>
    </row>
    <row r="80" spans="8:8" ht="46.8" x14ac:dyDescent="0.3">
      <c r="H80" s="36" t="s">
        <v>654</v>
      </c>
    </row>
    <row r="81" spans="8:8" ht="46.8" x14ac:dyDescent="0.3">
      <c r="H81" s="36" t="s">
        <v>655</v>
      </c>
    </row>
    <row r="82" spans="8:8" ht="31.2" x14ac:dyDescent="0.3">
      <c r="H82" s="36" t="s">
        <v>657</v>
      </c>
    </row>
    <row r="83" spans="8:8" x14ac:dyDescent="0.3">
      <c r="H83" s="36" t="s">
        <v>661</v>
      </c>
    </row>
    <row r="84" spans="8:8" x14ac:dyDescent="0.3">
      <c r="H84" s="36" t="s">
        <v>2</v>
      </c>
    </row>
    <row r="85" spans="8:8" x14ac:dyDescent="0.3">
      <c r="H85" s="36" t="s">
        <v>2</v>
      </c>
    </row>
  </sheetData>
  <mergeCells count="3">
    <mergeCell ref="B2:C2"/>
    <mergeCell ref="D2:E2"/>
    <mergeCell ref="O2:P2"/>
  </mergeCells>
  <phoneticPr fontId="3" type="noConversion"/>
  <pageMargins left="0.7" right="0.7" top="0.75" bottom="0.75" header="0.3" footer="0.3"/>
  <ignoredErrors>
    <ignoredError sqref="E4:E9" numberStoredAsText="1"/>
  </ignoredErrors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5C03-5F6E-4E31-AF2E-0A4D730694FE}">
  <sheetPr codeName="Planilha17">
    <tabColor rgb="FF808080"/>
  </sheetPr>
  <dimension ref="B1:AX217"/>
  <sheetViews>
    <sheetView workbookViewId="0">
      <selection activeCell="H20" sqref="H20"/>
    </sheetView>
  </sheetViews>
  <sheetFormatPr defaultRowHeight="15.6" x14ac:dyDescent="0.3"/>
  <sheetData>
    <row r="1" spans="2:50" x14ac:dyDescent="0.3">
      <c r="Y1" s="84" t="s">
        <v>111</v>
      </c>
      <c r="Z1" t="str">
        <f>_xlfn.LET(_xlpm.c,IFERROR(INDEX('Tabelas Auxiliares'!$P$4:$P$10,MATCH(DASHBOARD!$D$10,'Tabelas Auxiliares'!$O$4:$O$10,0)),"*"),IF(_xlpm.c="*","?*",_xlpm.c))</f>
        <v>R12</v>
      </c>
    </row>
    <row r="2" spans="2:50" x14ac:dyDescent="0.3">
      <c r="B2" s="84" t="s">
        <v>110</v>
      </c>
      <c r="AL2" t="s">
        <v>138</v>
      </c>
    </row>
    <row r="3" spans="2:50" x14ac:dyDescent="0.3">
      <c r="B3" s="85" t="s">
        <v>4</v>
      </c>
      <c r="C3" s="85" t="s">
        <v>5</v>
      </c>
      <c r="D3" s="85" t="s">
        <v>6</v>
      </c>
      <c r="E3" s="85" t="s">
        <v>7</v>
      </c>
      <c r="F3" s="85" t="s">
        <v>8</v>
      </c>
      <c r="G3" s="85" t="s">
        <v>0</v>
      </c>
      <c r="H3" s="85" t="s">
        <v>9</v>
      </c>
      <c r="I3" s="85" t="s">
        <v>1</v>
      </c>
      <c r="J3" s="85" t="s">
        <v>25</v>
      </c>
      <c r="K3" s="85" t="s">
        <v>26</v>
      </c>
      <c r="L3" s="85" t="s">
        <v>10</v>
      </c>
      <c r="M3" s="86">
        <f>'REGIÃO 11 - HISTÓRICO'!J2</f>
        <v>46023</v>
      </c>
      <c r="N3" s="86">
        <f>'REGIÃO 11 - HISTÓRICO'!L2</f>
        <v>46054</v>
      </c>
      <c r="O3" s="86">
        <f>'REGIÃO 11 - HISTÓRICO'!N2</f>
        <v>46082</v>
      </c>
      <c r="P3" s="86">
        <f>'REGIÃO 11 - HISTÓRICO'!P2</f>
        <v>46113</v>
      </c>
      <c r="Q3" s="86">
        <f>'REGIÃO 11 - HISTÓRICO'!R2</f>
        <v>46143</v>
      </c>
      <c r="R3" s="86">
        <f>'REGIÃO 11 - HISTÓRICO'!T2</f>
        <v>46174</v>
      </c>
      <c r="S3" s="86">
        <f>'REGIÃO 11 - HISTÓRICO'!V2</f>
        <v>46204</v>
      </c>
      <c r="T3" s="86">
        <f>'REGIÃO 11 - HISTÓRICO'!X2</f>
        <v>46235</v>
      </c>
      <c r="U3" s="86">
        <f>'REGIÃO 11 - HISTÓRICO'!Z2</f>
        <v>46266</v>
      </c>
      <c r="V3" s="86">
        <f>'REGIÃO 11 - HISTÓRICO'!AB2</f>
        <v>46296</v>
      </c>
      <c r="W3" s="86">
        <f>'REGIÃO 11 - HISTÓRICO'!AD2</f>
        <v>46327</v>
      </c>
      <c r="X3" s="86">
        <f>'REGIÃO 11 - HISTÓRICO'!AF2</f>
        <v>46357</v>
      </c>
      <c r="Z3" s="85" t="s">
        <v>9</v>
      </c>
      <c r="AA3" s="85" t="s">
        <v>112</v>
      </c>
      <c r="AB3" s="85" t="s">
        <v>1</v>
      </c>
      <c r="AC3" s="85" t="s">
        <v>113</v>
      </c>
      <c r="AD3" s="85" t="s">
        <v>114</v>
      </c>
      <c r="AF3" s="85" t="s">
        <v>4</v>
      </c>
      <c r="AG3" s="85" t="s">
        <v>6</v>
      </c>
      <c r="AH3" s="85" t="s">
        <v>1</v>
      </c>
      <c r="AI3" s="85" t="s">
        <v>113</v>
      </c>
      <c r="AJ3" s="85" t="s">
        <v>114</v>
      </c>
      <c r="AL3" s="85" t="s">
        <v>4</v>
      </c>
      <c r="AM3" s="85" t="s">
        <v>139</v>
      </c>
      <c r="AN3" s="85" t="s">
        <v>140</v>
      </c>
      <c r="AO3" s="85"/>
      <c r="AP3" s="85" t="s">
        <v>10</v>
      </c>
      <c r="AQ3" s="85" t="s">
        <v>112</v>
      </c>
      <c r="AR3" s="85"/>
      <c r="AS3" s="85" t="s">
        <v>131</v>
      </c>
      <c r="AT3" s="85" t="s">
        <v>141</v>
      </c>
      <c r="AU3" s="85" t="s">
        <v>142</v>
      </c>
      <c r="AV3" s="85"/>
      <c r="AW3" s="85" t="s">
        <v>9</v>
      </c>
      <c r="AX3" s="85" t="s">
        <v>139</v>
      </c>
    </row>
    <row r="4" spans="2:50" x14ac:dyDescent="0.3">
      <c r="B4" s="335" t="str">
        <f>IF(OR('REGIÃO 11 - RESUMO'!E4="",'REGIÃO 11 - RESUMO'!E4=0),"",'REGIÃO 11 - RESUMO'!C4)</f>
        <v>R11</v>
      </c>
      <c r="C4" s="335" t="str">
        <f>'REGIÃO 11 - RESUMO'!D4</f>
        <v>049.2024</v>
      </c>
      <c r="D4" s="81">
        <f>'REGIÃO 11 - RESUMO'!E4</f>
        <v>14</v>
      </c>
      <c r="E4" s="80" t="str">
        <f>'REGIÃO 11 - RESUMO'!F4</f>
        <v>Janeiro</v>
      </c>
      <c r="F4" s="82">
        <f>'REGIÃO 11 - RESUMO'!H4</f>
        <v>204</v>
      </c>
      <c r="G4" s="335" t="str">
        <f>'REGIÃO 11 - RESUMO'!I4</f>
        <v>RODOVIA TO-070 - TRECHO ALIANÇA DO TOCANTINS - BREJINHO DE NAZARÉ</v>
      </c>
      <c r="H4" s="80" t="str">
        <f>'REGIÃO 11 - RESUMO'!J4</f>
        <v>Roçada / Tapa-Buraco CAE</v>
      </c>
      <c r="I4" s="335">
        <f>'REGIÃO 11 - RESUMO'!K4</f>
        <v>177657.57</v>
      </c>
      <c r="J4" s="335">
        <f>'REGIÃO 11 - HISTÓRICO'!F4</f>
        <v>131038.59</v>
      </c>
      <c r="K4" s="335">
        <f>'REGIÃO 11 - HISTÓRICO'!G4</f>
        <v>46618.98000000001</v>
      </c>
      <c r="L4" s="82" t="str">
        <f>IF(OR('REGIÃO 11 - RESUMO'!L4="",'REGIÃO 11 - RESUMO'!L4=0),"",'REGIÃO 11 - RESUMO'!L4)</f>
        <v>Concluída</v>
      </c>
      <c r="M4" s="335">
        <f>'REGIÃO 11 - HISTÓRICO'!J4</f>
        <v>0</v>
      </c>
      <c r="N4" s="335">
        <f>'REGIÃO 11 - HISTÓRICO'!L4</f>
        <v>61902.720000000001</v>
      </c>
      <c r="O4" s="335">
        <f>'REGIÃO 11 - HISTÓRICO'!N4</f>
        <v>69135.87</v>
      </c>
      <c r="P4" s="335">
        <f>'REGIÃO 11 - HISTÓRICO'!P4</f>
        <v>0</v>
      </c>
      <c r="Q4" s="335">
        <f>'REGIÃO 11 - HISTÓRICO'!R4</f>
        <v>0</v>
      </c>
      <c r="R4" s="335">
        <f>'REGIÃO 11 - HISTÓRICO'!T4</f>
        <v>0</v>
      </c>
      <c r="S4" s="335">
        <f>'REGIÃO 11 - HISTÓRICO'!V4</f>
        <v>0</v>
      </c>
      <c r="T4" s="335">
        <f>'REGIÃO 11 - HISTÓRICO'!X4</f>
        <v>0</v>
      </c>
      <c r="U4" s="335">
        <f>'REGIÃO 11 - HISTÓRICO'!Z4</f>
        <v>0</v>
      </c>
      <c r="V4" s="335">
        <f>'REGIÃO 11 - HISTÓRICO'!AB4</f>
        <v>0</v>
      </c>
      <c r="W4" s="335">
        <f>'REGIÃO 11 - HISTÓRICO'!AD4</f>
        <v>0</v>
      </c>
      <c r="X4" s="335">
        <f>'REGIÃO 11 - HISTÓRICO'!AF4</f>
        <v>0</v>
      </c>
      <c r="Y4" s="335"/>
      <c r="Z4" s="335" t="str" cm="1">
        <f t="array" ref="Z4:Z36">_xlfn._xlws.SORT(_xlfn.UNIQUE(_xlfn._xlws.FILTER($H$4:$H$217,($H$4:$H$217&lt;&gt;"")*($B$4:$B$217&lt;&gt;""))))</f>
        <v xml:space="preserve"> Roçada / Caiação de EDS e pontes</v>
      </c>
      <c r="AA4" s="335">
        <f>IF($Z4="","",COUNTIFS($H$4:$H$217,$Z4,$B$4:$B$217,$Z$1))</f>
        <v>4</v>
      </c>
      <c r="AB4" s="335">
        <f>IF($Z4="","",SUMIFS($I$4:$I$217,$H$4:$H$217,$Z4,$B$4:$B$217,$Z$1))</f>
        <v>208338.05</v>
      </c>
      <c r="AC4" s="335">
        <f>IF($Z4="","",$AB4-ROW()/1000000)</f>
        <v>208338.04999599999</v>
      </c>
      <c r="AD4" s="335">
        <f>IFERROR(RANK($AC4,$AC$4:$AC$217),"")</f>
        <v>10</v>
      </c>
      <c r="AE4" s="335"/>
      <c r="AF4" s="335" t="str">
        <f>$B4</f>
        <v>R11</v>
      </c>
      <c r="AG4" s="335" t="str">
        <f>$C4&amp;"."&amp;TEXT($D4,"0000")</f>
        <v>049.2024.0014</v>
      </c>
      <c r="AH4" s="335">
        <f>IF($B4="",-1,IF(OR($Z$1="?*",$B4=$Z$1),$I4,-1))</f>
        <v>-1</v>
      </c>
      <c r="AI4" s="335" t="str">
        <f>IF($AH4&lt;0,"",$AH4-ROW()/1000000)</f>
        <v/>
      </c>
      <c r="AJ4" s="335" t="str">
        <f>IFERROR(RANK($AI4,$AI$4:$AI$217),"")</f>
        <v/>
      </c>
      <c r="AL4">
        <f>DASHBOARD!$B$47</f>
        <v>0</v>
      </c>
      <c r="AM4">
        <f>DASHBOARD!$F$47</f>
        <v>0</v>
      </c>
      <c r="AN4">
        <f>DASHBOARD!$G$47</f>
        <v>0</v>
      </c>
      <c r="AP4">
        <f>DASHBOARD!$B$57</f>
        <v>0</v>
      </c>
      <c r="AQ4">
        <f>DASHBOARD!$D$57</f>
        <v>0</v>
      </c>
      <c r="AS4" s="79">
        <f>DASHBOARD!$D$67</f>
        <v>0</v>
      </c>
      <c r="AT4">
        <f>DASHBOARD!$D$68</f>
        <v>0</v>
      </c>
      <c r="AU4">
        <f>DASHBOARD!$D$69</f>
        <v>0</v>
      </c>
      <c r="AW4" t="str">
        <f>DETALHAMENTO!$J$8</f>
        <v>Terraplenagem / Reconformação da plataforma / Recomposição do revestimento primário</v>
      </c>
      <c r="AX4">
        <f>DETALHAMENTO!$O$8</f>
        <v>6332107.4800000004</v>
      </c>
    </row>
    <row r="5" spans="2:50" x14ac:dyDescent="0.3">
      <c r="B5" s="335" t="str">
        <f>IF(OR('REGIÃO 11 - RESUMO'!E5="",'REGIÃO 11 - RESUMO'!E5=0),"",'REGIÃO 11 - RESUMO'!C5)</f>
        <v>R11</v>
      </c>
      <c r="C5" s="335" t="str">
        <f>'REGIÃO 11 - RESUMO'!D5</f>
        <v>049.2024</v>
      </c>
      <c r="D5" s="81">
        <f>'REGIÃO 11 - RESUMO'!E5</f>
        <v>15</v>
      </c>
      <c r="E5" s="80" t="str">
        <f>'REGIÃO 11 - RESUMO'!F5</f>
        <v>Janeiro</v>
      </c>
      <c r="F5" s="82">
        <f>'REGIÃO 11 - RESUMO'!H5</f>
        <v>212</v>
      </c>
      <c r="G5" s="335" t="str">
        <f>'REGIÃO 11 - RESUMO'!I5</f>
        <v>RODOVIA TO-181 - TRECHO ARAGUAÇU - SANDOLÂNDIA</v>
      </c>
      <c r="H5" s="80" t="str">
        <f>'REGIÃO 11 - RESUMO'!J5</f>
        <v>Roçada</v>
      </c>
      <c r="I5" s="335">
        <f>'REGIÃO 11 - RESUMO'!K5</f>
        <v>25453.98</v>
      </c>
      <c r="J5" s="335">
        <f>'REGIÃO 11 - HISTÓRICO'!F5</f>
        <v>24168.68</v>
      </c>
      <c r="K5" s="335">
        <f>'REGIÃO 11 - HISTÓRICO'!G5</f>
        <v>1285.2999999999993</v>
      </c>
      <c r="L5" s="335" t="str">
        <f>IF(OR('REGIÃO 11 - RESUMO'!L5="",'REGIÃO 11 - RESUMO'!L5=0),"",'REGIÃO 11 - RESUMO'!L5)</f>
        <v>Concluída</v>
      </c>
      <c r="M5" s="335">
        <f>'REGIÃO 11 - HISTÓRICO'!J5</f>
        <v>0</v>
      </c>
      <c r="N5" s="335">
        <f>'REGIÃO 11 - HISTÓRICO'!L5</f>
        <v>24168.68</v>
      </c>
      <c r="O5" s="335">
        <f>'REGIÃO 11 - HISTÓRICO'!N5</f>
        <v>0</v>
      </c>
      <c r="P5" s="335">
        <f>'REGIÃO 11 - HISTÓRICO'!P5</f>
        <v>0</v>
      </c>
      <c r="Q5" s="335">
        <f>'REGIÃO 11 - HISTÓRICO'!R5</f>
        <v>0</v>
      </c>
      <c r="R5" s="335">
        <f>'REGIÃO 11 - HISTÓRICO'!T5</f>
        <v>0</v>
      </c>
      <c r="S5" s="335">
        <f>'REGIÃO 11 - HISTÓRICO'!V5</f>
        <v>0</v>
      </c>
      <c r="T5" s="335">
        <f>'REGIÃO 11 - HISTÓRICO'!X5</f>
        <v>0</v>
      </c>
      <c r="U5" s="335">
        <f>'REGIÃO 11 - HISTÓRICO'!Z5</f>
        <v>0</v>
      </c>
      <c r="V5" s="335">
        <f>'REGIÃO 11 - HISTÓRICO'!AB5</f>
        <v>0</v>
      </c>
      <c r="W5" s="335">
        <f>'REGIÃO 11 - HISTÓRICO'!AD5</f>
        <v>0</v>
      </c>
      <c r="X5" s="335">
        <f>'REGIÃO 11 - HISTÓRICO'!AF5</f>
        <v>0</v>
      </c>
      <c r="Y5" s="335"/>
      <c r="Z5" s="335" t="str">
        <v>Caiação de EDS e pontes</v>
      </c>
      <c r="AA5" s="335">
        <f>IF($Z5="","",COUNTIFS($H$4:$H$217,$Z5,$B$4:$B$217,$Z$1))</f>
        <v>0</v>
      </c>
      <c r="AB5" s="335">
        <f>IF($Z5="","",SUMIFS($I$4:$I$217,$H$4:$H$217,$Z5,$B$4:$B$217,$Z$1))</f>
        <v>0</v>
      </c>
      <c r="AC5" s="335">
        <f>IF($Z5="","",$AB5-ROW()/1000000)</f>
        <v>-5.0000000000000004E-6</v>
      </c>
      <c r="AD5" s="335">
        <f>IFERROR(RANK($AC5,$AC$4:$AC$217),"")</f>
        <v>13</v>
      </c>
      <c r="AE5" s="335"/>
      <c r="AF5" s="335" t="str">
        <f>$B5</f>
        <v>R11</v>
      </c>
      <c r="AG5" s="335" t="str">
        <f>$C5&amp;"."&amp;TEXT($D5,"0000")</f>
        <v>049.2024.0015</v>
      </c>
      <c r="AH5" s="335">
        <f>IF($B5="",-1,IF(OR($Z$1="?*",$B5=$Z$1),$I5,-1))</f>
        <v>-1</v>
      </c>
      <c r="AI5" s="335" t="str">
        <f>IF($AH5&lt;0,"",$AH5-ROW()/1000000)</f>
        <v/>
      </c>
      <c r="AJ5" s="335" t="str">
        <f>IFERROR(RANK($AI5,$AI$4:$AI$217),"")</f>
        <v/>
      </c>
      <c r="AL5">
        <f>DASHBOARD!$B$48</f>
        <v>0</v>
      </c>
      <c r="AM5">
        <f>DASHBOARD!$F$48</f>
        <v>0</v>
      </c>
      <c r="AN5">
        <f>DASHBOARD!$G$48</f>
        <v>0</v>
      </c>
      <c r="AP5">
        <f>DASHBOARD!$B$58</f>
        <v>0</v>
      </c>
      <c r="AQ5">
        <f>DASHBOARD!$D$58</f>
        <v>0</v>
      </c>
      <c r="AS5" s="79">
        <f>DASHBOARD!$E$67</f>
        <v>0</v>
      </c>
      <c r="AT5">
        <f>DASHBOARD!$E$68</f>
        <v>0</v>
      </c>
      <c r="AU5">
        <f>DASHBOARD!$E$69</f>
        <v>0</v>
      </c>
      <c r="AW5" t="str">
        <f>DETALHAMENTO!$J$9</f>
        <v>Roçada / Tapa-Buraco PMF / Remendo profundo</v>
      </c>
      <c r="AX5">
        <f>DETALHAMENTO!$O$9</f>
        <v>590002.77</v>
      </c>
    </row>
    <row r="6" spans="2:50" x14ac:dyDescent="0.3">
      <c r="B6" s="335" t="str">
        <f>IF(OR('REGIÃO 11 - RESUMO'!E6="",'REGIÃO 11 - RESUMO'!E6=0),"",'REGIÃO 11 - RESUMO'!C6)</f>
        <v>R11</v>
      </c>
      <c r="C6" s="335" t="str">
        <f>'REGIÃO 11 - RESUMO'!D6</f>
        <v>049.2024</v>
      </c>
      <c r="D6" s="81">
        <f>'REGIÃO 11 - RESUMO'!E6</f>
        <v>16</v>
      </c>
      <c r="E6" s="80" t="str">
        <f>'REGIÃO 11 - RESUMO'!F6</f>
        <v>Janeiro</v>
      </c>
      <c r="F6" s="82">
        <f>'REGIÃO 11 - RESUMO'!H6</f>
        <v>220</v>
      </c>
      <c r="G6" s="335" t="str">
        <f>'REGIÃO 11 - RESUMO'!I6</f>
        <v xml:space="preserve">RODOVIA TO-460 - TRECHO BR-242 (VILA QUIXABA) - SUCUPIRA </v>
      </c>
      <c r="H6" s="80" t="str">
        <f>'REGIÃO 11 - RESUMO'!J6</f>
        <v>Roçada / Tapa-Buraco CAE</v>
      </c>
      <c r="I6" s="335">
        <f>'REGIÃO 11 - RESUMO'!K6</f>
        <v>42260.27</v>
      </c>
      <c r="J6" s="335">
        <f>'REGIÃO 11 - HISTÓRICO'!F6</f>
        <v>32481.46</v>
      </c>
      <c r="K6" s="335">
        <f>'REGIÃO 11 - HISTÓRICO'!G6</f>
        <v>9778.8099999999977</v>
      </c>
      <c r="L6" s="335" t="str">
        <f>IF(OR('REGIÃO 11 - RESUMO'!L6="",'REGIÃO 11 - RESUMO'!L6=0),"",'REGIÃO 11 - RESUMO'!L6)</f>
        <v>Concluída</v>
      </c>
      <c r="M6" s="335">
        <f>'REGIÃO 11 - HISTÓRICO'!J6</f>
        <v>0</v>
      </c>
      <c r="N6" s="335">
        <f>'REGIÃO 11 - HISTÓRICO'!L6</f>
        <v>32481.46</v>
      </c>
      <c r="O6" s="335">
        <f>'REGIÃO 11 - HISTÓRICO'!N6</f>
        <v>0</v>
      </c>
      <c r="P6" s="335">
        <f>'REGIÃO 11 - HISTÓRICO'!P6</f>
        <v>0</v>
      </c>
      <c r="Q6" s="335">
        <f>'REGIÃO 11 - HISTÓRICO'!R6</f>
        <v>0</v>
      </c>
      <c r="R6" s="335">
        <f>'REGIÃO 11 - HISTÓRICO'!T6</f>
        <v>0</v>
      </c>
      <c r="S6" s="335">
        <f>'REGIÃO 11 - HISTÓRICO'!V6</f>
        <v>0</v>
      </c>
      <c r="T6" s="335">
        <f>'REGIÃO 11 - HISTÓRICO'!X6</f>
        <v>0</v>
      </c>
      <c r="U6" s="335">
        <f>'REGIÃO 11 - HISTÓRICO'!Z6</f>
        <v>0</v>
      </c>
      <c r="V6" s="335">
        <f>'REGIÃO 11 - HISTÓRICO'!AB6</f>
        <v>0</v>
      </c>
      <c r="W6" s="335">
        <f>'REGIÃO 11 - HISTÓRICO'!AD6</f>
        <v>0</v>
      </c>
      <c r="X6" s="335">
        <f>'REGIÃO 11 - HISTÓRICO'!AF6</f>
        <v>0</v>
      </c>
      <c r="Y6" s="335"/>
      <c r="Z6" s="335" t="str">
        <v>Enrocamento de pedra arrumada / Enrocamento de pedra jogada / Terraplenagem / Reconformação da plataforma / Recomposição do revestimento primário</v>
      </c>
      <c r="AA6" s="335">
        <f>IF($Z6="","",COUNTIFS($H$4:$H$217,$Z6,$B$4:$B$217,$Z$1))</f>
        <v>0</v>
      </c>
      <c r="AB6" s="335">
        <f>IF($Z6="","",SUMIFS($I$4:$I$217,$H$4:$H$217,$Z6,$B$4:$B$217,$Z$1))</f>
        <v>0</v>
      </c>
      <c r="AC6" s="335">
        <f>IF($Z6="","",$AB6-ROW()/1000000)</f>
        <v>-6.0000000000000002E-6</v>
      </c>
      <c r="AD6" s="335">
        <f>IFERROR(RANK($AC6,$AC$4:$AC$217),"")</f>
        <v>14</v>
      </c>
      <c r="AE6" s="335"/>
      <c r="AF6" s="335" t="str">
        <f>$B6</f>
        <v>R11</v>
      </c>
      <c r="AG6" s="335" t="str">
        <f>$C6&amp;"."&amp;TEXT($D6,"0000")</f>
        <v>049.2024.0016</v>
      </c>
      <c r="AH6" s="335">
        <f>IF($B6="",-1,IF(OR($Z$1="?*",$B6=$Z$1),$I6,-1))</f>
        <v>-1</v>
      </c>
      <c r="AI6" s="335" t="str">
        <f>IF($AH6&lt;0,"",$AH6-ROW()/1000000)</f>
        <v/>
      </c>
      <c r="AJ6" s="335" t="str">
        <f>IFERROR(RANK($AI6,$AI$4:$AI$217),"")</f>
        <v/>
      </c>
      <c r="AL6">
        <f>DASHBOARD!$B$49</f>
        <v>0</v>
      </c>
      <c r="AM6">
        <f>DASHBOARD!$F$49</f>
        <v>0</v>
      </c>
      <c r="AN6">
        <f>DASHBOARD!$G$49</f>
        <v>0</v>
      </c>
      <c r="AP6">
        <f>DASHBOARD!$B$59</f>
        <v>0</v>
      </c>
      <c r="AQ6">
        <f>DASHBOARD!$D$59</f>
        <v>0</v>
      </c>
      <c r="AS6" s="79">
        <f>DASHBOARD!$F$67</f>
        <v>0</v>
      </c>
      <c r="AT6">
        <f>DASHBOARD!$F$68</f>
        <v>0</v>
      </c>
      <c r="AU6">
        <f>DASHBOARD!$F$69</f>
        <v>0</v>
      </c>
      <c r="AW6" t="str">
        <f>DETALHAMENTO!$J$10</f>
        <v>Reconformação da plataforma</v>
      </c>
      <c r="AX6">
        <f>DETALHAMENTO!$O$10</f>
        <v>496783.32000000007</v>
      </c>
    </row>
    <row r="7" spans="2:50" x14ac:dyDescent="0.3">
      <c r="B7" s="335" t="str">
        <f>IF(OR('REGIÃO 11 - RESUMO'!E7="",'REGIÃO 11 - RESUMO'!E7=0),"",'REGIÃO 11 - RESUMO'!C7)</f>
        <v>R11</v>
      </c>
      <c r="C7" s="335" t="str">
        <f>'REGIÃO 11 - RESUMO'!D7</f>
        <v>049.2024</v>
      </c>
      <c r="D7" s="81">
        <f>'REGIÃO 11 - RESUMO'!E7</f>
        <v>17</v>
      </c>
      <c r="E7" s="80" t="str">
        <f>'REGIÃO 11 - RESUMO'!F7</f>
        <v>Janeiro</v>
      </c>
      <c r="F7" s="82">
        <f>'REGIÃO 11 - RESUMO'!H7</f>
        <v>218</v>
      </c>
      <c r="G7" s="335" t="str">
        <f>'REGIÃO 11 - RESUMO'!I7</f>
        <v>RODOVIA TO-373 - TRECHO ALVORADA - ARAGUAÇU - DIVISA TO-GO</v>
      </c>
      <c r="H7" s="80" t="str">
        <f>'REGIÃO 11 - RESUMO'!J7</f>
        <v>Roçada</v>
      </c>
      <c r="I7" s="335">
        <f>'REGIÃO 11 - RESUMO'!K7</f>
        <v>50319.98</v>
      </c>
      <c r="J7" s="335">
        <f>'REGIÃO 11 - HISTÓRICO'!F7</f>
        <v>47237.42</v>
      </c>
      <c r="K7" s="335">
        <f>'REGIÃO 11 - HISTÓRICO'!G7</f>
        <v>3082.5600000000049</v>
      </c>
      <c r="L7" s="335" t="str">
        <f>IF(OR('REGIÃO 11 - RESUMO'!L7="",'REGIÃO 11 - RESUMO'!L7=0),"",'REGIÃO 11 - RESUMO'!L7)</f>
        <v>Concluída</v>
      </c>
      <c r="M7" s="335">
        <f>'REGIÃO 11 - HISTÓRICO'!J7</f>
        <v>0</v>
      </c>
      <c r="N7" s="335">
        <f>'REGIÃO 11 - HISTÓRICO'!L7</f>
        <v>47237.42</v>
      </c>
      <c r="O7" s="335">
        <f>'REGIÃO 11 - HISTÓRICO'!N7</f>
        <v>0</v>
      </c>
      <c r="P7" s="335">
        <f>'REGIÃO 11 - HISTÓRICO'!P7</f>
        <v>0</v>
      </c>
      <c r="Q7" s="335">
        <f>'REGIÃO 11 - HISTÓRICO'!R7</f>
        <v>0</v>
      </c>
      <c r="R7" s="335">
        <f>'REGIÃO 11 - HISTÓRICO'!T7</f>
        <v>0</v>
      </c>
      <c r="S7" s="335">
        <f>'REGIÃO 11 - HISTÓRICO'!V7</f>
        <v>0</v>
      </c>
      <c r="T7" s="335">
        <f>'REGIÃO 11 - HISTÓRICO'!X7</f>
        <v>0</v>
      </c>
      <c r="U7" s="335">
        <f>'REGIÃO 11 - HISTÓRICO'!Z7</f>
        <v>0</v>
      </c>
      <c r="V7" s="335">
        <f>'REGIÃO 11 - HISTÓRICO'!AB7</f>
        <v>0</v>
      </c>
      <c r="W7" s="335">
        <f>'REGIÃO 11 - HISTÓRICO'!AD7</f>
        <v>0</v>
      </c>
      <c r="X7" s="335">
        <f>'REGIÃO 11 - HISTÓRICO'!AF7</f>
        <v>0</v>
      </c>
      <c r="Y7" s="335"/>
      <c r="Z7" s="335" t="str">
        <v>Limpeza EDS / Caiação de EDS e pontes</v>
      </c>
      <c r="AA7" s="335">
        <f>IF($Z7="","",COUNTIFS($H$4:$H$217,$Z7,$B$4:$B$217,$Z$1))</f>
        <v>0</v>
      </c>
      <c r="AB7" s="335">
        <f>IF($Z7="","",SUMIFS($I$4:$I$217,$H$4:$H$217,$Z7,$B$4:$B$217,$Z$1))</f>
        <v>0</v>
      </c>
      <c r="AC7" s="335">
        <f>IF($Z7="","",$AB7-ROW()/1000000)</f>
        <v>-6.9999999999999999E-6</v>
      </c>
      <c r="AD7" s="335">
        <f>IFERROR(RANK($AC7,$AC$4:$AC$217),"")</f>
        <v>15</v>
      </c>
      <c r="AE7" s="335"/>
      <c r="AF7" s="335" t="str">
        <f>$B7</f>
        <v>R11</v>
      </c>
      <c r="AG7" s="335" t="str">
        <f>$C7&amp;"."&amp;TEXT($D7,"0000")</f>
        <v>049.2024.0017</v>
      </c>
      <c r="AH7" s="335">
        <f>IF($B7="",-1,IF(OR($Z$1="?*",$B7=$Z$1),$I7,-1))</f>
        <v>-1</v>
      </c>
      <c r="AI7" s="335" t="str">
        <f>IF($AH7&lt;0,"",$AH7-ROW()/1000000)</f>
        <v/>
      </c>
      <c r="AJ7" s="335" t="str">
        <f>IFERROR(RANK($AI7,$AI$4:$AI$217),"")</f>
        <v/>
      </c>
      <c r="AL7">
        <f>DASHBOARD!$B$50</f>
        <v>0</v>
      </c>
      <c r="AM7">
        <f>DASHBOARD!$F$50</f>
        <v>0</v>
      </c>
      <c r="AN7">
        <f>DASHBOARD!$G$50</f>
        <v>0</v>
      </c>
      <c r="AP7">
        <f>DASHBOARD!$B$60</f>
        <v>0</v>
      </c>
      <c r="AQ7">
        <f>DASHBOARD!$D$60</f>
        <v>0</v>
      </c>
      <c r="AS7" s="79">
        <f>DASHBOARD!$G$67</f>
        <v>0</v>
      </c>
      <c r="AT7">
        <f>DASHBOARD!$G$68</f>
        <v>0</v>
      </c>
      <c r="AU7">
        <f>DASHBOARD!$G$69</f>
        <v>0</v>
      </c>
      <c r="AW7" t="str">
        <f>DETALHAMENTO!$J$11</f>
        <v>Tapa-Buraco PMF</v>
      </c>
      <c r="AX7">
        <f>DETALHAMENTO!$O$11</f>
        <v>460405.57499999995</v>
      </c>
    </row>
    <row r="8" spans="2:50" x14ac:dyDescent="0.3">
      <c r="B8" s="335" t="str">
        <f>IF(OR('REGIÃO 11 - RESUMO'!E8="",'REGIÃO 11 - RESUMO'!E8=0),"",'REGIÃO 11 - RESUMO'!C8)</f>
        <v>R11</v>
      </c>
      <c r="C8" s="335" t="str">
        <f>'REGIÃO 11 - RESUMO'!D8</f>
        <v>049.2024</v>
      </c>
      <c r="D8" s="81">
        <f>'REGIÃO 11 - RESUMO'!E8</f>
        <v>18</v>
      </c>
      <c r="E8" s="80" t="str">
        <f>'REGIÃO 11 - RESUMO'!F8</f>
        <v>Fevereiro</v>
      </c>
      <c r="F8" s="82">
        <f>'REGIÃO 11 - RESUMO'!H8</f>
        <v>208</v>
      </c>
      <c r="G8" s="335" t="str">
        <f>'REGIÃO 11 - RESUMO'!I8</f>
        <v>RODOVIA TO-181 - TRECHO ENTR. TO-481 (CAPAO DO COCO) - FAZENDA COBRAPE</v>
      </c>
      <c r="H8" s="80" t="str">
        <f>'REGIÃO 11 - RESUMO'!J8</f>
        <v>Reconformação da plataforma / Recomposição do revestimento primário</v>
      </c>
      <c r="I8" s="335">
        <f>'REGIÃO 11 - RESUMO'!K8</f>
        <v>842266.55</v>
      </c>
      <c r="J8" s="335">
        <f>'REGIÃO 11 - HISTÓRICO'!F8</f>
        <v>328867.71999999997</v>
      </c>
      <c r="K8" s="335">
        <f>'REGIÃO 11 - HISTÓRICO'!G8</f>
        <v>513398.83000000007</v>
      </c>
      <c r="L8" s="335" t="str">
        <f>IF(OR('REGIÃO 11 - RESUMO'!L8="",'REGIÃO 11 - RESUMO'!L8=0),"",'REGIÃO 11 - RESUMO'!L8)</f>
        <v>Concluída</v>
      </c>
      <c r="M8" s="335">
        <f>'REGIÃO 11 - HISTÓRICO'!J8</f>
        <v>0</v>
      </c>
      <c r="N8" s="335">
        <f>'REGIÃO 11 - HISTÓRICO'!L8</f>
        <v>42026.62</v>
      </c>
      <c r="O8" s="335">
        <f>'REGIÃO 11 - HISTÓRICO'!N8</f>
        <v>0</v>
      </c>
      <c r="P8" s="335">
        <f>'REGIÃO 11 - HISTÓRICO'!P8</f>
        <v>286841.09999999998</v>
      </c>
      <c r="Q8" s="335">
        <f>'REGIÃO 11 - HISTÓRICO'!R8</f>
        <v>0</v>
      </c>
      <c r="R8" s="335">
        <f>'REGIÃO 11 - HISTÓRICO'!T8</f>
        <v>0</v>
      </c>
      <c r="S8" s="335">
        <f>'REGIÃO 11 - HISTÓRICO'!V8</f>
        <v>0</v>
      </c>
      <c r="T8" s="335">
        <f>'REGIÃO 11 - HISTÓRICO'!X8</f>
        <v>0</v>
      </c>
      <c r="U8" s="335">
        <f>'REGIÃO 11 - HISTÓRICO'!Z8</f>
        <v>0</v>
      </c>
      <c r="V8" s="335">
        <f>'REGIÃO 11 - HISTÓRICO'!AB8</f>
        <v>0</v>
      </c>
      <c r="W8" s="335">
        <f>'REGIÃO 11 - HISTÓRICO'!AD8</f>
        <v>0</v>
      </c>
      <c r="X8" s="335">
        <f>'REGIÃO 11 - HISTÓRICO'!AF8</f>
        <v>0</v>
      </c>
      <c r="Y8" s="335"/>
      <c r="Z8" s="335" t="str">
        <v>Manutenção corretiva Aeródromo</v>
      </c>
      <c r="AA8" s="335">
        <f>IF($Z8="","",COUNTIFS($H$4:$H$217,$Z8,$B$4:$B$217,$Z$1))</f>
        <v>0</v>
      </c>
      <c r="AB8" s="335">
        <f>IF($Z8="","",SUMIFS($I$4:$I$217,$H$4:$H$217,$Z8,$B$4:$B$217,$Z$1))</f>
        <v>0</v>
      </c>
      <c r="AC8" s="335">
        <f>IF($Z8="","",$AB8-ROW()/1000000)</f>
        <v>-7.9999999999999996E-6</v>
      </c>
      <c r="AD8" s="335">
        <f>IFERROR(RANK($AC8,$AC$4:$AC$217),"")</f>
        <v>16</v>
      </c>
      <c r="AE8" s="335"/>
      <c r="AF8" s="335" t="str">
        <f>$B8</f>
        <v>R11</v>
      </c>
      <c r="AG8" s="335" t="str">
        <f>$C8&amp;"."&amp;TEXT($D8,"0000")</f>
        <v>049.2024.0018</v>
      </c>
      <c r="AH8" s="335">
        <f>IF($B8="",-1,IF(OR($Z$1="?*",$B8=$Z$1),$I8,-1))</f>
        <v>-1</v>
      </c>
      <c r="AI8" s="335" t="str">
        <f>IF($AH8&lt;0,"",$AH8-ROW()/1000000)</f>
        <v/>
      </c>
      <c r="AJ8" s="335" t="str">
        <f>IFERROR(RANK($AI8,$AI$4:$AI$217),"")</f>
        <v/>
      </c>
      <c r="AL8">
        <f>DASHBOARD!$B$51</f>
        <v>0</v>
      </c>
      <c r="AM8">
        <f>DASHBOARD!$F$51</f>
        <v>0</v>
      </c>
      <c r="AN8">
        <f>DASHBOARD!$G$51</f>
        <v>0</v>
      </c>
      <c r="AP8">
        <f>DASHBOARD!$B$61</f>
        <v>0</v>
      </c>
      <c r="AQ8">
        <f>DASHBOARD!$D$61</f>
        <v>0</v>
      </c>
      <c r="AS8" s="79">
        <f>DASHBOARD!$H$67</f>
        <v>0</v>
      </c>
      <c r="AT8">
        <f>DASHBOARD!$H$68</f>
        <v>0</v>
      </c>
      <c r="AU8">
        <f>DASHBOARD!$H$69</f>
        <v>0</v>
      </c>
      <c r="AW8" t="str">
        <f>DETALHAMENTO!$J$12</f>
        <v>Reconformação da plataforma / Recomposição do revestimento primário</v>
      </c>
      <c r="AX8">
        <f>DETALHAMENTO!$O$12</f>
        <v>364826.92</v>
      </c>
    </row>
    <row r="9" spans="2:50" x14ac:dyDescent="0.3">
      <c r="B9" s="335" t="str">
        <f>IF(OR('REGIÃO 11 - RESUMO'!E9="",'REGIÃO 11 - RESUMO'!E9=0),"",'REGIÃO 11 - RESUMO'!C9)</f>
        <v>R11</v>
      </c>
      <c r="C9" s="335" t="str">
        <f>'REGIÃO 11 - RESUMO'!D9</f>
        <v>049.2024</v>
      </c>
      <c r="D9" s="81">
        <f>'REGIÃO 11 - RESUMO'!E9</f>
        <v>19</v>
      </c>
      <c r="E9" s="80" t="str">
        <f>'REGIÃO 11 - RESUMO'!F9</f>
        <v>Fevereiro</v>
      </c>
      <c r="F9" s="82">
        <f>'REGIÃO 11 - RESUMO'!H9</f>
        <v>221</v>
      </c>
      <c r="G9" s="335" t="str">
        <f>'REGIÃO 11 - RESUMO'!I9</f>
        <v>RODOVIA TO-481 - TRECHO DUERÉ - ENTR. TO-181 (CAPAO DO COCO)</v>
      </c>
      <c r="H9" s="80" t="str">
        <f>'REGIÃO 11 - RESUMO'!J9</f>
        <v>Reconformação da plataforma / Recomposição do revestimento primário</v>
      </c>
      <c r="I9" s="335">
        <f>'REGIÃO 11 - RESUMO'!K9</f>
        <v>583705.47</v>
      </c>
      <c r="J9" s="335">
        <f>'REGIÃO 11 - HISTÓRICO'!F9</f>
        <v>582321.23</v>
      </c>
      <c r="K9" s="335">
        <f>'REGIÃO 11 - HISTÓRICO'!G9</f>
        <v>1384.2399999999907</v>
      </c>
      <c r="L9" s="335" t="str">
        <f>IF(OR('REGIÃO 11 - RESUMO'!L9="",'REGIÃO 11 - RESUMO'!L9=0),"",'REGIÃO 11 - RESUMO'!L9)</f>
        <v>Concluída</v>
      </c>
      <c r="M9" s="335">
        <f>'REGIÃO 11 - HISTÓRICO'!J9</f>
        <v>0</v>
      </c>
      <c r="N9" s="335">
        <f>'REGIÃO 11 - HISTÓRICO'!L9</f>
        <v>222834.09</v>
      </c>
      <c r="O9" s="335">
        <f>'REGIÃO 11 - HISTÓRICO'!N9</f>
        <v>359487.14</v>
      </c>
      <c r="P9" s="335">
        <f>'REGIÃO 11 - HISTÓRICO'!P9</f>
        <v>0</v>
      </c>
      <c r="Q9" s="335">
        <f>'REGIÃO 11 - HISTÓRICO'!R9</f>
        <v>0</v>
      </c>
      <c r="R9" s="335">
        <f>'REGIÃO 11 - HISTÓRICO'!T9</f>
        <v>0</v>
      </c>
      <c r="S9" s="335">
        <f>'REGIÃO 11 - HISTÓRICO'!V9</f>
        <v>0</v>
      </c>
      <c r="T9" s="335">
        <f>'REGIÃO 11 - HISTÓRICO'!X9</f>
        <v>0</v>
      </c>
      <c r="U9" s="335">
        <f>'REGIÃO 11 - HISTÓRICO'!Z9</f>
        <v>0</v>
      </c>
      <c r="V9" s="335">
        <f>'REGIÃO 11 - HISTÓRICO'!AB9</f>
        <v>0</v>
      </c>
      <c r="W9" s="335">
        <f>'REGIÃO 11 - HISTÓRICO'!AD9</f>
        <v>0</v>
      </c>
      <c r="X9" s="335">
        <f>'REGIÃO 11 - HISTÓRICO'!AF9</f>
        <v>0</v>
      </c>
      <c r="Y9" s="335"/>
      <c r="Z9" s="335" t="str">
        <v>Microrrevestimento asfáltico 8 mm / Sinalização de Obras</v>
      </c>
      <c r="AA9" s="335">
        <f>IF($Z9="","",COUNTIFS($H$4:$H$217,$Z9,$B$4:$B$217,$Z$1))</f>
        <v>0</v>
      </c>
      <c r="AB9" s="335">
        <f>IF($Z9="","",SUMIFS($I$4:$I$217,$H$4:$H$217,$Z9,$B$4:$B$217,$Z$1))</f>
        <v>0</v>
      </c>
      <c r="AC9" s="335">
        <f>IF($Z9="","",$AB9-ROW()/1000000)</f>
        <v>-9.0000000000000002E-6</v>
      </c>
      <c r="AD9" s="335">
        <f>IFERROR(RANK($AC9,$AC$4:$AC$217),"")</f>
        <v>17</v>
      </c>
      <c r="AE9" s="335"/>
      <c r="AF9" s="335" t="str">
        <f>$B9</f>
        <v>R11</v>
      </c>
      <c r="AG9" s="335" t="str">
        <f>$C9&amp;"."&amp;TEXT($D9,"0000")</f>
        <v>049.2024.0019</v>
      </c>
      <c r="AH9" s="335">
        <f>IF($B9="",-1,IF(OR($Z$1="?*",$B9=$Z$1),$I9,-1))</f>
        <v>-1</v>
      </c>
      <c r="AI9" s="335" t="str">
        <f>IF($AH9&lt;0,"",$AH9-ROW()/1000000)</f>
        <v/>
      </c>
      <c r="AJ9" s="335" t="str">
        <f>IFERROR(RANK($AI9,$AI$4:$AI$217),"")</f>
        <v/>
      </c>
      <c r="AL9">
        <f>DASHBOARD!$B$52</f>
        <v>0</v>
      </c>
      <c r="AM9">
        <f>DASHBOARD!$F$52</f>
        <v>0</v>
      </c>
      <c r="AN9">
        <f>DASHBOARD!$G$52</f>
        <v>0</v>
      </c>
      <c r="AP9">
        <f>DASHBOARD!$B$62</f>
        <v>0</v>
      </c>
      <c r="AQ9">
        <f>DASHBOARD!$D$62</f>
        <v>0</v>
      </c>
      <c r="AS9" s="79">
        <f>DASHBOARD!$I$67</f>
        <v>0</v>
      </c>
      <c r="AT9">
        <f>DASHBOARD!$I$68</f>
        <v>0</v>
      </c>
      <c r="AU9">
        <f>DASHBOARD!$I$69</f>
        <v>0</v>
      </c>
      <c r="AW9" t="str">
        <f>DETALHAMENTO!$J$13</f>
        <v>Tapa-Buraco CAE</v>
      </c>
      <c r="AX9">
        <f>DETALHAMENTO!$O$13</f>
        <v>343391.27</v>
      </c>
    </row>
    <row r="10" spans="2:50" x14ac:dyDescent="0.3">
      <c r="B10" s="335" t="str">
        <f>IF(OR('REGIÃO 11 - RESUMO'!E10="",'REGIÃO 11 - RESUMO'!E10=0),"",'REGIÃO 11 - RESUMO'!C10)</f>
        <v>R11</v>
      </c>
      <c r="C10" s="335" t="str">
        <f>'REGIÃO 11 - RESUMO'!D10</f>
        <v>049.2024</v>
      </c>
      <c r="D10" s="81">
        <f>'REGIÃO 11 - RESUMO'!E10</f>
        <v>20</v>
      </c>
      <c r="E10" s="80" t="str">
        <f>'REGIÃO 11 - RESUMO'!F10</f>
        <v>Março</v>
      </c>
      <c r="F10" s="82">
        <f>'REGIÃO 11 - RESUMO'!H10</f>
        <v>202</v>
      </c>
      <c r="G10" s="335" t="str">
        <f>'REGIÃO 11 - RESUMO'!I10</f>
        <v>RODOVIA TO-070 - TRECHO SANDOLÂNDIA - FORMOSO DO ARAGUAIA</v>
      </c>
      <c r="H10" s="80" t="str">
        <f>'REGIÃO 11 - RESUMO'!J10</f>
        <v>Roçada</v>
      </c>
      <c r="I10" s="335">
        <f>'REGIÃO 11 - RESUMO'!K10</f>
        <v>38576.29</v>
      </c>
      <c r="J10" s="335">
        <f>'REGIÃO 11 - HISTÓRICO'!F10</f>
        <v>36651.57</v>
      </c>
      <c r="K10" s="335">
        <f>'REGIÃO 11 - HISTÓRICO'!G10</f>
        <v>1924.7200000000012</v>
      </c>
      <c r="L10" s="335" t="str">
        <f>IF(OR('REGIÃO 11 - RESUMO'!L10="",'REGIÃO 11 - RESUMO'!L10=0),"",'REGIÃO 11 - RESUMO'!L10)</f>
        <v>Concluída</v>
      </c>
      <c r="M10" s="335">
        <f>'REGIÃO 11 - HISTÓRICO'!J10</f>
        <v>0</v>
      </c>
      <c r="N10" s="335">
        <f>'REGIÃO 11 - HISTÓRICO'!L10</f>
        <v>0</v>
      </c>
      <c r="O10" s="335">
        <f>'REGIÃO 11 - HISTÓRICO'!N10</f>
        <v>36651.57</v>
      </c>
      <c r="P10" s="335">
        <f>'REGIÃO 11 - HISTÓRICO'!P10</f>
        <v>0</v>
      </c>
      <c r="Q10" s="335">
        <f>'REGIÃO 11 - HISTÓRICO'!R10</f>
        <v>0</v>
      </c>
      <c r="R10" s="335">
        <f>'REGIÃO 11 - HISTÓRICO'!T10</f>
        <v>0</v>
      </c>
      <c r="S10" s="335">
        <f>'REGIÃO 11 - HISTÓRICO'!V10</f>
        <v>0</v>
      </c>
      <c r="T10" s="335">
        <f>'REGIÃO 11 - HISTÓRICO'!X10</f>
        <v>0</v>
      </c>
      <c r="U10" s="335">
        <f>'REGIÃO 11 - HISTÓRICO'!Z10</f>
        <v>0</v>
      </c>
      <c r="V10" s="335">
        <f>'REGIÃO 11 - HISTÓRICO'!AB10</f>
        <v>0</v>
      </c>
      <c r="W10" s="335">
        <f>'REGIÃO 11 - HISTÓRICO'!AD10</f>
        <v>0</v>
      </c>
      <c r="X10" s="335">
        <f>'REGIÃO 11 - HISTÓRICO'!AF10</f>
        <v>0</v>
      </c>
      <c r="Y10" s="335"/>
      <c r="Z10" s="335" t="str">
        <v xml:space="preserve">Reciclagem do pavimento e execução de TSD / Microrrevestimento asfáltico 8 mm </v>
      </c>
      <c r="AA10" s="335">
        <f>IF($Z10="","",COUNTIFS($H$4:$H$217,$Z10,$B$4:$B$217,$Z$1))</f>
        <v>0</v>
      </c>
      <c r="AB10" s="335">
        <f>IF($Z10="","",SUMIFS($I$4:$I$217,$H$4:$H$217,$Z10,$B$4:$B$217,$Z$1))</f>
        <v>0</v>
      </c>
      <c r="AC10" s="335">
        <f>IF($Z10="","",$AB10-ROW()/1000000)</f>
        <v>-1.0000000000000001E-5</v>
      </c>
      <c r="AD10" s="335">
        <f>IFERROR(RANK($AC10,$AC$4:$AC$217),"")</f>
        <v>18</v>
      </c>
      <c r="AE10" s="335"/>
      <c r="AF10" s="335" t="str">
        <f>$B10</f>
        <v>R11</v>
      </c>
      <c r="AG10" s="335" t="str">
        <f>$C10&amp;"."&amp;TEXT($D10,"0000")</f>
        <v>049.2024.0020</v>
      </c>
      <c r="AH10" s="335">
        <f>IF($B10="",-1,IF(OR($Z$1="?*",$B10=$Z$1),$I10,-1))</f>
        <v>-1</v>
      </c>
      <c r="AI10" s="335" t="str">
        <f>IF($AH10&lt;0,"",$AH10-ROW()/1000000)</f>
        <v/>
      </c>
      <c r="AJ10" s="335" t="str">
        <f>IFERROR(RANK($AI10,$AI$4:$AI$217),"")</f>
        <v/>
      </c>
      <c r="AP10">
        <f>DASHBOARD!$B$63</f>
        <v>0</v>
      </c>
      <c r="AQ10">
        <f>DASHBOARD!$D$63</f>
        <v>0</v>
      </c>
      <c r="AS10" s="79">
        <f>DASHBOARD!$J$67</f>
        <v>0</v>
      </c>
      <c r="AT10">
        <f>DASHBOARD!$J$68</f>
        <v>0</v>
      </c>
      <c r="AU10">
        <f>DASHBOARD!$J$69</f>
        <v>0</v>
      </c>
      <c r="AW10" t="str">
        <f>DETALHAMENTO!$J$14</f>
        <v>Tapa-Buraco CAE / Remendo Profundo</v>
      </c>
      <c r="AX10">
        <f>DETALHAMENTO!$O$14</f>
        <v>322053.46000000002</v>
      </c>
    </row>
    <row r="11" spans="2:50" x14ac:dyDescent="0.3">
      <c r="B11" s="335" t="str">
        <f>IF(OR('REGIÃO 11 - RESUMO'!E11="",'REGIÃO 11 - RESUMO'!E11=0),"",'REGIÃO 11 - RESUMO'!C11)</f>
        <v>R11</v>
      </c>
      <c r="C11" s="335" t="str">
        <f>'REGIÃO 11 - RESUMO'!D11</f>
        <v>049.2024</v>
      </c>
      <c r="D11" s="81">
        <f>'REGIÃO 11 - RESUMO'!E11</f>
        <v>21</v>
      </c>
      <c r="E11" s="80" t="str">
        <f>'REGIÃO 11 - RESUMO'!F11</f>
        <v>Março</v>
      </c>
      <c r="F11" s="82">
        <f>'REGIÃO 11 - RESUMO'!H11</f>
        <v>209</v>
      </c>
      <c r="G11" s="335" t="str">
        <f>'REGIÃO 11 - RESUMO'!I11</f>
        <v>RODOVIA TO-181 - TRECHO FAZENDA COBRAPE - ENTR. BR-242</v>
      </c>
      <c r="H11" s="80" t="str">
        <f>'REGIÃO 11 - RESUMO'!J11</f>
        <v>Roçada / Tapa-Buraco CAE</v>
      </c>
      <c r="I11" s="335">
        <f>'REGIÃO 11 - RESUMO'!K11</f>
        <v>390709.12</v>
      </c>
      <c r="J11" s="335">
        <f>'REGIÃO 11 - HISTÓRICO'!F11</f>
        <v>389020.48</v>
      </c>
      <c r="K11" s="335">
        <f>'REGIÃO 11 - HISTÓRICO'!G11</f>
        <v>1688.640000000014</v>
      </c>
      <c r="L11" s="335" t="str">
        <f>IF(OR('REGIÃO 11 - RESUMO'!L11="",'REGIÃO 11 - RESUMO'!L11=0),"",'REGIÃO 11 - RESUMO'!L11)</f>
        <v>Concluída</v>
      </c>
      <c r="M11" s="335">
        <f>'REGIÃO 11 - HISTÓRICO'!J11</f>
        <v>0</v>
      </c>
      <c r="N11" s="335">
        <f>'REGIÃO 11 - HISTÓRICO'!L11</f>
        <v>0</v>
      </c>
      <c r="O11" s="335">
        <f>'REGIÃO 11 - HISTÓRICO'!N11</f>
        <v>0</v>
      </c>
      <c r="P11" s="335">
        <f>'REGIÃO 11 - HISTÓRICO'!P11</f>
        <v>302300.44</v>
      </c>
      <c r="Q11" s="335">
        <f>'REGIÃO 11 - HISTÓRICO'!R11</f>
        <v>86720.04</v>
      </c>
      <c r="R11" s="335">
        <f>'REGIÃO 11 - HISTÓRICO'!T11</f>
        <v>0</v>
      </c>
      <c r="S11" s="335">
        <f>'REGIÃO 11 - HISTÓRICO'!V11</f>
        <v>0</v>
      </c>
      <c r="T11" s="335">
        <f>'REGIÃO 11 - HISTÓRICO'!X11</f>
        <v>0</v>
      </c>
      <c r="U11" s="335">
        <f>'REGIÃO 11 - HISTÓRICO'!Z11</f>
        <v>0</v>
      </c>
      <c r="V11" s="335">
        <f>'REGIÃO 11 - HISTÓRICO'!AB11</f>
        <v>0</v>
      </c>
      <c r="W11" s="335">
        <f>'REGIÃO 11 - HISTÓRICO'!AD11</f>
        <v>0</v>
      </c>
      <c r="X11" s="335">
        <f>'REGIÃO 11 - HISTÓRICO'!AF11</f>
        <v>0</v>
      </c>
      <c r="Y11" s="335"/>
      <c r="Z11" s="335" t="str">
        <v xml:space="preserve">Reciclagem do pavimento e execução de TSD / Microrrevestimento asfáltico 8 mm / Sinalização de Obras </v>
      </c>
      <c r="AA11" s="335">
        <f>IF($Z11="","",COUNTIFS($H$4:$H$217,$Z11,$B$4:$B$217,$Z$1))</f>
        <v>0</v>
      </c>
      <c r="AB11" s="335">
        <f>IF($Z11="","",SUMIFS($I$4:$I$217,$H$4:$H$217,$Z11,$B$4:$B$217,$Z$1))</f>
        <v>0</v>
      </c>
      <c r="AC11" s="335">
        <f>IF($Z11="","",$AB11-ROW()/1000000)</f>
        <v>-1.1E-5</v>
      </c>
      <c r="AD11" s="335">
        <f>IFERROR(RANK($AC11,$AC$4:$AC$217),"")</f>
        <v>19</v>
      </c>
      <c r="AE11" s="335"/>
      <c r="AF11" s="335" t="str">
        <f>$B11</f>
        <v>R11</v>
      </c>
      <c r="AG11" s="335" t="str">
        <f>$C11&amp;"."&amp;TEXT($D11,"0000")</f>
        <v>049.2024.0021</v>
      </c>
      <c r="AH11" s="335">
        <f>IF($B11="",-1,IF(OR($Z$1="?*",$B11=$Z$1),$I11,-1))</f>
        <v>-1</v>
      </c>
      <c r="AI11" s="335" t="str">
        <f>IF($AH11&lt;0,"",$AH11-ROW()/1000000)</f>
        <v/>
      </c>
      <c r="AJ11" s="335" t="str">
        <f>IFERROR(RANK($AI11,$AI$4:$AI$217),"")</f>
        <v/>
      </c>
      <c r="AS11" s="79">
        <f>DASHBOARD!$K$67</f>
        <v>0</v>
      </c>
      <c r="AT11">
        <f>DASHBOARD!$K$68</f>
        <v>0</v>
      </c>
      <c r="AU11">
        <f>DASHBOARD!$K$69</f>
        <v>0</v>
      </c>
      <c r="AW11" t="str">
        <f>DETALHAMENTO!$J$15</f>
        <v>Roçada / Tapa-Buraco CAE / Remendo Profundo</v>
      </c>
      <c r="AX11">
        <f>DETALHAMENTO!$O$15</f>
        <v>315965.76</v>
      </c>
    </row>
    <row r="12" spans="2:50" x14ac:dyDescent="0.3">
      <c r="B12" s="335" t="str">
        <f>IF(OR('REGIÃO 11 - RESUMO'!E12="",'REGIÃO 11 - RESUMO'!E12=0),"",'REGIÃO 11 - RESUMO'!C12)</f>
        <v>R11</v>
      </c>
      <c r="C12" s="335" t="str">
        <f>'REGIÃO 11 - RESUMO'!D12</f>
        <v>049.2024</v>
      </c>
      <c r="D12" s="81">
        <f>'REGIÃO 11 - RESUMO'!E12</f>
        <v>22</v>
      </c>
      <c r="E12" s="80" t="str">
        <f>'REGIÃO 11 - RESUMO'!F12</f>
        <v>Março</v>
      </c>
      <c r="F12" s="82">
        <f>'REGIÃO 11 - RESUMO'!H12</f>
        <v>210</v>
      </c>
      <c r="G12" s="335" t="str">
        <f>'REGIÃO 11 - RESUMO'!I12</f>
        <v>RODOVIA TO-181 - TRECHO ENTR. BR-242 - FUNDAÇÃO BRADESCO</v>
      </c>
      <c r="H12" s="80" t="str">
        <f>'REGIÃO 11 - RESUMO'!J12</f>
        <v>Roçada / Tapa-Buraco CAE</v>
      </c>
      <c r="I12" s="335">
        <f>'REGIÃO 11 - RESUMO'!K12</f>
        <v>318931.06</v>
      </c>
      <c r="J12" s="335">
        <f>'REGIÃO 11 - HISTÓRICO'!F12</f>
        <v>100041.19</v>
      </c>
      <c r="K12" s="335">
        <f>'REGIÃO 11 - HISTÓRICO'!G12</f>
        <v>218889.87</v>
      </c>
      <c r="L12" s="335" t="str">
        <f>IF(OR('REGIÃO 11 - RESUMO'!L12="",'REGIÃO 11 - RESUMO'!L12=0),"",'REGIÃO 11 - RESUMO'!L12)</f>
        <v>Concluída</v>
      </c>
      <c r="M12" s="335">
        <f>'REGIÃO 11 - HISTÓRICO'!J12</f>
        <v>0</v>
      </c>
      <c r="N12" s="335">
        <f>'REGIÃO 11 - HISTÓRICO'!L12</f>
        <v>0</v>
      </c>
      <c r="O12" s="335">
        <f>'REGIÃO 11 - HISTÓRICO'!N12</f>
        <v>0</v>
      </c>
      <c r="P12" s="335">
        <f>'REGIÃO 11 - HISTÓRICO'!P12</f>
        <v>9520.64</v>
      </c>
      <c r="Q12" s="335">
        <f>'REGIÃO 11 - HISTÓRICO'!R12</f>
        <v>90520.55</v>
      </c>
      <c r="R12" s="335">
        <f>'REGIÃO 11 - HISTÓRICO'!T12</f>
        <v>0</v>
      </c>
      <c r="S12" s="335">
        <f>'REGIÃO 11 - HISTÓRICO'!V12</f>
        <v>0</v>
      </c>
      <c r="T12" s="335">
        <f>'REGIÃO 11 - HISTÓRICO'!X12</f>
        <v>0</v>
      </c>
      <c r="U12" s="335">
        <f>'REGIÃO 11 - HISTÓRICO'!Z12</f>
        <v>0</v>
      </c>
      <c r="V12" s="335">
        <f>'REGIÃO 11 - HISTÓRICO'!AB12</f>
        <v>0</v>
      </c>
      <c r="W12" s="335">
        <f>'REGIÃO 11 - HISTÓRICO'!AD12</f>
        <v>0</v>
      </c>
      <c r="X12" s="335">
        <f>'REGIÃO 11 - HISTÓRICO'!AF12</f>
        <v>0</v>
      </c>
      <c r="Y12" s="335"/>
      <c r="Z12" s="335" t="str">
        <v>Reconformação da plataforma</v>
      </c>
      <c r="AA12" s="335">
        <f>IF($Z12="","",COUNTIFS($H$4:$H$217,$Z12,$B$4:$B$217,$Z$1))</f>
        <v>8</v>
      </c>
      <c r="AB12" s="335">
        <f>IF($Z12="","",SUMIFS($I$4:$I$217,$H$4:$H$217,$Z12,$B$4:$B$217,$Z$1))</f>
        <v>496783.32000000007</v>
      </c>
      <c r="AC12" s="335">
        <f>IF($Z12="","",$AB12-ROW()/1000000)</f>
        <v>496783.31998800009</v>
      </c>
      <c r="AD12" s="335">
        <f>IFERROR(RANK($AC12,$AC$4:$AC$217),"")</f>
        <v>3</v>
      </c>
      <c r="AE12" s="335"/>
      <c r="AF12" s="335" t="str">
        <f>$B12</f>
        <v>R11</v>
      </c>
      <c r="AG12" s="335" t="str">
        <f>$C12&amp;"."&amp;TEXT($D12,"0000")</f>
        <v>049.2024.0022</v>
      </c>
      <c r="AH12" s="335">
        <f>IF($B12="",-1,IF(OR($Z$1="?*",$B12=$Z$1),$I12,-1))</f>
        <v>-1</v>
      </c>
      <c r="AI12" s="335" t="str">
        <f>IF($AH12&lt;0,"",$AH12-ROW()/1000000)</f>
        <v/>
      </c>
      <c r="AJ12" s="335" t="str">
        <f>IFERROR(RANK($AI12,$AI$4:$AI$217),"")</f>
        <v/>
      </c>
      <c r="AS12" s="79">
        <f>DASHBOARD!$L$67</f>
        <v>0</v>
      </c>
      <c r="AT12">
        <f>DASHBOARD!$L$68</f>
        <v>0</v>
      </c>
      <c r="AU12">
        <f>DASHBOARD!$L$69</f>
        <v>0</v>
      </c>
      <c r="AW12" t="str">
        <f>DETALHAMENTO!$J$16</f>
        <v>Roçada</v>
      </c>
      <c r="AX12">
        <f>DETALHAMENTO!$O$16</f>
        <v>208416.53000000003</v>
      </c>
    </row>
    <row r="13" spans="2:50" x14ac:dyDescent="0.3">
      <c r="B13" s="335" t="str">
        <f>IF(OR('REGIÃO 11 - RESUMO'!E13="",'REGIÃO 11 - RESUMO'!E13=0),"",'REGIÃO 11 - RESUMO'!C13)</f>
        <v>R11</v>
      </c>
      <c r="C13" s="335" t="str">
        <f>'REGIÃO 11 - RESUMO'!D13</f>
        <v>049.2024</v>
      </c>
      <c r="D13" s="81">
        <f>'REGIÃO 11 - RESUMO'!E13</f>
        <v>23</v>
      </c>
      <c r="E13" s="80" t="str">
        <f>'REGIÃO 11 - RESUMO'!F13</f>
        <v>Março</v>
      </c>
      <c r="F13" s="82">
        <f>'REGIÃO 11 - RESUMO'!H13</f>
        <v>214</v>
      </c>
      <c r="G13" s="335" t="str">
        <f>'REGIÃO 11 - RESUMO'!I13</f>
        <v>RODOVIA TO-362 - TRECHO SANTA RITA DO TOCANTINS - BREJINHO DE NAZARÉ</v>
      </c>
      <c r="H13" s="80" t="str">
        <f>'REGIÃO 11 - RESUMO'!J13</f>
        <v>Terraplenagem / Reconformação da plataforma / Recomposição do revestimento primário</v>
      </c>
      <c r="I13" s="335">
        <f>'REGIÃO 11 - RESUMO'!K13</f>
        <v>259096.53</v>
      </c>
      <c r="J13" s="335">
        <f>'REGIÃO 11 - HISTÓRICO'!F13</f>
        <v>0</v>
      </c>
      <c r="K13" s="335">
        <f>'REGIÃO 11 - HISTÓRICO'!G13</f>
        <v>259096.53</v>
      </c>
      <c r="L13" s="335" t="str">
        <f>IF(OR('REGIÃO 11 - RESUMO'!L13="",'REGIÃO 11 - RESUMO'!L13=0),"",'REGIÃO 11 - RESUMO'!L13)</f>
        <v>Cancelada</v>
      </c>
      <c r="M13" s="335">
        <f>'REGIÃO 11 - HISTÓRICO'!J13</f>
        <v>0</v>
      </c>
      <c r="N13" s="335">
        <f>'REGIÃO 11 - HISTÓRICO'!L13</f>
        <v>0</v>
      </c>
      <c r="O13" s="335">
        <f>'REGIÃO 11 - HISTÓRICO'!N13</f>
        <v>0</v>
      </c>
      <c r="P13" s="335">
        <f>'REGIÃO 11 - HISTÓRICO'!P13</f>
        <v>0</v>
      </c>
      <c r="Q13" s="335">
        <f>'REGIÃO 11 - HISTÓRICO'!R13</f>
        <v>0</v>
      </c>
      <c r="R13" s="335">
        <f>'REGIÃO 11 - HISTÓRICO'!T13</f>
        <v>0</v>
      </c>
      <c r="S13" s="335">
        <f>'REGIÃO 11 - HISTÓRICO'!V13</f>
        <v>0</v>
      </c>
      <c r="T13" s="335">
        <f>'REGIÃO 11 - HISTÓRICO'!X13</f>
        <v>0</v>
      </c>
      <c r="U13" s="335">
        <f>'REGIÃO 11 - HISTÓRICO'!Z13</f>
        <v>0</v>
      </c>
      <c r="V13" s="335">
        <f>'REGIÃO 11 - HISTÓRICO'!AB13</f>
        <v>0</v>
      </c>
      <c r="W13" s="335">
        <f>'REGIÃO 11 - HISTÓRICO'!AD13</f>
        <v>0</v>
      </c>
      <c r="X13" s="335">
        <f>'REGIÃO 11 - HISTÓRICO'!AF13</f>
        <v>0</v>
      </c>
      <c r="Y13" s="335"/>
      <c r="Z13" s="335" t="str">
        <v>Reconformação da plataforma / Recomposição do revestimento primário</v>
      </c>
      <c r="AA13" s="335">
        <f>IF($Z13="","",COUNTIFS($H$4:$H$217,$Z13,$B$4:$B$217,$Z$1))</f>
        <v>1</v>
      </c>
      <c r="AB13" s="335">
        <f>IF($Z13="","",SUMIFS($I$4:$I$217,$H$4:$H$217,$Z13,$B$4:$B$217,$Z$1))</f>
        <v>364826.92</v>
      </c>
      <c r="AC13" s="335">
        <f>IF($Z13="","",$AB13-ROW()/1000000)</f>
        <v>364826.919987</v>
      </c>
      <c r="AD13" s="335">
        <f>IFERROR(RANK($AC13,$AC$4:$AC$217),"")</f>
        <v>5</v>
      </c>
      <c r="AE13" s="335"/>
      <c r="AF13" s="335" t="str">
        <f>$B13</f>
        <v>R11</v>
      </c>
      <c r="AG13" s="335" t="str">
        <f>$C13&amp;"."&amp;TEXT($D13,"0000")</f>
        <v>049.2024.0023</v>
      </c>
      <c r="AH13" s="335">
        <f>IF($B13="",-1,IF(OR($Z$1="?*",$B13=$Z$1),$I13,-1))</f>
        <v>-1</v>
      </c>
      <c r="AI13" s="335" t="str">
        <f>IF($AH13&lt;0,"",$AH13-ROW()/1000000)</f>
        <v/>
      </c>
      <c r="AJ13" s="335" t="str">
        <f>IFERROR(RANK($AI13,$AI$4:$AI$217),"")</f>
        <v/>
      </c>
      <c r="AS13" s="79">
        <f>DASHBOARD!$M$67</f>
        <v>0</v>
      </c>
      <c r="AT13">
        <f>DASHBOARD!$M$68</f>
        <v>0</v>
      </c>
      <c r="AU13">
        <f>DASHBOARD!$M$69</f>
        <v>0</v>
      </c>
      <c r="AW13" t="str">
        <f>DETALHAMENTO!$J$17</f>
        <v xml:space="preserve"> Roçada / Caiação de EDS e pontes</v>
      </c>
      <c r="AX13">
        <f>DETALHAMENTO!$O$17</f>
        <v>208338.05</v>
      </c>
    </row>
    <row r="14" spans="2:50" x14ac:dyDescent="0.3">
      <c r="B14" s="335" t="str">
        <f>IF(OR('REGIÃO 11 - RESUMO'!E14="",'REGIÃO 11 - RESUMO'!E14=0),"",'REGIÃO 11 - RESUMO'!C14)</f>
        <v>R11</v>
      </c>
      <c r="C14" s="335" t="str">
        <f>'REGIÃO 11 - RESUMO'!D14</f>
        <v>049.2024</v>
      </c>
      <c r="D14" s="81">
        <f>'REGIÃO 11 - RESUMO'!E14</f>
        <v>24</v>
      </c>
      <c r="E14" s="80" t="str">
        <f>'REGIÃO 11 - RESUMO'!F14</f>
        <v>Março</v>
      </c>
      <c r="F14" s="82">
        <f>'REGIÃO 11 - RESUMO'!H14</f>
        <v>223</v>
      </c>
      <c r="G14" s="335" t="str">
        <f>'REGIÃO 11 - RESUMO'!I14</f>
        <v>RODOVIA TO-484 - TRECHO FIGUEIRÓPOLIS - KM 64 (RIO FORMOSO)</v>
      </c>
      <c r="H14" s="80" t="str">
        <f>'REGIÃO 11 - RESUMO'!J14</f>
        <v>Reconformação da plataforma / Recomposição do revestimento primário</v>
      </c>
      <c r="I14" s="335">
        <f>'REGIÃO 11 - RESUMO'!K14</f>
        <v>86715.58</v>
      </c>
      <c r="J14" s="335">
        <f>'REGIÃO 11 - HISTÓRICO'!F14</f>
        <v>0</v>
      </c>
      <c r="K14" s="335">
        <f>'REGIÃO 11 - HISTÓRICO'!G14</f>
        <v>86715.58</v>
      </c>
      <c r="L14" s="335" t="str">
        <f>IF(OR('REGIÃO 11 - RESUMO'!L14="",'REGIÃO 11 - RESUMO'!L14=0),"",'REGIÃO 11 - RESUMO'!L14)</f>
        <v>Cancelada</v>
      </c>
      <c r="M14" s="335">
        <f>'REGIÃO 11 - HISTÓRICO'!J14</f>
        <v>0</v>
      </c>
      <c r="N14" s="335">
        <f>'REGIÃO 11 - HISTÓRICO'!L14</f>
        <v>0</v>
      </c>
      <c r="O14" s="335">
        <f>'REGIÃO 11 - HISTÓRICO'!N14</f>
        <v>0</v>
      </c>
      <c r="P14" s="335">
        <f>'REGIÃO 11 - HISTÓRICO'!P14</f>
        <v>0</v>
      </c>
      <c r="Q14" s="335">
        <f>'REGIÃO 11 - HISTÓRICO'!R14</f>
        <v>0</v>
      </c>
      <c r="R14" s="335">
        <f>'REGIÃO 11 - HISTÓRICO'!T14</f>
        <v>0</v>
      </c>
      <c r="S14" s="335">
        <f>'REGIÃO 11 - HISTÓRICO'!V14</f>
        <v>0</v>
      </c>
      <c r="T14" s="335">
        <f>'REGIÃO 11 - HISTÓRICO'!X14</f>
        <v>0</v>
      </c>
      <c r="U14" s="335">
        <f>'REGIÃO 11 - HISTÓRICO'!Z14</f>
        <v>0</v>
      </c>
      <c r="V14" s="335">
        <f>'REGIÃO 11 - HISTÓRICO'!AB14</f>
        <v>0</v>
      </c>
      <c r="W14" s="335">
        <f>'REGIÃO 11 - HISTÓRICO'!AD14</f>
        <v>0</v>
      </c>
      <c r="X14" s="335">
        <f>'REGIÃO 11 - HISTÓRICO'!AF14</f>
        <v>0</v>
      </c>
      <c r="Y14" s="335"/>
      <c r="Z14" s="335" t="str">
        <v>Roçada</v>
      </c>
      <c r="AA14" s="335">
        <f>IF($Z14="","",COUNTIFS($H$4:$H$217,$Z14,$B$4:$B$217,$Z$1))</f>
        <v>11</v>
      </c>
      <c r="AB14" s="335">
        <f>IF($Z14="","",SUMIFS($I$4:$I$217,$H$4:$H$217,$Z14,$B$4:$B$217,$Z$1))</f>
        <v>208416.53000000003</v>
      </c>
      <c r="AC14" s="335">
        <f>IF($Z14="","",$AB14-ROW()/1000000)</f>
        <v>208416.52998600004</v>
      </c>
      <c r="AD14" s="335">
        <f>IFERROR(RANK($AC14,$AC$4:$AC$217),"")</f>
        <v>9</v>
      </c>
      <c r="AE14" s="335"/>
      <c r="AF14" s="335" t="str">
        <f>$B14</f>
        <v>R11</v>
      </c>
      <c r="AG14" s="335" t="str">
        <f>$C14&amp;"."&amp;TEXT($D14,"0000")</f>
        <v>049.2024.0024</v>
      </c>
      <c r="AH14" s="335">
        <f>IF($B14="",-1,IF(OR($Z$1="?*",$B14=$Z$1),$I14,-1))</f>
        <v>-1</v>
      </c>
      <c r="AI14" s="335" t="str">
        <f>IF($AH14&lt;0,"",$AH14-ROW()/1000000)</f>
        <v/>
      </c>
      <c r="AJ14" s="335" t="str">
        <f>IFERROR(RANK($AI14,$AI$4:$AI$217),"")</f>
        <v/>
      </c>
      <c r="AS14" s="79">
        <f>DASHBOARD!$N$67</f>
        <v>0</v>
      </c>
      <c r="AT14">
        <f>DASHBOARD!$N$68</f>
        <v>0</v>
      </c>
      <c r="AU14">
        <f>DASHBOARD!$N$69</f>
        <v>0</v>
      </c>
    </row>
    <row r="15" spans="2:50" x14ac:dyDescent="0.3">
      <c r="B15" s="335" t="str">
        <f>IF(OR('REGIÃO 11 - RESUMO'!E15="",'REGIÃO 11 - RESUMO'!E15=0),"",'REGIÃO 11 - RESUMO'!C15)</f>
        <v>R11</v>
      </c>
      <c r="C15" s="335" t="str">
        <f>'REGIÃO 11 - RESUMO'!D15</f>
        <v>049.2024</v>
      </c>
      <c r="D15" s="81">
        <f>'REGIÃO 11 - RESUMO'!E15</f>
        <v>25</v>
      </c>
      <c r="E15" s="80" t="str">
        <f>'REGIÃO 11 - RESUMO'!F15</f>
        <v>Março</v>
      </c>
      <c r="F15" s="82">
        <f>'REGIÃO 11 - RESUMO'!H15</f>
        <v>204</v>
      </c>
      <c r="G15" s="335" t="str">
        <f>'REGIÃO 11 - RESUMO'!I15</f>
        <v>RODOVIA TO-070 - TRECHO ALIANÇA DO TOCANTINS - BREJINHO DE NAZARÉ</v>
      </c>
      <c r="H15" s="80" t="str">
        <f>'REGIÃO 11 - RESUMO'!J15</f>
        <v>SERVIÇOS MANUTENÇÃO</v>
      </c>
      <c r="I15" s="335">
        <f>'REGIÃO 11 - RESUMO'!K15</f>
        <v>3173.97</v>
      </c>
      <c r="J15" s="335">
        <f>'REGIÃO 11 - HISTÓRICO'!F15</f>
        <v>3173.97</v>
      </c>
      <c r="K15" s="335">
        <f>'REGIÃO 11 - HISTÓRICO'!G15</f>
        <v>0</v>
      </c>
      <c r="L15" s="335" t="str">
        <f>IF(OR('REGIÃO 11 - RESUMO'!L15="",'REGIÃO 11 - RESUMO'!L15=0),"",'REGIÃO 11 - RESUMO'!L15)</f>
        <v>Concluída</v>
      </c>
      <c r="M15" s="335">
        <f>'REGIÃO 11 - HISTÓRICO'!J15</f>
        <v>0</v>
      </c>
      <c r="N15" s="335">
        <f>'REGIÃO 11 - HISTÓRICO'!L15</f>
        <v>0</v>
      </c>
      <c r="O15" s="335">
        <f>'REGIÃO 11 - HISTÓRICO'!N15</f>
        <v>0</v>
      </c>
      <c r="P15" s="335">
        <f>'REGIÃO 11 - HISTÓRICO'!P15</f>
        <v>0</v>
      </c>
      <c r="Q15" s="335">
        <f>'REGIÃO 11 - HISTÓRICO'!R15</f>
        <v>3173.97</v>
      </c>
      <c r="R15" s="335">
        <f>'REGIÃO 11 - HISTÓRICO'!T15</f>
        <v>0</v>
      </c>
      <c r="S15" s="335">
        <f>'REGIÃO 11 - HISTÓRICO'!V15</f>
        <v>0</v>
      </c>
      <c r="T15" s="335">
        <f>'REGIÃO 11 - HISTÓRICO'!X15</f>
        <v>0</v>
      </c>
      <c r="U15" s="335">
        <f>'REGIÃO 11 - HISTÓRICO'!Z15</f>
        <v>0</v>
      </c>
      <c r="V15" s="335">
        <f>'REGIÃO 11 - HISTÓRICO'!AB15</f>
        <v>0</v>
      </c>
      <c r="W15" s="335">
        <f>'REGIÃO 11 - HISTÓRICO'!AD15</f>
        <v>0</v>
      </c>
      <c r="X15" s="335">
        <f>'REGIÃO 11 - HISTÓRICO'!AF15</f>
        <v>0</v>
      </c>
      <c r="Y15" s="335"/>
      <c r="Z15" s="335" t="str">
        <v>Roçada / Limpeza EDS</v>
      </c>
      <c r="AA15" s="335">
        <f>IF($Z15="","",COUNTIFS($H$4:$H$217,$Z15,$B$4:$B$217,$Z$1))</f>
        <v>0</v>
      </c>
      <c r="AB15" s="335">
        <f>IF($Z15="","",SUMIFS($I$4:$I$217,$H$4:$H$217,$Z15,$B$4:$B$217,$Z$1))</f>
        <v>0</v>
      </c>
      <c r="AC15" s="335">
        <f>IF($Z15="","",$AB15-ROW()/1000000)</f>
        <v>-1.5E-5</v>
      </c>
      <c r="AD15" s="335">
        <f>IFERROR(RANK($AC15,$AC$4:$AC$217),"")</f>
        <v>20</v>
      </c>
      <c r="AE15" s="335"/>
      <c r="AF15" s="335" t="str">
        <f>$B15</f>
        <v>R11</v>
      </c>
      <c r="AG15" s="335" t="str">
        <f>$C15&amp;"."&amp;TEXT($D15,"0000")</f>
        <v>049.2024.0025</v>
      </c>
      <c r="AH15" s="335">
        <f>IF($B15="",-1,IF(OR($Z$1="?*",$B15=$Z$1),$I15,-1))</f>
        <v>-1</v>
      </c>
      <c r="AI15" s="335" t="str">
        <f>IF($AH15&lt;0,"",$AH15-ROW()/1000000)</f>
        <v/>
      </c>
      <c r="AJ15" s="335" t="str">
        <f>IFERROR(RANK($AI15,$AI$4:$AI$217),"")</f>
        <v/>
      </c>
      <c r="AS15" s="79">
        <f>DASHBOARD!$O$67</f>
        <v>0</v>
      </c>
      <c r="AT15">
        <f>DASHBOARD!$O$68</f>
        <v>0</v>
      </c>
      <c r="AU15">
        <f>DASHBOARD!$O$69</f>
        <v>0</v>
      </c>
    </row>
    <row r="16" spans="2:50" x14ac:dyDescent="0.3">
      <c r="B16" s="335" t="str">
        <f>IF(OR('REGIÃO 11 - RESUMO'!E16="",'REGIÃO 11 - RESUMO'!E16=0),"",'REGIÃO 11 - RESUMO'!C16)</f>
        <v>R11</v>
      </c>
      <c r="C16" s="335" t="str">
        <f>'REGIÃO 11 - RESUMO'!D16</f>
        <v>049.2024</v>
      </c>
      <c r="D16" s="81">
        <f>'REGIÃO 11 - RESUMO'!E16</f>
        <v>26</v>
      </c>
      <c r="E16" s="80" t="str">
        <f>'REGIÃO 11 - RESUMO'!F16</f>
        <v>Abril</v>
      </c>
      <c r="F16" s="82">
        <f>'REGIÃO 11 - RESUMO'!H16</f>
        <v>204</v>
      </c>
      <c r="G16" s="335" t="str">
        <f>'REGIÃO 11 - RESUMO'!I16</f>
        <v>RODOVIA TO-070 - TRECHO ALIANÇA DO TOCANTINS - BREJINHO DE NAZARÉ</v>
      </c>
      <c r="H16" s="80" t="str">
        <f>'REGIÃO 11 - RESUMO'!J16</f>
        <v>Tapa-Buraco CAE</v>
      </c>
      <c r="I16" s="335">
        <f>'REGIÃO 11 - RESUMO'!K16</f>
        <v>31085.39</v>
      </c>
      <c r="J16" s="335">
        <f>'REGIÃO 11 - HISTÓRICO'!F16</f>
        <v>27578.35</v>
      </c>
      <c r="K16" s="335">
        <f>'REGIÃO 11 - HISTÓRICO'!G16</f>
        <v>3507.0400000000009</v>
      </c>
      <c r="L16" s="335" t="str">
        <f>IF(OR('REGIÃO 11 - RESUMO'!L16="",'REGIÃO 11 - RESUMO'!L16=0),"",'REGIÃO 11 - RESUMO'!L16)</f>
        <v>Concluída</v>
      </c>
      <c r="M16" s="335">
        <f>'REGIÃO 11 - HISTÓRICO'!J16</f>
        <v>0</v>
      </c>
      <c r="N16" s="335">
        <f>'REGIÃO 11 - HISTÓRICO'!L16</f>
        <v>0</v>
      </c>
      <c r="O16" s="335">
        <f>'REGIÃO 11 - HISTÓRICO'!N16</f>
        <v>0</v>
      </c>
      <c r="P16" s="335">
        <f>'REGIÃO 11 - HISTÓRICO'!P16</f>
        <v>0</v>
      </c>
      <c r="Q16" s="335">
        <f>'REGIÃO 11 - HISTÓRICO'!R16</f>
        <v>27578.35</v>
      </c>
      <c r="R16" s="335">
        <f>'REGIÃO 11 - HISTÓRICO'!T16</f>
        <v>0</v>
      </c>
      <c r="S16" s="335">
        <f>'REGIÃO 11 - HISTÓRICO'!V16</f>
        <v>0</v>
      </c>
      <c r="T16" s="335">
        <f>'REGIÃO 11 - HISTÓRICO'!X16</f>
        <v>0</v>
      </c>
      <c r="U16" s="335">
        <f>'REGIÃO 11 - HISTÓRICO'!Z16</f>
        <v>0</v>
      </c>
      <c r="V16" s="335">
        <f>'REGIÃO 11 - HISTÓRICO'!AB16</f>
        <v>0</v>
      </c>
      <c r="W16" s="335">
        <f>'REGIÃO 11 - HISTÓRICO'!AD16</f>
        <v>0</v>
      </c>
      <c r="X16" s="335">
        <f>'REGIÃO 11 - HISTÓRICO'!AF16</f>
        <v>0</v>
      </c>
      <c r="Y16" s="335"/>
      <c r="Z16" s="335" t="str">
        <v>Roçada / Remendo profundo</v>
      </c>
      <c r="AA16" s="335">
        <f>IF($Z16="","",COUNTIFS($H$4:$H$217,$Z16,$B$4:$B$217,$Z$1))</f>
        <v>0</v>
      </c>
      <c r="AB16" s="335">
        <f>IF($Z16="","",SUMIFS($I$4:$I$217,$H$4:$H$217,$Z16,$B$4:$B$217,$Z$1))</f>
        <v>0</v>
      </c>
      <c r="AC16" s="335">
        <f>IF($Z16="","",$AB16-ROW()/1000000)</f>
        <v>-1.5999999999999999E-5</v>
      </c>
      <c r="AD16" s="335">
        <f>IFERROR(RANK($AC16,$AC$4:$AC$217),"")</f>
        <v>21</v>
      </c>
      <c r="AE16" s="335"/>
      <c r="AF16" s="335" t="str">
        <f>$B16</f>
        <v>R11</v>
      </c>
      <c r="AG16" s="335" t="str">
        <f>$C16&amp;"."&amp;TEXT($D16,"0000")</f>
        <v>049.2024.0026</v>
      </c>
      <c r="AH16" s="335">
        <f>IF($B16="",-1,IF(OR($Z$1="?*",$B16=$Z$1),$I16,-1))</f>
        <v>-1</v>
      </c>
      <c r="AI16" s="335" t="str">
        <f>IF($AH16&lt;0,"",$AH16-ROW()/1000000)</f>
        <v/>
      </c>
      <c r="AJ16" s="335" t="str">
        <f>IFERROR(RANK($AI16,$AI$4:$AI$217),"")</f>
        <v/>
      </c>
    </row>
    <row r="17" spans="2:36" x14ac:dyDescent="0.3">
      <c r="B17" s="335" t="str">
        <f>IF(OR('REGIÃO 11 - RESUMO'!E17="",'REGIÃO 11 - RESUMO'!E17=0),"",'REGIÃO 11 - RESUMO'!C17)</f>
        <v>R11</v>
      </c>
      <c r="C17" s="335" t="str">
        <f>'REGIÃO 11 - RESUMO'!D17</f>
        <v>049.2024</v>
      </c>
      <c r="D17" s="81">
        <f>'REGIÃO 11 - RESUMO'!E17</f>
        <v>27</v>
      </c>
      <c r="E17" s="80" t="str">
        <f>'REGIÃO 11 - RESUMO'!F17</f>
        <v>Abril</v>
      </c>
      <c r="F17" s="82">
        <f>'REGIÃO 11 - RESUMO'!H17</f>
        <v>206</v>
      </c>
      <c r="G17" s="335" t="str">
        <f>'REGIÃO 11 - RESUMO'!I17</f>
        <v>RODOVIA TO-070 - TRECHO FORMOSO DO ARAGUAIA - DUERÉ</v>
      </c>
      <c r="H17" s="80" t="str">
        <f>'REGIÃO 11 - RESUMO'!J17</f>
        <v>Roçada</v>
      </c>
      <c r="I17" s="335">
        <f>'REGIÃO 11 - RESUMO'!K17</f>
        <v>32173.84</v>
      </c>
      <c r="J17" s="335">
        <f>'REGIÃO 11 - HISTÓRICO'!F17</f>
        <v>32173.84</v>
      </c>
      <c r="K17" s="335">
        <f>'REGIÃO 11 - HISTÓRICO'!G17</f>
        <v>0</v>
      </c>
      <c r="L17" s="335" t="str">
        <f>IF(OR('REGIÃO 11 - RESUMO'!L17="",'REGIÃO 11 - RESUMO'!L17=0),"",'REGIÃO 11 - RESUMO'!L17)</f>
        <v>Concluída</v>
      </c>
      <c r="M17" s="335">
        <f>'REGIÃO 11 - HISTÓRICO'!J17</f>
        <v>0</v>
      </c>
      <c r="N17" s="335">
        <f>'REGIÃO 11 - HISTÓRICO'!L17</f>
        <v>0</v>
      </c>
      <c r="O17" s="335">
        <f>'REGIÃO 11 - HISTÓRICO'!N17</f>
        <v>0</v>
      </c>
      <c r="P17" s="335">
        <f>'REGIÃO 11 - HISTÓRICO'!P17</f>
        <v>0</v>
      </c>
      <c r="Q17" s="335">
        <f>'REGIÃO 11 - HISTÓRICO'!R17</f>
        <v>32173.84</v>
      </c>
      <c r="R17" s="335">
        <f>'REGIÃO 11 - HISTÓRICO'!T17</f>
        <v>0</v>
      </c>
      <c r="S17" s="335">
        <f>'REGIÃO 11 - HISTÓRICO'!V17</f>
        <v>0</v>
      </c>
      <c r="T17" s="335">
        <f>'REGIÃO 11 - HISTÓRICO'!X17</f>
        <v>0</v>
      </c>
      <c r="U17" s="335">
        <f>'REGIÃO 11 - HISTÓRICO'!Z17</f>
        <v>0</v>
      </c>
      <c r="V17" s="335">
        <f>'REGIÃO 11 - HISTÓRICO'!AB17</f>
        <v>0</v>
      </c>
      <c r="W17" s="335">
        <f>'REGIÃO 11 - HISTÓRICO'!AD17</f>
        <v>0</v>
      </c>
      <c r="X17" s="335">
        <f>'REGIÃO 11 - HISTÓRICO'!AF17</f>
        <v>0</v>
      </c>
      <c r="Y17" s="335"/>
      <c r="Z17" s="335" t="str">
        <v>Roçada / Tapa-Buraco CAE</v>
      </c>
      <c r="AA17" s="335">
        <f>IF($Z17="","",COUNTIFS($H$4:$H$217,$Z17,$B$4:$B$217,$Z$1))</f>
        <v>0</v>
      </c>
      <c r="AB17" s="335">
        <f>IF($Z17="","",SUMIFS($I$4:$I$217,$H$4:$H$217,$Z17,$B$4:$B$217,$Z$1))</f>
        <v>0</v>
      </c>
      <c r="AC17" s="335">
        <f>IF($Z17="","",$AB17-ROW()/1000000)</f>
        <v>-1.7E-5</v>
      </c>
      <c r="AD17" s="335">
        <f>IFERROR(RANK($AC17,$AC$4:$AC$217),"")</f>
        <v>22</v>
      </c>
      <c r="AE17" s="335"/>
      <c r="AF17" s="335" t="str">
        <f>$B17</f>
        <v>R11</v>
      </c>
      <c r="AG17" s="335" t="str">
        <f>$C17&amp;"."&amp;TEXT($D17,"0000")</f>
        <v>049.2024.0027</v>
      </c>
      <c r="AH17" s="335">
        <f>IF($B17="",-1,IF(OR($Z$1="?*",$B17=$Z$1),$I17,-1))</f>
        <v>-1</v>
      </c>
      <c r="AI17" s="335" t="str">
        <f>IF($AH17&lt;0,"",$AH17-ROW()/1000000)</f>
        <v/>
      </c>
      <c r="AJ17" s="335" t="str">
        <f>IFERROR(RANK($AI17,$AI$4:$AI$217),"")</f>
        <v/>
      </c>
    </row>
    <row r="18" spans="2:36" x14ac:dyDescent="0.3">
      <c r="B18" s="335" t="str">
        <f>IF(OR('REGIÃO 11 - RESUMO'!E18="",'REGIÃO 11 - RESUMO'!E18=0),"",'REGIÃO 11 - RESUMO'!C18)</f>
        <v>R11</v>
      </c>
      <c r="C18" s="335" t="str">
        <f>'REGIÃO 11 - RESUMO'!D18</f>
        <v>049.2024</v>
      </c>
      <c r="D18" s="81">
        <f>'REGIÃO 11 - RESUMO'!E18</f>
        <v>28</v>
      </c>
      <c r="E18" s="80" t="str">
        <f>'REGIÃO 11 - RESUMO'!F18</f>
        <v>Maio</v>
      </c>
      <c r="F18" s="82">
        <f>'REGIÃO 11 - RESUMO'!H18</f>
        <v>204</v>
      </c>
      <c r="G18" s="335" t="str">
        <f>'REGIÃO 11 - RESUMO'!I18</f>
        <v>RODOVIA TO-070 - TRECHO ALIANÇA DO TOCANTINS - BREJINHO DE NAZARÉ</v>
      </c>
      <c r="H18" s="80" t="str">
        <f>'REGIÃO 11 - RESUMO'!J18</f>
        <v>Limpeza EDS / Caiação de EDS e pontes</v>
      </c>
      <c r="I18" s="335">
        <f>'REGIÃO 11 - RESUMO'!K18</f>
        <v>23752.58</v>
      </c>
      <c r="J18" s="335">
        <f>'REGIÃO 11 - HISTÓRICO'!F18</f>
        <v>0</v>
      </c>
      <c r="K18" s="335">
        <f>'REGIÃO 11 - HISTÓRICO'!G18</f>
        <v>23752.58</v>
      </c>
      <c r="L18" s="335" t="str">
        <f>IF(OR('REGIÃO 11 - RESUMO'!L18="",'REGIÃO 11 - RESUMO'!L18=0),"",'REGIÃO 11 - RESUMO'!L18)</f>
        <v>Cancelada</v>
      </c>
      <c r="M18" s="335">
        <f>'REGIÃO 11 - HISTÓRICO'!J18</f>
        <v>0</v>
      </c>
      <c r="N18" s="335">
        <f>'REGIÃO 11 - HISTÓRICO'!L18</f>
        <v>0</v>
      </c>
      <c r="O18" s="335">
        <f>'REGIÃO 11 - HISTÓRICO'!N18</f>
        <v>0</v>
      </c>
      <c r="P18" s="335">
        <f>'REGIÃO 11 - HISTÓRICO'!P18</f>
        <v>0</v>
      </c>
      <c r="Q18" s="335">
        <f>'REGIÃO 11 - HISTÓRICO'!R18</f>
        <v>0</v>
      </c>
      <c r="R18" s="335">
        <f>'REGIÃO 11 - HISTÓRICO'!T18</f>
        <v>0</v>
      </c>
      <c r="S18" s="335">
        <f>'REGIÃO 11 - HISTÓRICO'!V18</f>
        <v>0</v>
      </c>
      <c r="T18" s="335">
        <f>'REGIÃO 11 - HISTÓRICO'!X18</f>
        <v>0</v>
      </c>
      <c r="U18" s="335">
        <f>'REGIÃO 11 - HISTÓRICO'!Z18</f>
        <v>0</v>
      </c>
      <c r="V18" s="335">
        <f>'REGIÃO 11 - HISTÓRICO'!AB18</f>
        <v>0</v>
      </c>
      <c r="W18" s="335">
        <f>'REGIÃO 11 - HISTÓRICO'!AD18</f>
        <v>0</v>
      </c>
      <c r="X18" s="335">
        <f>'REGIÃO 11 - HISTÓRICO'!AF18</f>
        <v>0</v>
      </c>
      <c r="Y18" s="335"/>
      <c r="Z18" s="335" t="str">
        <v>Roçada / Tapa-Buraco CAE / Remendo Profundo</v>
      </c>
      <c r="AA18" s="335">
        <f>IF($Z18="","",COUNTIFS($H$4:$H$217,$Z18,$B$4:$B$217,$Z$1))</f>
        <v>3</v>
      </c>
      <c r="AB18" s="335">
        <f>IF($Z18="","",SUMIFS($I$4:$I$217,$H$4:$H$217,$Z18,$B$4:$B$217,$Z$1))</f>
        <v>315965.76</v>
      </c>
      <c r="AC18" s="335">
        <f>IF($Z18="","",$AB18-ROW()/1000000)</f>
        <v>315965.75998199999</v>
      </c>
      <c r="AD18" s="335">
        <f>IFERROR(RANK($AC18,$AC$4:$AC$217),"")</f>
        <v>8</v>
      </c>
      <c r="AE18" s="335"/>
      <c r="AF18" s="335" t="str">
        <f>$B18</f>
        <v>R11</v>
      </c>
      <c r="AG18" s="335" t="str">
        <f>$C18&amp;"."&amp;TEXT($D18,"0000")</f>
        <v>049.2024.0028</v>
      </c>
      <c r="AH18" s="335">
        <f>IF($B18="",-1,IF(OR($Z$1="?*",$B18=$Z$1),$I18,-1))</f>
        <v>-1</v>
      </c>
      <c r="AI18" s="335" t="str">
        <f>IF($AH18&lt;0,"",$AH18-ROW()/1000000)</f>
        <v/>
      </c>
      <c r="AJ18" s="335" t="str">
        <f>IFERROR(RANK($AI18,$AI$4:$AI$217),"")</f>
        <v/>
      </c>
    </row>
    <row r="19" spans="2:36" x14ac:dyDescent="0.3">
      <c r="B19" s="335" t="str">
        <f>IF(OR('REGIÃO 11 - RESUMO'!E19="",'REGIÃO 11 - RESUMO'!E19=0),"",'REGIÃO 11 - RESUMO'!C19)</f>
        <v>R11</v>
      </c>
      <c r="C19" s="335" t="str">
        <f>'REGIÃO 11 - RESUMO'!D19</f>
        <v>049.2024</v>
      </c>
      <c r="D19" s="81">
        <f>'REGIÃO 11 - RESUMO'!E19</f>
        <v>29</v>
      </c>
      <c r="E19" s="80" t="str">
        <f>'REGIÃO 11 - RESUMO'!F19</f>
        <v>Maio</v>
      </c>
      <c r="F19" s="82">
        <f>'REGIÃO 11 - RESUMO'!H19</f>
        <v>205</v>
      </c>
      <c r="G19" s="335" t="str">
        <f>'REGIÃO 11 - RESUMO'!I19</f>
        <v>RODOVIA TO-070 - TRECHO DUERÉ - ALIANÇA DO TOCANTINS</v>
      </c>
      <c r="H19" s="80" t="str">
        <f>'REGIÃO 11 - RESUMO'!J19</f>
        <v>Roçada</v>
      </c>
      <c r="I19" s="335">
        <f>'REGIÃO 11 - RESUMO'!K19</f>
        <v>16378.85</v>
      </c>
      <c r="J19" s="335">
        <f>'REGIÃO 11 - HISTÓRICO'!F19</f>
        <v>15597.85</v>
      </c>
      <c r="K19" s="335">
        <f>'REGIÃO 11 - HISTÓRICO'!G19</f>
        <v>781</v>
      </c>
      <c r="L19" s="335" t="str">
        <f>IF(OR('REGIÃO 11 - RESUMO'!L19="",'REGIÃO 11 - RESUMO'!L19=0),"",'REGIÃO 11 - RESUMO'!L19)</f>
        <v>Concluída</v>
      </c>
      <c r="M19" s="335">
        <f>'REGIÃO 11 - HISTÓRICO'!J19</f>
        <v>0</v>
      </c>
      <c r="N19" s="335">
        <f>'REGIÃO 11 - HISTÓRICO'!L19</f>
        <v>0</v>
      </c>
      <c r="O19" s="335">
        <f>'REGIÃO 11 - HISTÓRICO'!N19</f>
        <v>0</v>
      </c>
      <c r="P19" s="335">
        <f>'REGIÃO 11 - HISTÓRICO'!P19</f>
        <v>0</v>
      </c>
      <c r="Q19" s="335">
        <f>'REGIÃO 11 - HISTÓRICO'!R19</f>
        <v>0</v>
      </c>
      <c r="R19" s="335">
        <f>'REGIÃO 11 - HISTÓRICO'!T19</f>
        <v>15597.85</v>
      </c>
      <c r="S19" s="335">
        <f>'REGIÃO 11 - HISTÓRICO'!V19</f>
        <v>0</v>
      </c>
      <c r="T19" s="335">
        <f>'REGIÃO 11 - HISTÓRICO'!X19</f>
        <v>0</v>
      </c>
      <c r="U19" s="335">
        <f>'REGIÃO 11 - HISTÓRICO'!Z19</f>
        <v>0</v>
      </c>
      <c r="V19" s="335">
        <f>'REGIÃO 11 - HISTÓRICO'!AB19</f>
        <v>0</v>
      </c>
      <c r="W19" s="335">
        <f>'REGIÃO 11 - HISTÓRICO'!AD19</f>
        <v>0</v>
      </c>
      <c r="X19" s="335">
        <f>'REGIÃO 11 - HISTÓRICO'!AF19</f>
        <v>0</v>
      </c>
      <c r="Y19" s="335"/>
      <c r="Z19" s="335" t="str">
        <v>Roçada / Tapa-Buraco PMF</v>
      </c>
      <c r="AA19" s="335">
        <f>IF($Z19="","",COUNTIFS($H$4:$H$217,$Z19,$B$4:$B$217,$Z$1))</f>
        <v>0</v>
      </c>
      <c r="AB19" s="335">
        <f>IF($Z19="","",SUMIFS($I$4:$I$217,$H$4:$H$217,$Z19,$B$4:$B$217,$Z$1))</f>
        <v>0</v>
      </c>
      <c r="AC19" s="335">
        <f>IF($Z19="","",$AB19-ROW()/1000000)</f>
        <v>-1.9000000000000001E-5</v>
      </c>
      <c r="AD19" s="335">
        <f>IFERROR(RANK($AC19,$AC$4:$AC$217),"")</f>
        <v>23</v>
      </c>
      <c r="AE19" s="335"/>
      <c r="AF19" s="335" t="str">
        <f>$B19</f>
        <v>R11</v>
      </c>
      <c r="AG19" s="335" t="str">
        <f>$C19&amp;"."&amp;TEXT($D19,"0000")</f>
        <v>049.2024.0029</v>
      </c>
      <c r="AH19" s="335">
        <f>IF($B19="",-1,IF(OR($Z$1="?*",$B19=$Z$1),$I19,-1))</f>
        <v>-1</v>
      </c>
      <c r="AI19" s="335" t="str">
        <f>IF($AH19&lt;0,"",$AH19-ROW()/1000000)</f>
        <v/>
      </c>
      <c r="AJ19" s="335" t="str">
        <f>IFERROR(RANK($AI19,$AI$4:$AI$217),"")</f>
        <v/>
      </c>
    </row>
    <row r="20" spans="2:36" x14ac:dyDescent="0.3">
      <c r="B20" s="335" t="str">
        <f>IF(OR('REGIÃO 11 - RESUMO'!E20="",'REGIÃO 11 - RESUMO'!E20=0),"",'REGIÃO 11 - RESUMO'!C20)</f>
        <v>R11</v>
      </c>
      <c r="C20" s="335" t="str">
        <f>'REGIÃO 11 - RESUMO'!D20</f>
        <v>049.2024</v>
      </c>
      <c r="D20" s="81">
        <f>'REGIÃO 11 - RESUMO'!E20</f>
        <v>30</v>
      </c>
      <c r="E20" s="80" t="str">
        <f>'REGIÃO 11 - RESUMO'!F20</f>
        <v>Maio</v>
      </c>
      <c r="F20" s="82">
        <f>'REGIÃO 11 - RESUMO'!H20</f>
        <v>218</v>
      </c>
      <c r="G20" s="335" t="str">
        <f>'REGIÃO 11 - RESUMO'!I20</f>
        <v>RODOVIA TO-373 - TRECHO ALVORADA - ARAGUAÇU - DIVISA TO-GO</v>
      </c>
      <c r="H20" s="80" t="str">
        <f>'REGIÃO 11 - RESUMO'!J20</f>
        <v>Roçada</v>
      </c>
      <c r="I20" s="335">
        <f>'REGIÃO 11 - RESUMO'!K20</f>
        <v>39853.56</v>
      </c>
      <c r="J20" s="335">
        <f>'REGIÃO 11 - HISTÓRICO'!F20</f>
        <v>37980.699999999997</v>
      </c>
      <c r="K20" s="335">
        <f>'REGIÃO 11 - HISTÓRICO'!G20</f>
        <v>1872.8600000000006</v>
      </c>
      <c r="L20" s="335" t="str">
        <f>IF(OR('REGIÃO 11 - RESUMO'!L20="",'REGIÃO 11 - RESUMO'!L20=0),"",'REGIÃO 11 - RESUMO'!L20)</f>
        <v>Concluída</v>
      </c>
      <c r="M20" s="335">
        <f>'REGIÃO 11 - HISTÓRICO'!J20</f>
        <v>0</v>
      </c>
      <c r="N20" s="335">
        <f>'REGIÃO 11 - HISTÓRICO'!L20</f>
        <v>0</v>
      </c>
      <c r="O20" s="335">
        <f>'REGIÃO 11 - HISTÓRICO'!N20</f>
        <v>0</v>
      </c>
      <c r="P20" s="335">
        <f>'REGIÃO 11 - HISTÓRICO'!P20</f>
        <v>0</v>
      </c>
      <c r="Q20" s="335">
        <f>'REGIÃO 11 - HISTÓRICO'!R20</f>
        <v>0</v>
      </c>
      <c r="R20" s="335">
        <f>'REGIÃO 11 - HISTÓRICO'!T20</f>
        <v>0</v>
      </c>
      <c r="S20" s="335">
        <f>'REGIÃO 11 - HISTÓRICO'!V20</f>
        <v>37980.699999999997</v>
      </c>
      <c r="T20" s="335">
        <f>'REGIÃO 11 - HISTÓRICO'!X20</f>
        <v>0</v>
      </c>
      <c r="U20" s="335">
        <f>'REGIÃO 11 - HISTÓRICO'!Z20</f>
        <v>0</v>
      </c>
      <c r="V20" s="335">
        <f>'REGIÃO 11 - HISTÓRICO'!AB20</f>
        <v>0</v>
      </c>
      <c r="W20" s="335">
        <f>'REGIÃO 11 - HISTÓRICO'!AD20</f>
        <v>0</v>
      </c>
      <c r="X20" s="335">
        <f>'REGIÃO 11 - HISTÓRICO'!AF20</f>
        <v>0</v>
      </c>
      <c r="Y20" s="335"/>
      <c r="Z20" s="335" t="str">
        <v>Roçada / Tapa-Buraco PMF / Caiação de EDS e pontes</v>
      </c>
      <c r="AA20" s="335">
        <f>IF($Z20="","",COUNTIFS($H$4:$H$217,$Z20,$B$4:$B$217,$Z$1))</f>
        <v>0</v>
      </c>
      <c r="AB20" s="335">
        <f>IF($Z20="","",SUMIFS($I$4:$I$217,$H$4:$H$217,$Z20,$B$4:$B$217,$Z$1))</f>
        <v>0</v>
      </c>
      <c r="AC20" s="335">
        <f>IF($Z20="","",$AB20-ROW()/1000000)</f>
        <v>-2.0000000000000002E-5</v>
      </c>
      <c r="AD20" s="335">
        <f>IFERROR(RANK($AC20,$AC$4:$AC$217),"")</f>
        <v>24</v>
      </c>
      <c r="AE20" s="335"/>
      <c r="AF20" s="335" t="str">
        <f>$B20</f>
        <v>R11</v>
      </c>
      <c r="AG20" s="335" t="str">
        <f>$C20&amp;"."&amp;TEXT($D20,"0000")</f>
        <v>049.2024.0030</v>
      </c>
      <c r="AH20" s="335">
        <f>IF($B20="",-1,IF(OR($Z$1="?*",$B20=$Z$1),$I20,-1))</f>
        <v>-1</v>
      </c>
      <c r="AI20" s="335" t="str">
        <f>IF($AH20&lt;0,"",$AH20-ROW()/1000000)</f>
        <v/>
      </c>
      <c r="AJ20" s="335" t="str">
        <f>IFERROR(RANK($AI20,$AI$4:$AI$217),"")</f>
        <v/>
      </c>
    </row>
    <row r="21" spans="2:36" x14ac:dyDescent="0.3">
      <c r="B21" s="335" t="str">
        <f>IF(OR('REGIÃO 11 - RESUMO'!E21="",'REGIÃO 11 - RESUMO'!E21=0),"",'REGIÃO 11 - RESUMO'!C21)</f>
        <v>R11</v>
      </c>
      <c r="C21" s="335" t="str">
        <f>'REGIÃO 11 - RESUMO'!D21</f>
        <v>049.2024</v>
      </c>
      <c r="D21" s="81">
        <f>'REGIÃO 11 - RESUMO'!E21</f>
        <v>31</v>
      </c>
      <c r="E21" s="80" t="str">
        <f>'REGIÃO 11 - RESUMO'!F21</f>
        <v>Maio</v>
      </c>
      <c r="F21" s="82">
        <f>'REGIÃO 11 - RESUMO'!H21</f>
        <v>219</v>
      </c>
      <c r="G21" s="335" t="str">
        <f>'REGIÃO 11 - RESUMO'!I21</f>
        <v>RODOVIA TO-374 - TRECHO DUERÉ - GURUPI</v>
      </c>
      <c r="H21" s="80" t="str">
        <f>'REGIÃO 11 - RESUMO'!J21</f>
        <v>Roçada</v>
      </c>
      <c r="I21" s="335">
        <f>'REGIÃO 11 - RESUMO'!K21</f>
        <v>18928.21</v>
      </c>
      <c r="J21" s="335">
        <f>'REGIÃO 11 - HISTÓRICO'!F21</f>
        <v>18089.41</v>
      </c>
      <c r="K21" s="335">
        <f>'REGIÃO 11 - HISTÓRICO'!G21</f>
        <v>838.79999999999927</v>
      </c>
      <c r="L21" s="335" t="str">
        <f>IF(OR('REGIÃO 11 - RESUMO'!L21="",'REGIÃO 11 - RESUMO'!L21=0),"",'REGIÃO 11 - RESUMO'!L21)</f>
        <v>Concluída</v>
      </c>
      <c r="M21" s="335">
        <f>'REGIÃO 11 - HISTÓRICO'!J21</f>
        <v>0</v>
      </c>
      <c r="N21" s="335">
        <f>'REGIÃO 11 - HISTÓRICO'!L21</f>
        <v>0</v>
      </c>
      <c r="O21" s="335">
        <f>'REGIÃO 11 - HISTÓRICO'!N21</f>
        <v>0</v>
      </c>
      <c r="P21" s="335">
        <f>'REGIÃO 11 - HISTÓRICO'!P21</f>
        <v>0</v>
      </c>
      <c r="Q21" s="335">
        <f>'REGIÃO 11 - HISTÓRICO'!R21</f>
        <v>0</v>
      </c>
      <c r="R21" s="335">
        <f>'REGIÃO 11 - HISTÓRICO'!T21</f>
        <v>18089.41</v>
      </c>
      <c r="S21" s="335">
        <f>'REGIÃO 11 - HISTÓRICO'!V21</f>
        <v>0</v>
      </c>
      <c r="T21" s="335">
        <f>'REGIÃO 11 - HISTÓRICO'!X21</f>
        <v>0</v>
      </c>
      <c r="U21" s="335">
        <f>'REGIÃO 11 - HISTÓRICO'!Z21</f>
        <v>0</v>
      </c>
      <c r="V21" s="335">
        <f>'REGIÃO 11 - HISTÓRICO'!AB21</f>
        <v>0</v>
      </c>
      <c r="W21" s="335">
        <f>'REGIÃO 11 - HISTÓRICO'!AD21</f>
        <v>0</v>
      </c>
      <c r="X21" s="335">
        <f>'REGIÃO 11 - HISTÓRICO'!AF21</f>
        <v>0</v>
      </c>
      <c r="Y21" s="335"/>
      <c r="Z21" s="335" t="str">
        <v>Roçada / Tapa-Buraco PMF / Recomposição manual de aterro / Enrocamento de pedra arrumada / Reparo EDS / Caiação de EDS e pontes</v>
      </c>
      <c r="AA21" s="335">
        <f>IF($Z21="","",COUNTIFS($H$4:$H$217,$Z21,$B$4:$B$217,$Z$1))</f>
        <v>0</v>
      </c>
      <c r="AB21" s="335">
        <f>IF($Z21="","",SUMIFS($I$4:$I$217,$H$4:$H$217,$Z21,$B$4:$B$217,$Z$1))</f>
        <v>0</v>
      </c>
      <c r="AC21" s="335">
        <f>IF($Z21="","",$AB21-ROW()/1000000)</f>
        <v>-2.0999999999999999E-5</v>
      </c>
      <c r="AD21" s="335">
        <f>IFERROR(RANK($AC21,$AC$4:$AC$217),"")</f>
        <v>25</v>
      </c>
      <c r="AE21" s="335"/>
      <c r="AF21" s="335" t="str">
        <f>$B21</f>
        <v>R11</v>
      </c>
      <c r="AG21" s="335" t="str">
        <f>$C21&amp;"."&amp;TEXT($D21,"0000")</f>
        <v>049.2024.0031</v>
      </c>
      <c r="AH21" s="335">
        <f>IF($B21="",-1,IF(OR($Z$1="?*",$B21=$Z$1),$I21,-1))</f>
        <v>-1</v>
      </c>
      <c r="AI21" s="335" t="str">
        <f>IF($AH21&lt;0,"",$AH21-ROW()/1000000)</f>
        <v/>
      </c>
      <c r="AJ21" s="335" t="str">
        <f>IFERROR(RANK($AI21,$AI$4:$AI$217),"")</f>
        <v/>
      </c>
    </row>
    <row r="22" spans="2:36" x14ac:dyDescent="0.3">
      <c r="B22" s="335" t="str">
        <f>IF(OR('REGIÃO 11 - RESUMO'!E22="",'REGIÃO 11 - RESUMO'!E22=0),"",'REGIÃO 11 - RESUMO'!C22)</f>
        <v>R11</v>
      </c>
      <c r="C22" s="335" t="str">
        <f>'REGIÃO 11 - RESUMO'!D22</f>
        <v>049.2024</v>
      </c>
      <c r="D22" s="81">
        <f>'REGIÃO 11 - RESUMO'!E22</f>
        <v>32</v>
      </c>
      <c r="E22" s="80" t="str">
        <f>'REGIÃO 11 - RESUMO'!F22</f>
        <v>Maio</v>
      </c>
      <c r="F22" s="82">
        <f>'REGIÃO 11 - RESUMO'!H22</f>
        <v>204</v>
      </c>
      <c r="G22" s="335" t="str">
        <f>'REGIÃO 11 - RESUMO'!I22</f>
        <v>RODOVIA TO-070 - TRECHO ALIANÇA DO TOCANTINS - BREJINHO DE NAZARÉ</v>
      </c>
      <c r="H22" s="80" t="str">
        <f>'REGIÃO 11 - RESUMO'!J22</f>
        <v>Roçada / Remendo profundo</v>
      </c>
      <c r="I22" s="335">
        <f>'REGIÃO 11 - RESUMO'!K22</f>
        <v>37930.29</v>
      </c>
      <c r="J22" s="335">
        <f>'REGIÃO 11 - HISTÓRICO'!F22</f>
        <v>8106.86</v>
      </c>
      <c r="K22" s="335">
        <f>'REGIÃO 11 - HISTÓRICO'!G22</f>
        <v>29823.43</v>
      </c>
      <c r="L22" s="335" t="str">
        <f>IF(OR('REGIÃO 11 - RESUMO'!L22="",'REGIÃO 11 - RESUMO'!L22=0),"",'REGIÃO 11 - RESUMO'!L22)</f>
        <v>Concluída</v>
      </c>
      <c r="M22" s="335">
        <f>'REGIÃO 11 - HISTÓRICO'!J22</f>
        <v>0</v>
      </c>
      <c r="N22" s="335">
        <f>'REGIÃO 11 - HISTÓRICO'!L22</f>
        <v>0</v>
      </c>
      <c r="O22" s="335">
        <f>'REGIÃO 11 - HISTÓRICO'!N22</f>
        <v>0</v>
      </c>
      <c r="P22" s="335">
        <f>'REGIÃO 11 - HISTÓRICO'!P22</f>
        <v>0</v>
      </c>
      <c r="Q22" s="335">
        <f>'REGIÃO 11 - HISTÓRICO'!R22</f>
        <v>0</v>
      </c>
      <c r="R22" s="335">
        <f>'REGIÃO 11 - HISTÓRICO'!T22</f>
        <v>8106.86</v>
      </c>
      <c r="S22" s="335">
        <f>'REGIÃO 11 - HISTÓRICO'!V22</f>
        <v>0</v>
      </c>
      <c r="T22" s="335">
        <f>'REGIÃO 11 - HISTÓRICO'!X22</f>
        <v>0</v>
      </c>
      <c r="U22" s="335">
        <f>'REGIÃO 11 - HISTÓRICO'!Z22</f>
        <v>0</v>
      </c>
      <c r="V22" s="335">
        <f>'REGIÃO 11 - HISTÓRICO'!AB22</f>
        <v>0</v>
      </c>
      <c r="W22" s="335">
        <f>'REGIÃO 11 - HISTÓRICO'!AD22</f>
        <v>0</v>
      </c>
      <c r="X22" s="335">
        <f>'REGIÃO 11 - HISTÓRICO'!AF22</f>
        <v>0</v>
      </c>
      <c r="Y22" s="335"/>
      <c r="Z22" s="335" t="str">
        <v>Roçada / Tapa-Buraco PMF / Remendo profundo</v>
      </c>
      <c r="AA22" s="335">
        <f>IF($Z22="","",COUNTIFS($H$4:$H$217,$Z22,$B$4:$B$217,$Z$1))</f>
        <v>3</v>
      </c>
      <c r="AB22" s="335">
        <f>IF($Z22="","",SUMIFS($I$4:$I$217,$H$4:$H$217,$Z22,$B$4:$B$217,$Z$1))</f>
        <v>590002.77</v>
      </c>
      <c r="AC22" s="335">
        <f>IF($Z22="","",$AB22-ROW()/1000000)</f>
        <v>590002.76997799997</v>
      </c>
      <c r="AD22" s="335">
        <f>IFERROR(RANK($AC22,$AC$4:$AC$217),"")</f>
        <v>2</v>
      </c>
      <c r="AE22" s="335"/>
      <c r="AF22" s="335" t="str">
        <f>$B22</f>
        <v>R11</v>
      </c>
      <c r="AG22" s="335" t="str">
        <f>$C22&amp;"."&amp;TEXT($D22,"0000")</f>
        <v>049.2024.0032</v>
      </c>
      <c r="AH22" s="335">
        <f>IF($B22="",-1,IF(OR($Z$1="?*",$B22=$Z$1),$I22,-1))</f>
        <v>-1</v>
      </c>
      <c r="AI22" s="335" t="str">
        <f>IF($AH22&lt;0,"",$AH22-ROW()/1000000)</f>
        <v/>
      </c>
      <c r="AJ22" s="335" t="str">
        <f>IFERROR(RANK($AI22,$AI$4:$AI$217),"")</f>
        <v/>
      </c>
    </row>
    <row r="23" spans="2:36" x14ac:dyDescent="0.3">
      <c r="B23" s="335" t="str">
        <f>IF(OR('REGIÃO 11 - RESUMO'!E23="",'REGIÃO 11 - RESUMO'!E23=0),"",'REGIÃO 11 - RESUMO'!C23)</f>
        <v>R11</v>
      </c>
      <c r="C23" s="335" t="str">
        <f>'REGIÃO 11 - RESUMO'!D23</f>
        <v>049.2024</v>
      </c>
      <c r="D23" s="81">
        <f>'REGIÃO 11 - RESUMO'!E23</f>
        <v>33</v>
      </c>
      <c r="E23" s="80" t="str">
        <f>'REGIÃO 11 - RESUMO'!F23</f>
        <v>Maio</v>
      </c>
      <c r="F23" s="82">
        <f>'REGIÃO 11 - RESUMO'!H23</f>
        <v>216</v>
      </c>
      <c r="G23" s="335" t="str">
        <f>'REGIÃO 11 - RESUMO'!I23</f>
        <v>RODOVIA TO-365 - TRECHO RIO TOCANTINS (BALSA) - TREVO DA PRAIA - ENTR. BR-153</v>
      </c>
      <c r="H23" s="80" t="str">
        <f>'REGIÃO 11 - RESUMO'!J23</f>
        <v>Roçada</v>
      </c>
      <c r="I23" s="335">
        <f>'REGIÃO 11 - RESUMO'!K23</f>
        <v>21028</v>
      </c>
      <c r="J23" s="335">
        <f>'REGIÃO 11 - HISTÓRICO'!F23</f>
        <v>20104.998</v>
      </c>
      <c r="K23" s="335">
        <f>'REGIÃO 11 - HISTÓRICO'!G23</f>
        <v>923.00200000000041</v>
      </c>
      <c r="L23" s="335" t="str">
        <f>IF(OR('REGIÃO 11 - RESUMO'!L23="",'REGIÃO 11 - RESUMO'!L23=0),"",'REGIÃO 11 - RESUMO'!L23)</f>
        <v>Concluída</v>
      </c>
      <c r="M23" s="335">
        <f>'REGIÃO 11 - HISTÓRICO'!J23</f>
        <v>0</v>
      </c>
      <c r="N23" s="335">
        <f>'REGIÃO 11 - HISTÓRICO'!L23</f>
        <v>0</v>
      </c>
      <c r="O23" s="335">
        <f>'REGIÃO 11 - HISTÓRICO'!N23</f>
        <v>0</v>
      </c>
      <c r="P23" s="335">
        <f>'REGIÃO 11 - HISTÓRICO'!P23</f>
        <v>0</v>
      </c>
      <c r="Q23" s="335">
        <f>'REGIÃO 11 - HISTÓRICO'!R23</f>
        <v>20104.998</v>
      </c>
      <c r="R23" s="335">
        <f>'REGIÃO 11 - HISTÓRICO'!T23</f>
        <v>0</v>
      </c>
      <c r="S23" s="335">
        <f>'REGIÃO 11 - HISTÓRICO'!V23</f>
        <v>0</v>
      </c>
      <c r="T23" s="335">
        <f>'REGIÃO 11 - HISTÓRICO'!X23</f>
        <v>0</v>
      </c>
      <c r="U23" s="335">
        <f>'REGIÃO 11 - HISTÓRICO'!Z23</f>
        <v>0</v>
      </c>
      <c r="V23" s="335">
        <f>'REGIÃO 11 - HISTÓRICO'!AB23</f>
        <v>0</v>
      </c>
      <c r="W23" s="335">
        <f>'REGIÃO 11 - HISTÓRICO'!AD23</f>
        <v>0</v>
      </c>
      <c r="X23" s="335">
        <f>'REGIÃO 11 - HISTÓRICO'!AF23</f>
        <v>0</v>
      </c>
      <c r="Y23" s="335"/>
      <c r="Z23" s="335" t="str">
        <v>Serviços em pontes de madeira sem reaproveitamento</v>
      </c>
      <c r="AA23" s="335">
        <f>IF($Z23="","",COUNTIFS($H$4:$H$217,$Z23,$B$4:$B$217,$Z$1))</f>
        <v>1</v>
      </c>
      <c r="AB23" s="335">
        <f>IF($Z23="","",SUMIFS($I$4:$I$217,$H$4:$H$217,$Z23,$B$4:$B$217,$Z$1))</f>
        <v>44770.43</v>
      </c>
      <c r="AC23" s="335">
        <f>IF($Z23="","",$AB23-ROW()/1000000)</f>
        <v>44770.429977</v>
      </c>
      <c r="AD23" s="335">
        <f>IFERROR(RANK($AC23,$AC$4:$AC$217),"")</f>
        <v>12</v>
      </c>
      <c r="AE23" s="335"/>
      <c r="AF23" s="335" t="str">
        <f>$B23</f>
        <v>R11</v>
      </c>
      <c r="AG23" s="335" t="str">
        <f>$C23&amp;"."&amp;TEXT($D23,"0000")</f>
        <v>049.2024.0033</v>
      </c>
      <c r="AH23" s="335">
        <f>IF($B23="",-1,IF(OR($Z$1="?*",$B23=$Z$1),$I23,-1))</f>
        <v>-1</v>
      </c>
      <c r="AI23" s="335" t="str">
        <f>IF($AH23&lt;0,"",$AH23-ROW()/1000000)</f>
        <v/>
      </c>
      <c r="AJ23" s="335" t="str">
        <f>IFERROR(RANK($AI23,$AI$4:$AI$217),"")</f>
        <v/>
      </c>
    </row>
    <row r="24" spans="2:36" x14ac:dyDescent="0.3">
      <c r="B24" s="335" t="str">
        <f>IF(OR('REGIÃO 11 - RESUMO'!E24="",'REGIÃO 11 - RESUMO'!E24=0),"",'REGIÃO 11 - RESUMO'!C24)</f>
        <v>R11</v>
      </c>
      <c r="C24" s="335" t="str">
        <f>'REGIÃO 11 - RESUMO'!D24</f>
        <v>049.2024</v>
      </c>
      <c r="D24" s="81">
        <f>'REGIÃO 11 - RESUMO'!E24</f>
        <v>34</v>
      </c>
      <c r="E24" s="80" t="str">
        <f>'REGIÃO 11 - RESUMO'!F24</f>
        <v>Junho</v>
      </c>
      <c r="F24" s="82">
        <f>'REGIÃO 11 - RESUMO'!H24</f>
        <v>208</v>
      </c>
      <c r="G24" s="335" t="str">
        <f>'REGIÃO 11 - RESUMO'!I24</f>
        <v>RODOVIA TO-181 - TRECHO ENTR. TO-481 (CAPAO DO COCO) - FAZENDA COBRAPE</v>
      </c>
      <c r="H24" s="80" t="str">
        <f>'REGIÃO 11 - RESUMO'!J24</f>
        <v>Terraplenagem / Reconformação da plataforma / Recomposição do revestimento primário</v>
      </c>
      <c r="I24" s="335">
        <f>'REGIÃO 11 - RESUMO'!K24</f>
        <v>592238.52</v>
      </c>
      <c r="J24" s="335">
        <f>'REGIÃO 11 - HISTÓRICO'!F24</f>
        <v>592227.24</v>
      </c>
      <c r="K24" s="335">
        <f>'REGIÃO 11 - HISTÓRICO'!G24</f>
        <v>11.28000000002794</v>
      </c>
      <c r="L24" s="335" t="str">
        <f>IF(OR('REGIÃO 11 - RESUMO'!L24="",'REGIÃO 11 - RESUMO'!L24=0),"",'REGIÃO 11 - RESUMO'!L24)</f>
        <v>Concluída</v>
      </c>
      <c r="M24" s="335">
        <f>'REGIÃO 11 - HISTÓRICO'!J24</f>
        <v>0</v>
      </c>
      <c r="N24" s="335">
        <f>'REGIÃO 11 - HISTÓRICO'!L24</f>
        <v>0</v>
      </c>
      <c r="O24" s="335">
        <f>'REGIÃO 11 - HISTÓRICO'!N24</f>
        <v>0</v>
      </c>
      <c r="P24" s="335">
        <f>'REGIÃO 11 - HISTÓRICO'!P24</f>
        <v>0</v>
      </c>
      <c r="Q24" s="335">
        <f>'REGIÃO 11 - HISTÓRICO'!R24</f>
        <v>0</v>
      </c>
      <c r="R24" s="335">
        <f>'REGIÃO 11 - HISTÓRICO'!T24</f>
        <v>476116.19</v>
      </c>
      <c r="S24" s="335">
        <f>'REGIÃO 11 - HISTÓRICO'!V24</f>
        <v>116111.05</v>
      </c>
      <c r="T24" s="335">
        <f>'REGIÃO 11 - HISTÓRICO'!X24</f>
        <v>0</v>
      </c>
      <c r="U24" s="335">
        <f>'REGIÃO 11 - HISTÓRICO'!Z24</f>
        <v>0</v>
      </c>
      <c r="V24" s="335">
        <f>'REGIÃO 11 - HISTÓRICO'!AB24</f>
        <v>0</v>
      </c>
      <c r="W24" s="335">
        <f>'REGIÃO 11 - HISTÓRICO'!AD24</f>
        <v>0</v>
      </c>
      <c r="X24" s="335">
        <f>'REGIÃO 11 - HISTÓRICO'!AF24</f>
        <v>0</v>
      </c>
      <c r="Y24" s="335"/>
      <c r="Z24" s="335" t="str">
        <v>SERVIÇOS MANUTENÇÃO</v>
      </c>
      <c r="AA24" s="335">
        <f>IF($Z24="","",COUNTIFS($H$4:$H$217,$Z24,$B$4:$B$217,$Z$1))</f>
        <v>1</v>
      </c>
      <c r="AB24" s="335">
        <f>IF($Z24="","",SUMIFS($I$4:$I$217,$H$4:$H$217,$Z24,$B$4:$B$217,$Z$1))</f>
        <v>0</v>
      </c>
      <c r="AC24" s="335">
        <f>IF($Z24="","",$AB24-ROW()/1000000)</f>
        <v>-2.4000000000000001E-5</v>
      </c>
      <c r="AD24" s="335">
        <f>IFERROR(RANK($AC24,$AC$4:$AC$217),"")</f>
        <v>26</v>
      </c>
      <c r="AE24" s="335"/>
      <c r="AF24" s="335" t="str">
        <f>$B24</f>
        <v>R11</v>
      </c>
      <c r="AG24" s="335" t="str">
        <f>$C24&amp;"."&amp;TEXT($D24,"0000")</f>
        <v>049.2024.0034</v>
      </c>
      <c r="AH24" s="335">
        <f>IF($B24="",-1,IF(OR($Z$1="?*",$B24=$Z$1),$I24,-1))</f>
        <v>-1</v>
      </c>
      <c r="AI24" s="335" t="str">
        <f>IF($AH24&lt;0,"",$AH24-ROW()/1000000)</f>
        <v/>
      </c>
      <c r="AJ24" s="335" t="str">
        <f>IFERROR(RANK($AI24,$AI$4:$AI$217),"")</f>
        <v/>
      </c>
    </row>
    <row r="25" spans="2:36" x14ac:dyDescent="0.3">
      <c r="B25" s="335" t="str">
        <f>IF(OR('REGIÃO 11 - RESUMO'!E25="",'REGIÃO 11 - RESUMO'!E25=0),"",'REGIÃO 11 - RESUMO'!C25)</f>
        <v>R11</v>
      </c>
      <c r="C25" s="335" t="str">
        <f>'REGIÃO 11 - RESUMO'!D25</f>
        <v>049.2024</v>
      </c>
      <c r="D25" s="81">
        <f>'REGIÃO 11 - RESUMO'!E25</f>
        <v>35</v>
      </c>
      <c r="E25" s="80" t="str">
        <f>'REGIÃO 11 - RESUMO'!F25</f>
        <v>Junho</v>
      </c>
      <c r="F25" s="82">
        <f>'REGIÃO 11 - RESUMO'!H25</f>
        <v>210</v>
      </c>
      <c r="G25" s="335" t="str">
        <f>'REGIÃO 11 - RESUMO'!I25</f>
        <v>RODOVIA TO-181 - TRECHO ENTR. BR-242 - FUNDAÇÃO BRADESCO</v>
      </c>
      <c r="H25" s="80" t="str">
        <f>'REGIÃO 11 - RESUMO'!J25</f>
        <v>Tapa-Buraco CAE</v>
      </c>
      <c r="I25" s="335">
        <f>'REGIÃO 11 - RESUMO'!K25</f>
        <v>34721.019999999997</v>
      </c>
      <c r="J25" s="335">
        <f>'REGIÃO 11 - HISTÓRICO'!F25</f>
        <v>16320.18</v>
      </c>
      <c r="K25" s="335">
        <f>'REGIÃO 11 - HISTÓRICO'!G25</f>
        <v>18400.839999999997</v>
      </c>
      <c r="L25" s="335" t="str">
        <f>IF(OR('REGIÃO 11 - RESUMO'!L25="",'REGIÃO 11 - RESUMO'!L25=0),"",'REGIÃO 11 - RESUMO'!L25)</f>
        <v>Concluída</v>
      </c>
      <c r="M25" s="335">
        <f>'REGIÃO 11 - HISTÓRICO'!J25</f>
        <v>0</v>
      </c>
      <c r="N25" s="335">
        <f>'REGIÃO 11 - HISTÓRICO'!L25</f>
        <v>0</v>
      </c>
      <c r="O25" s="335">
        <f>'REGIÃO 11 - HISTÓRICO'!N25</f>
        <v>0</v>
      </c>
      <c r="P25" s="335">
        <f>'REGIÃO 11 - HISTÓRICO'!P25</f>
        <v>0</v>
      </c>
      <c r="Q25" s="335">
        <f>'REGIÃO 11 - HISTÓRICO'!R25</f>
        <v>0</v>
      </c>
      <c r="R25" s="335">
        <f>'REGIÃO 11 - HISTÓRICO'!T25</f>
        <v>16320.18</v>
      </c>
      <c r="S25" s="335">
        <f>'REGIÃO 11 - HISTÓRICO'!V25</f>
        <v>0</v>
      </c>
      <c r="T25" s="335">
        <f>'REGIÃO 11 - HISTÓRICO'!X25</f>
        <v>0</v>
      </c>
      <c r="U25" s="335">
        <f>'REGIÃO 11 - HISTÓRICO'!Z25</f>
        <v>0</v>
      </c>
      <c r="V25" s="335">
        <f>'REGIÃO 11 - HISTÓRICO'!AB25</f>
        <v>0</v>
      </c>
      <c r="W25" s="335">
        <f>'REGIÃO 11 - HISTÓRICO'!AD25</f>
        <v>0</v>
      </c>
      <c r="X25" s="335">
        <f>'REGIÃO 11 - HISTÓRICO'!AF25</f>
        <v>0</v>
      </c>
      <c r="Y25" s="335"/>
      <c r="Z25" s="335" t="str">
        <v>SERVIÇOS RESTAURAÇÃO</v>
      </c>
      <c r="AA25" s="335">
        <f>IF($Z25="","",COUNTIFS($H$4:$H$217,$Z25,$B$4:$B$217,$Z$1))</f>
        <v>0</v>
      </c>
      <c r="AB25" s="335">
        <f>IF($Z25="","",SUMIFS($I$4:$I$217,$H$4:$H$217,$Z25,$B$4:$B$217,$Z$1))</f>
        <v>0</v>
      </c>
      <c r="AC25" s="335">
        <f>IF($Z25="","",$AB25-ROW()/1000000)</f>
        <v>-2.5000000000000001E-5</v>
      </c>
      <c r="AD25" s="335">
        <f>IFERROR(RANK($AC25,$AC$4:$AC$217),"")</f>
        <v>27</v>
      </c>
      <c r="AE25" s="335"/>
      <c r="AF25" s="335" t="str">
        <f>$B25</f>
        <v>R11</v>
      </c>
      <c r="AG25" s="335" t="str">
        <f>$C25&amp;"."&amp;TEXT($D25,"0000")</f>
        <v>049.2024.0035</v>
      </c>
      <c r="AH25" s="335">
        <f>IF($B25="",-1,IF(OR($Z$1="?*",$B25=$Z$1),$I25,-1))</f>
        <v>-1</v>
      </c>
      <c r="AI25" s="335" t="str">
        <f>IF($AH25&lt;0,"",$AH25-ROW()/1000000)</f>
        <v/>
      </c>
      <c r="AJ25" s="335" t="str">
        <f>IFERROR(RANK($AI25,$AI$4:$AI$217),"")</f>
        <v/>
      </c>
    </row>
    <row r="26" spans="2:36" x14ac:dyDescent="0.3">
      <c r="B26" s="335" t="str">
        <f>IF(OR('REGIÃO 11 - RESUMO'!E26="",'REGIÃO 11 - RESUMO'!E26=0),"",'REGIÃO 11 - RESUMO'!C26)</f>
        <v>R11</v>
      </c>
      <c r="C26" s="335" t="str">
        <f>'REGIÃO 11 - RESUMO'!D26</f>
        <v>049.2024</v>
      </c>
      <c r="D26" s="81">
        <f>'REGIÃO 11 - RESUMO'!E26</f>
        <v>36</v>
      </c>
      <c r="E26" s="80" t="str">
        <f>'REGIÃO 11 - RESUMO'!F26</f>
        <v>Agosto</v>
      </c>
      <c r="F26" s="82">
        <f>'REGIÃO 11 - RESUMO'!H26</f>
        <v>202</v>
      </c>
      <c r="G26" s="335" t="str">
        <f>'REGIÃO 11 - RESUMO'!I26</f>
        <v>RODOVIA TO-070 - TRECHO SANDOLÂNDIA - FORMOSO DO ARAGUAIA</v>
      </c>
      <c r="H26" s="80" t="str">
        <f>'REGIÃO 11 - RESUMO'!J26</f>
        <v>Roçada</v>
      </c>
      <c r="I26" s="335">
        <f>'REGIÃO 11 - RESUMO'!K26</f>
        <v>52055.37</v>
      </c>
      <c r="J26" s="335">
        <f>'REGIÃO 11 - HISTÓRICO'!F26</f>
        <v>50366.92</v>
      </c>
      <c r="K26" s="335">
        <f>'REGIÃO 11 - HISTÓRICO'!G26</f>
        <v>1688.4500000000044</v>
      </c>
      <c r="L26" s="335" t="str">
        <f>IF(OR('REGIÃO 11 - RESUMO'!L26="",'REGIÃO 11 - RESUMO'!L26=0),"",'REGIÃO 11 - RESUMO'!L26)</f>
        <v>Concluída</v>
      </c>
      <c r="M26" s="335">
        <f>'REGIÃO 11 - HISTÓRICO'!J26</f>
        <v>0</v>
      </c>
      <c r="N26" s="335">
        <f>'REGIÃO 11 - HISTÓRICO'!L26</f>
        <v>0</v>
      </c>
      <c r="O26" s="335">
        <f>'REGIÃO 11 - HISTÓRICO'!N26</f>
        <v>0</v>
      </c>
      <c r="P26" s="335">
        <f>'REGIÃO 11 - HISTÓRICO'!P26</f>
        <v>0</v>
      </c>
      <c r="Q26" s="335">
        <f>'REGIÃO 11 - HISTÓRICO'!R26</f>
        <v>0</v>
      </c>
      <c r="R26" s="335">
        <f>'REGIÃO 11 - HISTÓRICO'!T26</f>
        <v>0</v>
      </c>
      <c r="S26" s="335">
        <f>'REGIÃO 11 - HISTÓRICO'!V26</f>
        <v>0</v>
      </c>
      <c r="T26" s="335">
        <f>'REGIÃO 11 - HISTÓRICO'!X26</f>
        <v>50366.92</v>
      </c>
      <c r="U26" s="335">
        <f>'REGIÃO 11 - HISTÓRICO'!Z26</f>
        <v>0</v>
      </c>
      <c r="V26" s="335">
        <f>'REGIÃO 11 - HISTÓRICO'!AB26</f>
        <v>0</v>
      </c>
      <c r="W26" s="335">
        <f>'REGIÃO 11 - HISTÓRICO'!AD26</f>
        <v>0</v>
      </c>
      <c r="X26" s="335">
        <f>'REGIÃO 11 - HISTÓRICO'!AF26</f>
        <v>0</v>
      </c>
      <c r="Y26" s="335"/>
      <c r="Z26" s="335" t="str">
        <v>Tapa-Buraco CAE</v>
      </c>
      <c r="AA26" s="335">
        <f>IF($Z26="","",COUNTIFS($H$4:$H$217,$Z26,$B$4:$B$217,$Z$1))</f>
        <v>3</v>
      </c>
      <c r="AB26" s="335">
        <f>IF($Z26="","",SUMIFS($I$4:$I$217,$H$4:$H$217,$Z26,$B$4:$B$217,$Z$1))</f>
        <v>343391.27</v>
      </c>
      <c r="AC26" s="335">
        <f>IF($Z26="","",$AB26-ROW()/1000000)</f>
        <v>343391.269974</v>
      </c>
      <c r="AD26" s="335">
        <f>IFERROR(RANK($AC26,$AC$4:$AC$217),"")</f>
        <v>6</v>
      </c>
      <c r="AE26" s="335"/>
      <c r="AF26" s="335" t="str">
        <f>$B26</f>
        <v>R11</v>
      </c>
      <c r="AG26" s="335" t="str">
        <f>$C26&amp;"."&amp;TEXT($D26,"0000")</f>
        <v>049.2024.0036</v>
      </c>
      <c r="AH26" s="335">
        <f>IF($B26="",-1,IF(OR($Z$1="?*",$B26=$Z$1),$I26,-1))</f>
        <v>-1</v>
      </c>
      <c r="AI26" s="335" t="str">
        <f>IF($AH26&lt;0,"",$AH26-ROW()/1000000)</f>
        <v/>
      </c>
      <c r="AJ26" s="335" t="str">
        <f>IFERROR(RANK($AI26,$AI$4:$AI$217),"")</f>
        <v/>
      </c>
    </row>
    <row r="27" spans="2:36" x14ac:dyDescent="0.3">
      <c r="B27" s="335" t="str">
        <f>IF(OR('REGIÃO 11 - RESUMO'!E27="",'REGIÃO 11 - RESUMO'!E27=0),"",'REGIÃO 11 - RESUMO'!C27)</f>
        <v>R11</v>
      </c>
      <c r="C27" s="335" t="str">
        <f>'REGIÃO 11 - RESUMO'!D27</f>
        <v>049.2024</v>
      </c>
      <c r="D27" s="81">
        <f>'REGIÃO 11 - RESUMO'!E27</f>
        <v>37</v>
      </c>
      <c r="E27" s="80" t="str">
        <f>'REGIÃO 11 - RESUMO'!F27</f>
        <v>Agosto</v>
      </c>
      <c r="F27" s="82">
        <f>'REGIÃO 11 - RESUMO'!H27</f>
        <v>212</v>
      </c>
      <c r="G27" s="335" t="str">
        <f>'REGIÃO 11 - RESUMO'!I27</f>
        <v>RODOVIA TO-181 - TRECHO ARAGUAÇU - SANDOLÂNDIA</v>
      </c>
      <c r="H27" s="80" t="str">
        <f>'REGIÃO 11 - RESUMO'!J27</f>
        <v>Roçada</v>
      </c>
      <c r="I27" s="335">
        <f>'REGIÃO 11 - RESUMO'!K27</f>
        <v>25053.71</v>
      </c>
      <c r="J27" s="335">
        <f>'REGIÃO 11 - HISTÓRICO'!F27</f>
        <v>20601.919999999998</v>
      </c>
      <c r="K27" s="335">
        <f>'REGIÃO 11 - HISTÓRICO'!G27</f>
        <v>4451.7900000000009</v>
      </c>
      <c r="L27" s="335" t="str">
        <f>IF(OR('REGIÃO 11 - RESUMO'!L27="",'REGIÃO 11 - RESUMO'!L27=0),"",'REGIÃO 11 - RESUMO'!L27)</f>
        <v>Concluída</v>
      </c>
      <c r="M27" s="335">
        <f>'REGIÃO 11 - HISTÓRICO'!J27</f>
        <v>0</v>
      </c>
      <c r="N27" s="335">
        <f>'REGIÃO 11 - HISTÓRICO'!L27</f>
        <v>0</v>
      </c>
      <c r="O27" s="335">
        <f>'REGIÃO 11 - HISTÓRICO'!N27</f>
        <v>0</v>
      </c>
      <c r="P27" s="335">
        <f>'REGIÃO 11 - HISTÓRICO'!P27</f>
        <v>0</v>
      </c>
      <c r="Q27" s="335">
        <f>'REGIÃO 11 - HISTÓRICO'!R27</f>
        <v>0</v>
      </c>
      <c r="R27" s="335">
        <f>'REGIÃO 11 - HISTÓRICO'!T27</f>
        <v>0</v>
      </c>
      <c r="S27" s="335">
        <f>'REGIÃO 11 - HISTÓRICO'!V27</f>
        <v>0</v>
      </c>
      <c r="T27" s="335">
        <f>'REGIÃO 11 - HISTÓRICO'!X27</f>
        <v>20601.919999999998</v>
      </c>
      <c r="U27" s="335">
        <f>'REGIÃO 11 - HISTÓRICO'!Z27</f>
        <v>0</v>
      </c>
      <c r="V27" s="335">
        <f>'REGIÃO 11 - HISTÓRICO'!AB27</f>
        <v>0</v>
      </c>
      <c r="W27" s="335">
        <f>'REGIÃO 11 - HISTÓRICO'!AD27</f>
        <v>0</v>
      </c>
      <c r="X27" s="335">
        <f>'REGIÃO 11 - HISTÓRICO'!AF27</f>
        <v>0</v>
      </c>
      <c r="Y27" s="335"/>
      <c r="Z27" s="335" t="str">
        <v>Tapa-Buraco CAE / Execução de Contenção</v>
      </c>
      <c r="AA27" s="335">
        <f>IF($Z27="","",COUNTIFS($H$4:$H$217,$Z27,$B$4:$B$217,$Z$1))</f>
        <v>1</v>
      </c>
      <c r="AB27" s="335">
        <f>IF($Z27="","",SUMIFS($I$4:$I$217,$H$4:$H$217,$Z27,$B$4:$B$217,$Z$1))</f>
        <v>205865.44</v>
      </c>
      <c r="AC27" s="335">
        <f>IF($Z27="","",$AB27-ROW()/1000000)</f>
        <v>205865.439973</v>
      </c>
      <c r="AD27" s="335">
        <f>IFERROR(RANK($AC27,$AC$4:$AC$217),"")</f>
        <v>11</v>
      </c>
      <c r="AE27" s="335"/>
      <c r="AF27" s="335" t="str">
        <f>$B27</f>
        <v>R11</v>
      </c>
      <c r="AG27" s="335" t="str">
        <f>$C27&amp;"."&amp;TEXT($D27,"0000")</f>
        <v>049.2024.0037</v>
      </c>
      <c r="AH27" s="335">
        <f>IF($B27="",-1,IF(OR($Z$1="?*",$B27=$Z$1),$I27,-1))</f>
        <v>-1</v>
      </c>
      <c r="AI27" s="335" t="str">
        <f>IF($AH27&lt;0,"",$AH27-ROW()/1000000)</f>
        <v/>
      </c>
      <c r="AJ27" s="335" t="str">
        <f>IFERROR(RANK($AI27,$AI$4:$AI$217),"")</f>
        <v/>
      </c>
    </row>
    <row r="28" spans="2:36" x14ac:dyDescent="0.3">
      <c r="B28" s="335" t="str">
        <f>IF(OR('REGIÃO 11 - RESUMO'!E28="",'REGIÃO 11 - RESUMO'!E28=0),"",'REGIÃO 11 - RESUMO'!C28)</f>
        <v>R11</v>
      </c>
      <c r="C28" s="335" t="str">
        <f>'REGIÃO 11 - RESUMO'!D28</f>
        <v>049.2024</v>
      </c>
      <c r="D28" s="81">
        <f>'REGIÃO 11 - RESUMO'!E28</f>
        <v>38</v>
      </c>
      <c r="E28" s="80" t="str">
        <f>'REGIÃO 11 - RESUMO'!F28</f>
        <v>Agosto</v>
      </c>
      <c r="F28" s="82">
        <f>'REGIÃO 11 - RESUMO'!H28</f>
        <v>218</v>
      </c>
      <c r="G28" s="335" t="str">
        <f>'REGIÃO 11 - RESUMO'!I28</f>
        <v>RODOVIA TO-373 - TRECHO ALVORADA - ARAGUAÇU - DIVISA TO-GO</v>
      </c>
      <c r="H28" s="80" t="str">
        <f>'REGIÃO 11 - RESUMO'!J28</f>
        <v>Roçada</v>
      </c>
      <c r="I28" s="335">
        <f>'REGIÃO 11 - RESUMO'!K28</f>
        <v>54614.53</v>
      </c>
      <c r="J28" s="335">
        <f>'REGIÃO 11 - HISTÓRICO'!F28</f>
        <v>0</v>
      </c>
      <c r="K28" s="335">
        <f>'REGIÃO 11 - HISTÓRICO'!G28</f>
        <v>54614.53</v>
      </c>
      <c r="L28" s="335" t="str">
        <f>IF(OR('REGIÃO 11 - RESUMO'!L28="",'REGIÃO 11 - RESUMO'!L28=0),"",'REGIÃO 11 - RESUMO'!L28)</f>
        <v>Cancelada</v>
      </c>
      <c r="M28" s="335">
        <f>'REGIÃO 11 - HISTÓRICO'!J28</f>
        <v>0</v>
      </c>
      <c r="N28" s="335">
        <f>'REGIÃO 11 - HISTÓRICO'!L28</f>
        <v>0</v>
      </c>
      <c r="O28" s="335">
        <f>'REGIÃO 11 - HISTÓRICO'!N28</f>
        <v>0</v>
      </c>
      <c r="P28" s="335">
        <f>'REGIÃO 11 - HISTÓRICO'!P28</f>
        <v>0</v>
      </c>
      <c r="Q28" s="335">
        <f>'REGIÃO 11 - HISTÓRICO'!R28</f>
        <v>0</v>
      </c>
      <c r="R28" s="335">
        <f>'REGIÃO 11 - HISTÓRICO'!T28</f>
        <v>0</v>
      </c>
      <c r="S28" s="335">
        <f>'REGIÃO 11 - HISTÓRICO'!V28</f>
        <v>0</v>
      </c>
      <c r="T28" s="335">
        <f>'REGIÃO 11 - HISTÓRICO'!X28</f>
        <v>0</v>
      </c>
      <c r="U28" s="335">
        <f>'REGIÃO 11 - HISTÓRICO'!Z28</f>
        <v>0</v>
      </c>
      <c r="V28" s="335">
        <f>'REGIÃO 11 - HISTÓRICO'!AB28</f>
        <v>0</v>
      </c>
      <c r="W28" s="335">
        <f>'REGIÃO 11 - HISTÓRICO'!AD28</f>
        <v>0</v>
      </c>
      <c r="X28" s="335">
        <f>'REGIÃO 11 - HISTÓRICO'!AF28</f>
        <v>0</v>
      </c>
      <c r="Y28" s="335"/>
      <c r="Z28" s="335" t="str">
        <v>Tapa-Buraco CAE / Remendo Profundo</v>
      </c>
      <c r="AA28" s="335">
        <f>IF($Z28="","",COUNTIFS($H$4:$H$217,$Z28,$B$4:$B$217,$Z$1))</f>
        <v>2</v>
      </c>
      <c r="AB28" s="335">
        <f>IF($Z28="","",SUMIFS($I$4:$I$217,$H$4:$H$217,$Z28,$B$4:$B$217,$Z$1))</f>
        <v>322053.46000000002</v>
      </c>
      <c r="AC28" s="335">
        <f>IF($Z28="","",$AB28-ROW()/1000000)</f>
        <v>322053.45997200004</v>
      </c>
      <c r="AD28" s="335">
        <f>IFERROR(RANK($AC28,$AC$4:$AC$217),"")</f>
        <v>7</v>
      </c>
      <c r="AE28" s="335"/>
      <c r="AF28" s="335" t="str">
        <f>$B28</f>
        <v>R11</v>
      </c>
      <c r="AG28" s="335" t="str">
        <f>$C28&amp;"."&amp;TEXT($D28,"0000")</f>
        <v>049.2024.0038</v>
      </c>
      <c r="AH28" s="335">
        <f>IF($B28="",-1,IF(OR($Z$1="?*",$B28=$Z$1),$I28,-1))</f>
        <v>-1</v>
      </c>
      <c r="AI28" s="335" t="str">
        <f>IF($AH28&lt;0,"",$AH28-ROW()/1000000)</f>
        <v/>
      </c>
      <c r="AJ28" s="335" t="str">
        <f>IFERROR(RANK($AI28,$AI$4:$AI$217),"")</f>
        <v/>
      </c>
    </row>
    <row r="29" spans="2:36" x14ac:dyDescent="0.3">
      <c r="B29" s="335" t="str">
        <f>IF(OR('REGIÃO 11 - RESUMO'!E29="",'REGIÃO 11 - RESUMO'!E29=0),"",'REGIÃO 11 - RESUMO'!C29)</f>
        <v>R11</v>
      </c>
      <c r="C29" s="335" t="str">
        <f>'REGIÃO 11 - RESUMO'!D29</f>
        <v>049.2024</v>
      </c>
      <c r="D29" s="81">
        <f>'REGIÃO 11 - RESUMO'!E29</f>
        <v>39</v>
      </c>
      <c r="E29" s="80" t="str">
        <f>'REGIÃO 11 - RESUMO'!F29</f>
        <v>Julho</v>
      </c>
      <c r="F29" s="82">
        <f>'REGIÃO 11 - RESUMO'!H29</f>
        <v>204</v>
      </c>
      <c r="G29" s="335" t="str">
        <f>'REGIÃO 11 - RESUMO'!I29</f>
        <v>RODOVIA TO-070 - TRECHO ALIANÇA DO TOCANTINS - BREJINHO DE NAZARÉ</v>
      </c>
      <c r="H29" s="80" t="str">
        <f>'REGIÃO 11 - RESUMO'!J29</f>
        <v>Roçada / Tapa-Buraco PMF</v>
      </c>
      <c r="I29" s="335">
        <f>'REGIÃO 11 - RESUMO'!K29</f>
        <v>49869.41</v>
      </c>
      <c r="J29" s="335">
        <f>'REGIÃO 11 - HISTÓRICO'!F29</f>
        <v>29732.89</v>
      </c>
      <c r="K29" s="335">
        <f>'REGIÃO 11 - HISTÓRICO'!G29</f>
        <v>20136.520000000004</v>
      </c>
      <c r="L29" s="335" t="str">
        <f>IF(OR('REGIÃO 11 - RESUMO'!L29="",'REGIÃO 11 - RESUMO'!L29=0),"",'REGIÃO 11 - RESUMO'!L29)</f>
        <v>Justificada</v>
      </c>
      <c r="M29" s="335">
        <f>'REGIÃO 11 - HISTÓRICO'!J29</f>
        <v>0</v>
      </c>
      <c r="N29" s="335">
        <f>'REGIÃO 11 - HISTÓRICO'!L29</f>
        <v>0</v>
      </c>
      <c r="O29" s="335">
        <f>'REGIÃO 11 - HISTÓRICO'!N29</f>
        <v>0</v>
      </c>
      <c r="P29" s="335">
        <f>'REGIÃO 11 - HISTÓRICO'!P29</f>
        <v>0</v>
      </c>
      <c r="Q29" s="335">
        <f>'REGIÃO 11 - HISTÓRICO'!R29</f>
        <v>0</v>
      </c>
      <c r="R29" s="335">
        <f>'REGIÃO 11 - HISTÓRICO'!T29</f>
        <v>0</v>
      </c>
      <c r="S29" s="335">
        <f>'REGIÃO 11 - HISTÓRICO'!V29</f>
        <v>29732.89</v>
      </c>
      <c r="T29" s="335">
        <f>'REGIÃO 11 - HISTÓRICO'!X29</f>
        <v>0</v>
      </c>
      <c r="U29" s="335">
        <f>'REGIÃO 11 - HISTÓRICO'!Z29</f>
        <v>0</v>
      </c>
      <c r="V29" s="335">
        <f>'REGIÃO 11 - HISTÓRICO'!AB29</f>
        <v>0</v>
      </c>
      <c r="W29" s="335">
        <f>'REGIÃO 11 - HISTÓRICO'!AD29</f>
        <v>0</v>
      </c>
      <c r="X29" s="335">
        <f>'REGIÃO 11 - HISTÓRICO'!AF29</f>
        <v>0</v>
      </c>
      <c r="Y29" s="335"/>
      <c r="Z29" s="335" t="str">
        <v>Tapa-Buraco CAE / Reparo EDS / Remendo Profundo / Enrocamento de pedra arrumada</v>
      </c>
      <c r="AA29" s="335">
        <f>IF($Z29="","",COUNTIFS($H$4:$H$217,$Z29,$B$4:$B$217,$Z$1))</f>
        <v>0</v>
      </c>
      <c r="AB29" s="335">
        <f>IF($Z29="","",SUMIFS($I$4:$I$217,$H$4:$H$217,$Z29,$B$4:$B$217,$Z$1))</f>
        <v>0</v>
      </c>
      <c r="AC29" s="335">
        <f>IF($Z29="","",$AB29-ROW()/1000000)</f>
        <v>-2.9E-5</v>
      </c>
      <c r="AD29" s="335">
        <f>IFERROR(RANK($AC29,$AC$4:$AC$217),"")</f>
        <v>28</v>
      </c>
      <c r="AE29" s="335"/>
      <c r="AF29" s="335" t="str">
        <f>$B29</f>
        <v>R11</v>
      </c>
      <c r="AG29" s="335" t="str">
        <f>$C29&amp;"."&amp;TEXT($D29,"0000")</f>
        <v>049.2024.0039</v>
      </c>
      <c r="AH29" s="335">
        <f>IF($B29="",-1,IF(OR($Z$1="?*",$B29=$Z$1),$I29,-1))</f>
        <v>-1</v>
      </c>
      <c r="AI29" s="335" t="str">
        <f>IF($AH29&lt;0,"",$AH29-ROW()/1000000)</f>
        <v/>
      </c>
      <c r="AJ29" s="335" t="str">
        <f>IFERROR(RANK($AI29,$AI$4:$AI$217),"")</f>
        <v/>
      </c>
    </row>
    <row r="30" spans="2:36" x14ac:dyDescent="0.3">
      <c r="B30" s="335" t="str">
        <f>IF(OR('REGIÃO 11 - RESUMO'!E30="",'REGIÃO 11 - RESUMO'!E30=0),"",'REGIÃO 11 - RESUMO'!C30)</f>
        <v>R11</v>
      </c>
      <c r="C30" s="335" t="str">
        <f>'REGIÃO 11 - RESUMO'!D30</f>
        <v>049.2024</v>
      </c>
      <c r="D30" s="81">
        <f>'REGIÃO 11 - RESUMO'!E30</f>
        <v>40</v>
      </c>
      <c r="E30" s="80" t="str">
        <f>'REGIÃO 11 - RESUMO'!F30</f>
        <v>Outubro</v>
      </c>
      <c r="F30" s="82">
        <f>'REGIÃO 11 - RESUMO'!H30</f>
        <v>204</v>
      </c>
      <c r="G30" s="335" t="str">
        <f>'REGIÃO 11 - RESUMO'!I30</f>
        <v>RODOVIA TO-070 - TRECHO ALIANÇA DO TOCANTINS - BREJINHO DE NAZARÉ</v>
      </c>
      <c r="H30" s="80" t="str">
        <f>'REGIÃO 11 - RESUMO'!J30</f>
        <v>Caiação de EDS e pontes</v>
      </c>
      <c r="I30" s="335">
        <f>'REGIÃO 11 - RESUMO'!K30</f>
        <v>2026.6</v>
      </c>
      <c r="J30" s="335">
        <f>'REGIÃO 11 - HISTÓRICO'!F30</f>
        <v>0</v>
      </c>
      <c r="K30" s="335">
        <f>'REGIÃO 11 - HISTÓRICO'!G30</f>
        <v>2026.6</v>
      </c>
      <c r="L30" s="335" t="str">
        <f>IF(OR('REGIÃO 11 - RESUMO'!L30="",'REGIÃO 11 - RESUMO'!L30=0),"",'REGIÃO 11 - RESUMO'!L30)</f>
        <v>Em elaboração</v>
      </c>
      <c r="M30" s="335">
        <f>'REGIÃO 11 - HISTÓRICO'!J30</f>
        <v>0</v>
      </c>
      <c r="N30" s="335">
        <f>'REGIÃO 11 - HISTÓRICO'!L30</f>
        <v>0</v>
      </c>
      <c r="O30" s="335">
        <f>'REGIÃO 11 - HISTÓRICO'!N30</f>
        <v>0</v>
      </c>
      <c r="P30" s="335">
        <f>'REGIÃO 11 - HISTÓRICO'!P30</f>
        <v>0</v>
      </c>
      <c r="Q30" s="335">
        <f>'REGIÃO 11 - HISTÓRICO'!R30</f>
        <v>0</v>
      </c>
      <c r="R30" s="335">
        <f>'REGIÃO 11 - HISTÓRICO'!T30</f>
        <v>0</v>
      </c>
      <c r="S30" s="335">
        <f>'REGIÃO 11 - HISTÓRICO'!V30</f>
        <v>0</v>
      </c>
      <c r="T30" s="335">
        <f>'REGIÃO 11 - HISTÓRICO'!X30</f>
        <v>0</v>
      </c>
      <c r="U30" s="335">
        <f>'REGIÃO 11 - HISTÓRICO'!Z30</f>
        <v>0</v>
      </c>
      <c r="V30" s="335">
        <f>'REGIÃO 11 - HISTÓRICO'!AB30</f>
        <v>0</v>
      </c>
      <c r="W30" s="335">
        <f>'REGIÃO 11 - HISTÓRICO'!AD30</f>
        <v>0</v>
      </c>
      <c r="X30" s="335">
        <f>'REGIÃO 11 - HISTÓRICO'!AF30</f>
        <v>0</v>
      </c>
      <c r="Y30" s="335"/>
      <c r="Z30" s="335" t="str">
        <v>Tapa-Buraco PMF</v>
      </c>
      <c r="AA30" s="335">
        <f>IF($Z30="","",COUNTIFS($H$4:$H$217,$Z30,$B$4:$B$217,$Z$1))</f>
        <v>4</v>
      </c>
      <c r="AB30" s="335">
        <f>IF($Z30="","",SUMIFS($I$4:$I$217,$H$4:$H$217,$Z30,$B$4:$B$217,$Z$1))</f>
        <v>460405.57499999995</v>
      </c>
      <c r="AC30" s="335">
        <f>IF($Z30="","",$AB30-ROW()/1000000)</f>
        <v>460405.57496999996</v>
      </c>
      <c r="AD30" s="335">
        <f>IFERROR(RANK($AC30,$AC$4:$AC$217),"")</f>
        <v>4</v>
      </c>
      <c r="AE30" s="335"/>
      <c r="AF30" s="335" t="str">
        <f>$B30</f>
        <v>R11</v>
      </c>
      <c r="AG30" s="335" t="str">
        <f>$C30&amp;"."&amp;TEXT($D30,"0000")</f>
        <v>049.2024.0040</v>
      </c>
      <c r="AH30" s="335">
        <f>IF($B30="",-1,IF(OR($Z$1="?*",$B30=$Z$1),$I30,-1))</f>
        <v>-1</v>
      </c>
      <c r="AI30" s="335" t="str">
        <f>IF($AH30&lt;0,"",$AH30-ROW()/1000000)</f>
        <v/>
      </c>
      <c r="AJ30" s="335" t="str">
        <f>IFERROR(RANK($AI30,$AI$4:$AI$217),"")</f>
        <v/>
      </c>
    </row>
    <row r="31" spans="2:36" x14ac:dyDescent="0.3">
      <c r="B31" s="335" t="str">
        <f>IF(OR('REGIÃO 11 - RESUMO'!E31="",'REGIÃO 11 - RESUMO'!E31=0),"",'REGIÃO 11 - RESUMO'!C31)</f>
        <v>R11</v>
      </c>
      <c r="C31" s="335" t="str">
        <f>'REGIÃO 11 - RESUMO'!D31</f>
        <v>049.2024</v>
      </c>
      <c r="D31" s="81">
        <f>'REGIÃO 11 - RESUMO'!E31</f>
        <v>41</v>
      </c>
      <c r="E31" s="80" t="str">
        <f>'REGIÃO 11 - RESUMO'!F31</f>
        <v>Agosto</v>
      </c>
      <c r="F31" s="82">
        <f>'REGIÃO 11 - RESUMO'!H31</f>
        <v>220</v>
      </c>
      <c r="G31" s="335" t="str">
        <f>'REGIÃO 11 - RESUMO'!I31</f>
        <v xml:space="preserve">RODOVIA TO-460 - TRECHO BR-242 (VILA QUIXABA) - SUCUPIRA </v>
      </c>
      <c r="H31" s="80" t="str">
        <f>'REGIÃO 11 - RESUMO'!J31</f>
        <v>Roçada</v>
      </c>
      <c r="I31" s="335">
        <f>'REGIÃO 11 - RESUMO'!K31</f>
        <v>7327.54</v>
      </c>
      <c r="J31" s="335">
        <f>'REGIÃO 11 - HISTÓRICO'!F31</f>
        <v>6044.78</v>
      </c>
      <c r="K31" s="335">
        <f>'REGIÃO 11 - HISTÓRICO'!G31</f>
        <v>1282.7600000000002</v>
      </c>
      <c r="L31" s="335" t="str">
        <f>IF(OR('REGIÃO 11 - RESUMO'!L31="",'REGIÃO 11 - RESUMO'!L31=0),"",'REGIÃO 11 - RESUMO'!L31)</f>
        <v>Concluída</v>
      </c>
      <c r="M31" s="335">
        <f>'REGIÃO 11 - HISTÓRICO'!J31</f>
        <v>0</v>
      </c>
      <c r="N31" s="335">
        <f>'REGIÃO 11 - HISTÓRICO'!L31</f>
        <v>0</v>
      </c>
      <c r="O31" s="335">
        <f>'REGIÃO 11 - HISTÓRICO'!N31</f>
        <v>0</v>
      </c>
      <c r="P31" s="335">
        <f>'REGIÃO 11 - HISTÓRICO'!P31</f>
        <v>0</v>
      </c>
      <c r="Q31" s="335">
        <f>'REGIÃO 11 - HISTÓRICO'!R31</f>
        <v>0</v>
      </c>
      <c r="R31" s="335">
        <f>'REGIÃO 11 - HISTÓRICO'!T31</f>
        <v>0</v>
      </c>
      <c r="S31" s="335">
        <f>'REGIÃO 11 - HISTÓRICO'!V31</f>
        <v>0</v>
      </c>
      <c r="T31" s="335">
        <f>'REGIÃO 11 - HISTÓRICO'!X31</f>
        <v>6044.78</v>
      </c>
      <c r="U31" s="335">
        <f>'REGIÃO 11 - HISTÓRICO'!Z31</f>
        <v>0</v>
      </c>
      <c r="V31" s="335">
        <f>'REGIÃO 11 - HISTÓRICO'!AB31</f>
        <v>0</v>
      </c>
      <c r="W31" s="335">
        <f>'REGIÃO 11 - HISTÓRICO'!AD31</f>
        <v>0</v>
      </c>
      <c r="X31" s="335">
        <f>'REGIÃO 11 - HISTÓRICO'!AF31</f>
        <v>0</v>
      </c>
      <c r="Y31" s="335"/>
      <c r="Z31" s="335" t="str">
        <v>Tapa-Buraco PMF / Recomposição manual de aterro / Enrocamento de pedra arrumada / Reparo EDS</v>
      </c>
      <c r="AA31" s="335">
        <f>IF($Z31="","",COUNTIFS($H$4:$H$217,$Z31,$B$4:$B$217,$Z$1))</f>
        <v>0</v>
      </c>
      <c r="AB31" s="335">
        <f>IF($Z31="","",SUMIFS($I$4:$I$217,$H$4:$H$217,$Z31,$B$4:$B$217,$Z$1))</f>
        <v>0</v>
      </c>
      <c r="AC31" s="335">
        <f>IF($Z31="","",$AB31-ROW()/1000000)</f>
        <v>-3.1000000000000001E-5</v>
      </c>
      <c r="AD31" s="335">
        <f>IFERROR(RANK($AC31,$AC$4:$AC$217),"")</f>
        <v>29</v>
      </c>
      <c r="AE31" s="335"/>
      <c r="AF31" s="335" t="str">
        <f>$B31</f>
        <v>R11</v>
      </c>
      <c r="AG31" s="335" t="str">
        <f>$C31&amp;"."&amp;TEXT($D31,"0000")</f>
        <v>049.2024.0041</v>
      </c>
      <c r="AH31" s="335">
        <f>IF($B31="",-1,IF(OR($Z$1="?*",$B31=$Z$1),$I31,-1))</f>
        <v>-1</v>
      </c>
      <c r="AI31" s="335" t="str">
        <f>IF($AH31&lt;0,"",$AH31-ROW()/1000000)</f>
        <v/>
      </c>
      <c r="AJ31" s="335" t="str">
        <f>IFERROR(RANK($AI31,$AI$4:$AI$217),"")</f>
        <v/>
      </c>
    </row>
    <row r="32" spans="2:36" x14ac:dyDescent="0.3">
      <c r="B32" s="335" t="str">
        <f>IF(OR('REGIÃO 11 - RESUMO'!E32="",'REGIÃO 11 - RESUMO'!E32=0),"",'REGIÃO 11 - RESUMO'!C32)</f>
        <v>R11</v>
      </c>
      <c r="C32" s="335" t="str">
        <f>'REGIÃO 11 - RESUMO'!D32</f>
        <v>049.2024</v>
      </c>
      <c r="D32" s="81">
        <f>'REGIÃO 11 - RESUMO'!E32</f>
        <v>42</v>
      </c>
      <c r="E32" s="80" t="str">
        <f>'REGIÃO 11 - RESUMO'!F32</f>
        <v>Agosto</v>
      </c>
      <c r="F32" s="82">
        <f>'REGIÃO 11 - RESUMO'!H32</f>
        <v>214</v>
      </c>
      <c r="G32" s="335" t="str">
        <f>'REGIÃO 11 - RESUMO'!I32</f>
        <v>RODOVIA TO-362 - TRECHO SANTA RITA DO TOCANTINS - BREJINHO DE NAZARÉ</v>
      </c>
      <c r="H32" s="80" t="str">
        <f>'REGIÃO 11 - RESUMO'!J32</f>
        <v>Reconformação da plataforma</v>
      </c>
      <c r="I32" s="335">
        <f>'REGIÃO 11 - RESUMO'!K32</f>
        <v>48592.65</v>
      </c>
      <c r="J32" s="335">
        <f>'REGIÃO 11 - HISTÓRICO'!F32</f>
        <v>0</v>
      </c>
      <c r="K32" s="335">
        <f>'REGIÃO 11 - HISTÓRICO'!G32</f>
        <v>48592.65</v>
      </c>
      <c r="L32" s="335" t="str">
        <f>IF(OR('REGIÃO 11 - RESUMO'!L32="",'REGIÃO 11 - RESUMO'!L32=0),"",'REGIÃO 11 - RESUMO'!L32)</f>
        <v>Justificada</v>
      </c>
      <c r="M32" s="335">
        <f>'REGIÃO 11 - HISTÓRICO'!J32</f>
        <v>0</v>
      </c>
      <c r="N32" s="335">
        <f>'REGIÃO 11 - HISTÓRICO'!L32</f>
        <v>0</v>
      </c>
      <c r="O32" s="335">
        <f>'REGIÃO 11 - HISTÓRICO'!N32</f>
        <v>0</v>
      </c>
      <c r="P32" s="335">
        <f>'REGIÃO 11 - HISTÓRICO'!P32</f>
        <v>0</v>
      </c>
      <c r="Q32" s="335">
        <f>'REGIÃO 11 - HISTÓRICO'!R32</f>
        <v>0</v>
      </c>
      <c r="R32" s="335">
        <f>'REGIÃO 11 - HISTÓRICO'!T32</f>
        <v>0</v>
      </c>
      <c r="S32" s="335">
        <f>'REGIÃO 11 - HISTÓRICO'!V32</f>
        <v>0</v>
      </c>
      <c r="T32" s="335">
        <f>'REGIÃO 11 - HISTÓRICO'!X32</f>
        <v>0</v>
      </c>
      <c r="U32" s="335">
        <f>'REGIÃO 11 - HISTÓRICO'!Z32</f>
        <v>0</v>
      </c>
      <c r="V32" s="335">
        <f>'REGIÃO 11 - HISTÓRICO'!AB32</f>
        <v>0</v>
      </c>
      <c r="W32" s="335">
        <f>'REGIÃO 11 - HISTÓRICO'!AD32</f>
        <v>0</v>
      </c>
      <c r="X32" s="335">
        <f>'REGIÃO 11 - HISTÓRICO'!AF32</f>
        <v>0</v>
      </c>
      <c r="Y32" s="335"/>
      <c r="Z32" s="335" t="str">
        <v>Tapa-Buraco PMF / Recomposição manual de aterro / Enrocamento de pedra jogada / Reparo EDS / Caiação de EDS e pontes</v>
      </c>
      <c r="AA32" s="335">
        <f>IF($Z32="","",COUNTIFS($H$4:$H$217,$Z32,$B$4:$B$217,$Z$1))</f>
        <v>0</v>
      </c>
      <c r="AB32" s="335">
        <f>IF($Z32="","",SUMIFS($I$4:$I$217,$H$4:$H$217,$Z32,$B$4:$B$217,$Z$1))</f>
        <v>0</v>
      </c>
      <c r="AC32" s="335">
        <f>IF($Z32="","",$AB32-ROW()/1000000)</f>
        <v>-3.1999999999999999E-5</v>
      </c>
      <c r="AD32" s="335">
        <f>IFERROR(RANK($AC32,$AC$4:$AC$217),"")</f>
        <v>30</v>
      </c>
      <c r="AE32" s="335"/>
      <c r="AF32" s="335" t="str">
        <f>$B32</f>
        <v>R11</v>
      </c>
      <c r="AG32" s="335" t="str">
        <f>$C32&amp;"."&amp;TEXT($D32,"0000")</f>
        <v>049.2024.0042</v>
      </c>
      <c r="AH32" s="335">
        <f>IF($B32="",-1,IF(OR($Z$1="?*",$B32=$Z$1),$I32,-1))</f>
        <v>-1</v>
      </c>
      <c r="AI32" s="335" t="str">
        <f>IF($AH32&lt;0,"",$AH32-ROW()/1000000)</f>
        <v/>
      </c>
      <c r="AJ32" s="335" t="str">
        <f>IFERROR(RANK($AI32,$AI$4:$AI$217),"")</f>
        <v/>
      </c>
    </row>
    <row r="33" spans="2:36" x14ac:dyDescent="0.3">
      <c r="B33" s="335" t="str">
        <f>IF(OR('REGIÃO 11 - RESUMO'!E33="",'REGIÃO 11 - RESUMO'!E33=0),"",'REGIÃO 11 - RESUMO'!C33)</f>
        <v>R11</v>
      </c>
      <c r="C33" s="335" t="str">
        <f>'REGIÃO 11 - RESUMO'!D33</f>
        <v>049.2024</v>
      </c>
      <c r="D33" s="81">
        <f>'REGIÃO 11 - RESUMO'!E33</f>
        <v>43</v>
      </c>
      <c r="E33" s="80" t="str">
        <f>'REGIÃO 11 - RESUMO'!F33</f>
        <v>Setembro</v>
      </c>
      <c r="F33" s="82">
        <f>'REGIÃO 11 - RESUMO'!H33</f>
        <v>215</v>
      </c>
      <c r="G33" s="335" t="str">
        <f>'REGIÃO 11 - RESUMO'!I33</f>
        <v>RODOVIA TO-362 - TRECHO BREJINHO DE NAZARÉ - ENTR. TO-365 (ACESSO BALSA)</v>
      </c>
      <c r="H33" s="80" t="str">
        <f>'REGIÃO 11 - RESUMO'!J33</f>
        <v>Reconformação da plataforma</v>
      </c>
      <c r="I33" s="335">
        <f>'REGIÃO 11 - RESUMO'!K33</f>
        <v>39048.17</v>
      </c>
      <c r="J33" s="335">
        <f>'REGIÃO 11 - HISTÓRICO'!F33</f>
        <v>0</v>
      </c>
      <c r="K33" s="335">
        <f>'REGIÃO 11 - HISTÓRICO'!G33</f>
        <v>39048.17</v>
      </c>
      <c r="L33" s="335" t="str">
        <f>IF(OR('REGIÃO 11 - RESUMO'!L33="",'REGIÃO 11 - RESUMO'!L33=0),"",'REGIÃO 11 - RESUMO'!L33)</f>
        <v>Em elaboração</v>
      </c>
      <c r="M33" s="335">
        <f>'REGIÃO 11 - HISTÓRICO'!J33</f>
        <v>0</v>
      </c>
      <c r="N33" s="335">
        <f>'REGIÃO 11 - HISTÓRICO'!L33</f>
        <v>0</v>
      </c>
      <c r="O33" s="335">
        <f>'REGIÃO 11 - HISTÓRICO'!N33</f>
        <v>0</v>
      </c>
      <c r="P33" s="335">
        <f>'REGIÃO 11 - HISTÓRICO'!P33</f>
        <v>0</v>
      </c>
      <c r="Q33" s="335">
        <f>'REGIÃO 11 - HISTÓRICO'!R33</f>
        <v>0</v>
      </c>
      <c r="R33" s="335">
        <f>'REGIÃO 11 - HISTÓRICO'!T33</f>
        <v>0</v>
      </c>
      <c r="S33" s="335">
        <f>'REGIÃO 11 - HISTÓRICO'!V33</f>
        <v>0</v>
      </c>
      <c r="T33" s="335">
        <f>'REGIÃO 11 - HISTÓRICO'!X33</f>
        <v>0</v>
      </c>
      <c r="U33" s="335">
        <f>'REGIÃO 11 - HISTÓRICO'!Z33</f>
        <v>0</v>
      </c>
      <c r="V33" s="335">
        <f>'REGIÃO 11 - HISTÓRICO'!AB33</f>
        <v>0</v>
      </c>
      <c r="W33" s="335">
        <f>'REGIÃO 11 - HISTÓRICO'!AD33</f>
        <v>0</v>
      </c>
      <c r="X33" s="335">
        <f>'REGIÃO 11 - HISTÓRICO'!AF33</f>
        <v>0</v>
      </c>
      <c r="Y33" s="335"/>
      <c r="Z33" s="335" t="str">
        <v>Tapa-Buraco PMF / Remendo Profundo</v>
      </c>
      <c r="AA33" s="335">
        <f>IF($Z33="","",COUNTIFS($H$4:$H$217,$Z33,$B$4:$B$217,$Z$1))</f>
        <v>0</v>
      </c>
      <c r="AB33" s="335">
        <f>IF($Z33="","",SUMIFS($I$4:$I$217,$H$4:$H$217,$Z33,$B$4:$B$217,$Z$1))</f>
        <v>0</v>
      </c>
      <c r="AC33" s="335">
        <f>IF($Z33="","",$AB33-ROW()/1000000)</f>
        <v>-3.3000000000000003E-5</v>
      </c>
      <c r="AD33" s="335">
        <f>IFERROR(RANK($AC33,$AC$4:$AC$217),"")</f>
        <v>31</v>
      </c>
      <c r="AE33" s="335"/>
      <c r="AF33" s="335" t="str">
        <f>$B33</f>
        <v>R11</v>
      </c>
      <c r="AG33" s="335" t="str">
        <f>$C33&amp;"."&amp;TEXT($D33,"0000")</f>
        <v>049.2024.0043</v>
      </c>
      <c r="AH33" s="335">
        <f>IF($B33="",-1,IF(OR($Z$1="?*",$B33=$Z$1),$I33,-1))</f>
        <v>-1</v>
      </c>
      <c r="AI33" s="335" t="str">
        <f>IF($AH33&lt;0,"",$AH33-ROW()/1000000)</f>
        <v/>
      </c>
      <c r="AJ33" s="335" t="str">
        <f>IFERROR(RANK($AI33,$AI$4:$AI$217),"")</f>
        <v/>
      </c>
    </row>
    <row r="34" spans="2:36" x14ac:dyDescent="0.3">
      <c r="B34" s="335" t="str">
        <f>IF(OR('REGIÃO 11 - RESUMO'!E34="",'REGIÃO 11 - RESUMO'!E34=0),"",'REGIÃO 11 - RESUMO'!C34)</f>
        <v>R11</v>
      </c>
      <c r="C34" s="335" t="str">
        <f>'REGIÃO 11 - RESUMO'!D34</f>
        <v>049.2024</v>
      </c>
      <c r="D34" s="81">
        <f>'REGIÃO 11 - RESUMO'!E34</f>
        <v>44</v>
      </c>
      <c r="E34" s="80" t="str">
        <f>'REGIÃO 11 - RESUMO'!F34</f>
        <v>Setembro</v>
      </c>
      <c r="F34" s="82">
        <f>'REGIÃO 11 - RESUMO'!H34</f>
        <v>216</v>
      </c>
      <c r="G34" s="335" t="str">
        <f>'REGIÃO 11 - RESUMO'!I34</f>
        <v>RODOVIA TO-365 - TRECHO RIO TOCANTINS (BALSA) - TREVO DA PRAIA - ENTR. BR-153</v>
      </c>
      <c r="H34" s="80" t="str">
        <f>'REGIÃO 11 - RESUMO'!J34</f>
        <v>Reconformação da plataforma</v>
      </c>
      <c r="I34" s="335">
        <f>'REGIÃO 11 - RESUMO'!K34</f>
        <v>36149.230000000003</v>
      </c>
      <c r="J34" s="335">
        <f>'REGIÃO 11 - HISTÓRICO'!F34</f>
        <v>0</v>
      </c>
      <c r="K34" s="335">
        <f>'REGIÃO 11 - HISTÓRICO'!G34</f>
        <v>36149.230000000003</v>
      </c>
      <c r="L34" s="335" t="str">
        <f>IF(OR('REGIÃO 11 - RESUMO'!L34="",'REGIÃO 11 - RESUMO'!L34=0),"",'REGIÃO 11 - RESUMO'!L34)</f>
        <v>Em elaboração</v>
      </c>
      <c r="M34" s="335">
        <f>'REGIÃO 11 - HISTÓRICO'!J34</f>
        <v>0</v>
      </c>
      <c r="N34" s="335">
        <f>'REGIÃO 11 - HISTÓRICO'!L34</f>
        <v>0</v>
      </c>
      <c r="O34" s="335">
        <f>'REGIÃO 11 - HISTÓRICO'!N34</f>
        <v>0</v>
      </c>
      <c r="P34" s="335">
        <f>'REGIÃO 11 - HISTÓRICO'!P34</f>
        <v>0</v>
      </c>
      <c r="Q34" s="335">
        <f>'REGIÃO 11 - HISTÓRICO'!R34</f>
        <v>0</v>
      </c>
      <c r="R34" s="335">
        <f>'REGIÃO 11 - HISTÓRICO'!T34</f>
        <v>0</v>
      </c>
      <c r="S34" s="335">
        <f>'REGIÃO 11 - HISTÓRICO'!V34</f>
        <v>0</v>
      </c>
      <c r="T34" s="335">
        <f>'REGIÃO 11 - HISTÓRICO'!X34</f>
        <v>0</v>
      </c>
      <c r="U34" s="335">
        <f>'REGIÃO 11 - HISTÓRICO'!Z34</f>
        <v>0</v>
      </c>
      <c r="V34" s="335">
        <f>'REGIÃO 11 - HISTÓRICO'!AB34</f>
        <v>0</v>
      </c>
      <c r="W34" s="335">
        <f>'REGIÃO 11 - HISTÓRICO'!AD34</f>
        <v>0</v>
      </c>
      <c r="X34" s="335">
        <f>'REGIÃO 11 - HISTÓRICO'!AF34</f>
        <v>0</v>
      </c>
      <c r="Y34" s="335"/>
      <c r="Z34" s="335" t="str">
        <v>Terraplenagem / Execução de BSTC 100 / Recomposição do revestimento primário</v>
      </c>
      <c r="AA34" s="335">
        <f>IF($Z34="","",COUNTIFS($H$4:$H$217,$Z34,$B$4:$B$217,$Z$1))</f>
        <v>0</v>
      </c>
      <c r="AB34" s="335">
        <f>IF($Z34="","",SUMIFS($I$4:$I$217,$H$4:$H$217,$Z34,$B$4:$B$217,$Z$1))</f>
        <v>0</v>
      </c>
      <c r="AC34" s="335">
        <f>IF($Z34="","",$AB34-ROW()/1000000)</f>
        <v>-3.4E-5</v>
      </c>
      <c r="AD34" s="335">
        <f>IFERROR(RANK($AC34,$AC$4:$AC$217),"")</f>
        <v>32</v>
      </c>
      <c r="AE34" s="335"/>
      <c r="AF34" s="335" t="str">
        <f>$B34</f>
        <v>R11</v>
      </c>
      <c r="AG34" s="335" t="str">
        <f>$C34&amp;"."&amp;TEXT($D34,"0000")</f>
        <v>049.2024.0044</v>
      </c>
      <c r="AH34" s="335">
        <f>IF($B34="",-1,IF(OR($Z$1="?*",$B34=$Z$1),$I34,-1))</f>
        <v>-1</v>
      </c>
      <c r="AI34" s="335" t="str">
        <f>IF($AH34&lt;0,"",$AH34-ROW()/1000000)</f>
        <v/>
      </c>
      <c r="AJ34" s="335" t="str">
        <f>IFERROR(RANK($AI34,$AI$4:$AI$217),"")</f>
        <v/>
      </c>
    </row>
    <row r="35" spans="2:36" x14ac:dyDescent="0.3">
      <c r="B35" s="335" t="str">
        <f>IF(OR('REGIÃO 11 - RESUMO'!E35="",'REGIÃO 11 - RESUMO'!E35=0),"",'REGIÃO 11 - RESUMO'!C35)</f>
        <v>R11</v>
      </c>
      <c r="C35" s="335" t="str">
        <f>'REGIÃO 11 - RESUMO'!D35</f>
        <v>049.2024</v>
      </c>
      <c r="D35" s="81">
        <f>'REGIÃO 11 - RESUMO'!E35</f>
        <v>45</v>
      </c>
      <c r="E35" s="80" t="str">
        <f>'REGIÃO 11 - RESUMO'!F35</f>
        <v>Agosto</v>
      </c>
      <c r="F35" s="82">
        <f>'REGIÃO 11 - RESUMO'!H35</f>
        <v>221</v>
      </c>
      <c r="G35" s="335" t="str">
        <f>'REGIÃO 11 - RESUMO'!I35</f>
        <v>RODOVIA TO-481 - TRECHO DUERÉ - ENTR. TO-181 (CAPAO DO COCO)</v>
      </c>
      <c r="H35" s="80" t="str">
        <f>'REGIÃO 11 - RESUMO'!J35</f>
        <v>Reconformação da plataforma</v>
      </c>
      <c r="I35" s="335">
        <f>'REGIÃO 11 - RESUMO'!K35</f>
        <v>82686.17</v>
      </c>
      <c r="J35" s="335">
        <f>'REGIÃO 11 - HISTÓRICO'!F35</f>
        <v>82686.17</v>
      </c>
      <c r="K35" s="335">
        <f>'REGIÃO 11 - HISTÓRICO'!G35</f>
        <v>0</v>
      </c>
      <c r="L35" s="335" t="str">
        <f>IF(OR('REGIÃO 11 - RESUMO'!L35="",'REGIÃO 11 - RESUMO'!L35=0),"",'REGIÃO 11 - RESUMO'!L35)</f>
        <v>Concluída</v>
      </c>
      <c r="M35" s="335">
        <f>'REGIÃO 11 - HISTÓRICO'!J35</f>
        <v>0</v>
      </c>
      <c r="N35" s="335">
        <f>'REGIÃO 11 - HISTÓRICO'!L35</f>
        <v>0</v>
      </c>
      <c r="O35" s="335">
        <f>'REGIÃO 11 - HISTÓRICO'!N35</f>
        <v>0</v>
      </c>
      <c r="P35" s="335">
        <f>'REGIÃO 11 - HISTÓRICO'!P35</f>
        <v>0</v>
      </c>
      <c r="Q35" s="335">
        <f>'REGIÃO 11 - HISTÓRICO'!R35</f>
        <v>0</v>
      </c>
      <c r="R35" s="335">
        <f>'REGIÃO 11 - HISTÓRICO'!T35</f>
        <v>0</v>
      </c>
      <c r="S35" s="335">
        <f>'REGIÃO 11 - HISTÓRICO'!V35</f>
        <v>0</v>
      </c>
      <c r="T35" s="335">
        <f>'REGIÃO 11 - HISTÓRICO'!X35</f>
        <v>82686.17</v>
      </c>
      <c r="U35" s="335">
        <f>'REGIÃO 11 - HISTÓRICO'!Z35</f>
        <v>0</v>
      </c>
      <c r="V35" s="335">
        <f>'REGIÃO 11 - HISTÓRICO'!AB35</f>
        <v>0</v>
      </c>
      <c r="W35" s="335">
        <f>'REGIÃO 11 - HISTÓRICO'!AD35</f>
        <v>0</v>
      </c>
      <c r="X35" s="335">
        <f>'REGIÃO 11 - HISTÓRICO'!AF35</f>
        <v>0</v>
      </c>
      <c r="Y35" s="335"/>
      <c r="Z35" s="335" t="str">
        <v>Terraplenagem / Execução de BSTC 100 / Reconformação da plataforma</v>
      </c>
      <c r="AA35" s="335">
        <f>IF($Z35="","",COUNTIFS($H$4:$H$217,$Z35,$B$4:$B$217,$Z$1))</f>
        <v>0</v>
      </c>
      <c r="AB35" s="335">
        <f>IF($Z35="","",SUMIFS($I$4:$I$217,$H$4:$H$217,$Z35,$B$4:$B$217,$Z$1))</f>
        <v>0</v>
      </c>
      <c r="AC35" s="335">
        <f>IF($Z35="","",$AB35-ROW()/1000000)</f>
        <v>-3.4999999999999997E-5</v>
      </c>
      <c r="AD35" s="335">
        <f>IFERROR(RANK($AC35,$AC$4:$AC$217),"")</f>
        <v>33</v>
      </c>
      <c r="AE35" s="335"/>
      <c r="AF35" s="335" t="str">
        <f>$B35</f>
        <v>R11</v>
      </c>
      <c r="AG35" s="335" t="str">
        <f>$C35&amp;"."&amp;TEXT($D35,"0000")</f>
        <v>049.2024.0045</v>
      </c>
      <c r="AH35" s="335">
        <f>IF($B35="",-1,IF(OR($Z$1="?*",$B35=$Z$1),$I35,-1))</f>
        <v>-1</v>
      </c>
      <c r="AI35" s="335" t="str">
        <f>IF($AH35&lt;0,"",$AH35-ROW()/1000000)</f>
        <v/>
      </c>
      <c r="AJ35" s="335" t="str">
        <f>IFERROR(RANK($AI35,$AI$4:$AI$217),"")</f>
        <v/>
      </c>
    </row>
    <row r="36" spans="2:36" x14ac:dyDescent="0.3">
      <c r="B36" s="335" t="str">
        <f>IF(OR('REGIÃO 11 - RESUMO'!E36="",'REGIÃO 11 - RESUMO'!E36=0),"",'REGIÃO 11 - RESUMO'!C36)</f>
        <v>R11</v>
      </c>
      <c r="C36" s="335" t="str">
        <f>'REGIÃO 11 - RESUMO'!D36</f>
        <v>049.2024</v>
      </c>
      <c r="D36" s="81">
        <f>'REGIÃO 11 - RESUMO'!E36</f>
        <v>46</v>
      </c>
      <c r="E36" s="80" t="str">
        <f>'REGIÃO 11 - RESUMO'!F36</f>
        <v>Outubro</v>
      </c>
      <c r="F36" s="82">
        <f>'REGIÃO 11 - RESUMO'!H36</f>
        <v>206</v>
      </c>
      <c r="G36" s="335" t="str">
        <f>'REGIÃO 11 - RESUMO'!I36</f>
        <v>RODOVIA TO-070 - TRECHO FORMOSO DO ARAGUAIA - DUERÉ</v>
      </c>
      <c r="H36" s="80" t="str">
        <f>'REGIÃO 11 - RESUMO'!J36</f>
        <v>Caiação de EDS e pontes</v>
      </c>
      <c r="I36" s="335">
        <f>'REGIÃO 11 - RESUMO'!K36</f>
        <v>2279.6799999999998</v>
      </c>
      <c r="J36" s="335">
        <f>'REGIÃO 11 - HISTÓRICO'!F36</f>
        <v>0</v>
      </c>
      <c r="K36" s="335">
        <f>'REGIÃO 11 - HISTÓRICO'!G36</f>
        <v>2279.6799999999998</v>
      </c>
      <c r="L36" s="335" t="str">
        <f>IF(OR('REGIÃO 11 - RESUMO'!L36="",'REGIÃO 11 - RESUMO'!L36=0),"",'REGIÃO 11 - RESUMO'!L36)</f>
        <v>Em elaboração</v>
      </c>
      <c r="M36" s="335">
        <f>'REGIÃO 11 - HISTÓRICO'!J36</f>
        <v>0</v>
      </c>
      <c r="N36" s="335">
        <f>'REGIÃO 11 - HISTÓRICO'!L36</f>
        <v>0</v>
      </c>
      <c r="O36" s="335">
        <f>'REGIÃO 11 - HISTÓRICO'!N36</f>
        <v>0</v>
      </c>
      <c r="P36" s="335">
        <f>'REGIÃO 11 - HISTÓRICO'!P36</f>
        <v>0</v>
      </c>
      <c r="Q36" s="335">
        <f>'REGIÃO 11 - HISTÓRICO'!R36</f>
        <v>0</v>
      </c>
      <c r="R36" s="335">
        <f>'REGIÃO 11 - HISTÓRICO'!T36</f>
        <v>0</v>
      </c>
      <c r="S36" s="335">
        <f>'REGIÃO 11 - HISTÓRICO'!V36</f>
        <v>0</v>
      </c>
      <c r="T36" s="335">
        <f>'REGIÃO 11 - HISTÓRICO'!X36</f>
        <v>0</v>
      </c>
      <c r="U36" s="335">
        <f>'REGIÃO 11 - HISTÓRICO'!Z36</f>
        <v>0</v>
      </c>
      <c r="V36" s="335">
        <f>'REGIÃO 11 - HISTÓRICO'!AB36</f>
        <v>0</v>
      </c>
      <c r="W36" s="335">
        <f>'REGIÃO 11 - HISTÓRICO'!AD36</f>
        <v>0</v>
      </c>
      <c r="X36" s="335">
        <f>'REGIÃO 11 - HISTÓRICO'!AF36</f>
        <v>0</v>
      </c>
      <c r="Y36" s="335"/>
      <c r="Z36" s="335" t="str">
        <v>Terraplenagem / Reconformação da plataforma / Recomposição do revestimento primário</v>
      </c>
      <c r="AA36" s="335">
        <f>IF($Z36="","",COUNTIFS($H$4:$H$217,$Z36,$B$4:$B$217,$Z$1))</f>
        <v>11</v>
      </c>
      <c r="AB36" s="335">
        <f>IF($Z36="","",SUMIFS($I$4:$I$217,$H$4:$H$217,$Z36,$B$4:$B$217,$Z$1))</f>
        <v>6332107.4800000004</v>
      </c>
      <c r="AC36" s="335">
        <f>IF($Z36="","",$AB36-ROW()/1000000)</f>
        <v>6332107.4799640002</v>
      </c>
      <c r="AD36" s="335">
        <f>IFERROR(RANK($AC36,$AC$4:$AC$217),"")</f>
        <v>1</v>
      </c>
      <c r="AE36" s="335"/>
      <c r="AF36" s="335" t="str">
        <f>$B36</f>
        <v>R11</v>
      </c>
      <c r="AG36" s="335" t="str">
        <f>$C36&amp;"."&amp;TEXT($D36,"0000")</f>
        <v>049.2024.0046</v>
      </c>
      <c r="AH36" s="335">
        <f>IF($B36="",-1,IF(OR($Z$1="?*",$B36=$Z$1),$I36,-1))</f>
        <v>-1</v>
      </c>
      <c r="AI36" s="335" t="str">
        <f>IF($AH36&lt;0,"",$AH36-ROW()/1000000)</f>
        <v/>
      </c>
      <c r="AJ36" s="335" t="str">
        <f>IFERROR(RANK($AI36,$AI$4:$AI$217),"")</f>
        <v/>
      </c>
    </row>
    <row r="37" spans="2:36" x14ac:dyDescent="0.3">
      <c r="B37" s="335" t="str">
        <f>IF(OR('REGIÃO 11 - RESUMO'!E37="",'REGIÃO 11 - RESUMO'!E37=0),"",'REGIÃO 11 - RESUMO'!C37)</f>
        <v>R11</v>
      </c>
      <c r="C37" s="335" t="str">
        <f>'REGIÃO 11 - RESUMO'!D37</f>
        <v>049.2024</v>
      </c>
      <c r="D37" s="81">
        <f>'REGIÃO 11 - RESUMO'!E37</f>
        <v>47</v>
      </c>
      <c r="E37" s="80" t="str">
        <f>'REGIÃO 11 - RESUMO'!F37</f>
        <v>Outubro</v>
      </c>
      <c r="F37" s="82">
        <f>'REGIÃO 11 - RESUMO'!H37</f>
        <v>207</v>
      </c>
      <c r="G37" s="335" t="str">
        <f>'REGIÃO 11 - RESUMO'!I37</f>
        <v>RODOVIA TO-181 - TRECHO ENTR. TO-255 - ENTR. TO-481 (CAPAO DO COCO)</v>
      </c>
      <c r="H37" s="80" t="str">
        <f>'REGIÃO 11 - RESUMO'!J37</f>
        <v>SERVIÇOS MANUTENÇÃO</v>
      </c>
      <c r="I37" s="335">
        <f>'REGIÃO 11 - RESUMO'!K37</f>
        <v>78662.67</v>
      </c>
      <c r="J37" s="335">
        <f>'REGIÃO 11 - HISTÓRICO'!F37</f>
        <v>0</v>
      </c>
      <c r="K37" s="335">
        <f>'REGIÃO 11 - HISTÓRICO'!G37</f>
        <v>78662.67</v>
      </c>
      <c r="L37" s="335" t="str">
        <f>IF(OR('REGIÃO 11 - RESUMO'!L37="",'REGIÃO 11 - RESUMO'!L37=0),"",'REGIÃO 11 - RESUMO'!L37)</f>
        <v>Em elaboração</v>
      </c>
      <c r="M37" s="335">
        <f>'REGIÃO 11 - HISTÓRICO'!J37</f>
        <v>0</v>
      </c>
      <c r="N37" s="335">
        <f>'REGIÃO 11 - HISTÓRICO'!L37</f>
        <v>0</v>
      </c>
      <c r="O37" s="335">
        <f>'REGIÃO 11 - HISTÓRICO'!N37</f>
        <v>0</v>
      </c>
      <c r="P37" s="335">
        <f>'REGIÃO 11 - HISTÓRICO'!P37</f>
        <v>0</v>
      </c>
      <c r="Q37" s="335">
        <f>'REGIÃO 11 - HISTÓRICO'!R37</f>
        <v>0</v>
      </c>
      <c r="R37" s="335">
        <f>'REGIÃO 11 - HISTÓRICO'!T37</f>
        <v>0</v>
      </c>
      <c r="S37" s="335">
        <f>'REGIÃO 11 - HISTÓRICO'!V37</f>
        <v>0</v>
      </c>
      <c r="T37" s="335">
        <f>'REGIÃO 11 - HISTÓRICO'!X37</f>
        <v>0</v>
      </c>
      <c r="U37" s="335">
        <f>'REGIÃO 11 - HISTÓRICO'!Z37</f>
        <v>0</v>
      </c>
      <c r="V37" s="335">
        <f>'REGIÃO 11 - HISTÓRICO'!AB37</f>
        <v>0</v>
      </c>
      <c r="W37" s="335">
        <f>'REGIÃO 11 - HISTÓRICO'!AD37</f>
        <v>0</v>
      </c>
      <c r="X37" s="335">
        <f>'REGIÃO 11 - HISTÓRICO'!AF37</f>
        <v>0</v>
      </c>
      <c r="Y37" s="335"/>
      <c r="Z37" s="335"/>
      <c r="AA37" s="335" t="str">
        <f>IF($Z37="","",COUNTIFS($H$4:$H$217,$Z37,$B$4:$B$217,$Z$1))</f>
        <v/>
      </c>
      <c r="AB37" s="335" t="str">
        <f>IF($Z37="","",SUMIFS($I$4:$I$217,$H$4:$H$217,$Z37,$B$4:$B$217,$Z$1))</f>
        <v/>
      </c>
      <c r="AC37" s="335" t="str">
        <f>IF($Z37="","",$AB37-ROW()/1000000)</f>
        <v/>
      </c>
      <c r="AD37" s="335" t="str">
        <f>IFERROR(RANK($AC37,$AC$4:$AC$217),"")</f>
        <v/>
      </c>
      <c r="AE37" s="335"/>
      <c r="AF37" s="335" t="str">
        <f>$B37</f>
        <v>R11</v>
      </c>
      <c r="AG37" s="335" t="str">
        <f>$C37&amp;"."&amp;TEXT($D37,"0000")</f>
        <v>049.2024.0047</v>
      </c>
      <c r="AH37" s="335">
        <f>IF($B37="",-1,IF(OR($Z$1="?*",$B37=$Z$1),$I37,-1))</f>
        <v>-1</v>
      </c>
      <c r="AI37" s="335" t="str">
        <f>IF($AH37&lt;0,"",$AH37-ROW()/1000000)</f>
        <v/>
      </c>
      <c r="AJ37" s="335" t="str">
        <f>IFERROR(RANK($AI37,$AI$4:$AI$217),"")</f>
        <v/>
      </c>
    </row>
    <row r="38" spans="2:36" x14ac:dyDescent="0.3">
      <c r="B38" s="335" t="str">
        <f>IF(OR('REGIÃO 11 - RESUMO'!E38="",'REGIÃO 11 - RESUMO'!E38=0),"",'REGIÃO 11 - RESUMO'!C38)</f>
        <v>R11</v>
      </c>
      <c r="C38" s="335" t="str">
        <f>'REGIÃO 11 - RESUMO'!D38</f>
        <v>049.2024</v>
      </c>
      <c r="D38" s="81">
        <f>'REGIÃO 11 - RESUMO'!E38</f>
        <v>48</v>
      </c>
      <c r="E38" s="80" t="str">
        <f>'REGIÃO 11 - RESUMO'!F38</f>
        <v>Outubro</v>
      </c>
      <c r="F38" s="82">
        <f>'REGIÃO 11 - RESUMO'!H38</f>
        <v>208</v>
      </c>
      <c r="G38" s="335" t="str">
        <f>'REGIÃO 11 - RESUMO'!I38</f>
        <v>RODOVIA TO-181 - TRECHO ENTR. TO-481 (CAPAO DO COCO) - FAZENDA COBRAPE</v>
      </c>
      <c r="H38" s="80" t="str">
        <f>'REGIÃO 11 - RESUMO'!J38</f>
        <v>SERVIÇOS MANUTENÇÃO</v>
      </c>
      <c r="I38" s="335">
        <f>'REGIÃO 11 - RESUMO'!K38</f>
        <v>2814.46</v>
      </c>
      <c r="J38" s="335">
        <f>'REGIÃO 11 - HISTÓRICO'!F38</f>
        <v>0</v>
      </c>
      <c r="K38" s="335">
        <f>'REGIÃO 11 - HISTÓRICO'!G38</f>
        <v>2814.46</v>
      </c>
      <c r="L38" s="335" t="str">
        <f>IF(OR('REGIÃO 11 - RESUMO'!L38="",'REGIÃO 11 - RESUMO'!L38=0),"",'REGIÃO 11 - RESUMO'!L38)</f>
        <v>Em elaboração</v>
      </c>
      <c r="M38" s="335">
        <f>'REGIÃO 11 - HISTÓRICO'!J38</f>
        <v>0</v>
      </c>
      <c r="N38" s="335">
        <f>'REGIÃO 11 - HISTÓRICO'!L38</f>
        <v>0</v>
      </c>
      <c r="O38" s="335">
        <f>'REGIÃO 11 - HISTÓRICO'!N38</f>
        <v>0</v>
      </c>
      <c r="P38" s="335">
        <f>'REGIÃO 11 - HISTÓRICO'!P38</f>
        <v>0</v>
      </c>
      <c r="Q38" s="335">
        <f>'REGIÃO 11 - HISTÓRICO'!R38</f>
        <v>0</v>
      </c>
      <c r="R38" s="335">
        <f>'REGIÃO 11 - HISTÓRICO'!T38</f>
        <v>0</v>
      </c>
      <c r="S38" s="335">
        <f>'REGIÃO 11 - HISTÓRICO'!V38</f>
        <v>0</v>
      </c>
      <c r="T38" s="335">
        <f>'REGIÃO 11 - HISTÓRICO'!X38</f>
        <v>0</v>
      </c>
      <c r="U38" s="335">
        <f>'REGIÃO 11 - HISTÓRICO'!Z38</f>
        <v>0</v>
      </c>
      <c r="V38" s="335">
        <f>'REGIÃO 11 - HISTÓRICO'!AB38</f>
        <v>0</v>
      </c>
      <c r="W38" s="335">
        <f>'REGIÃO 11 - HISTÓRICO'!AD38</f>
        <v>0</v>
      </c>
      <c r="X38" s="335">
        <f>'REGIÃO 11 - HISTÓRICO'!AF38</f>
        <v>0</v>
      </c>
      <c r="Y38" s="335"/>
      <c r="Z38" s="335"/>
      <c r="AA38" s="335" t="str">
        <f>IF($Z38="","",COUNTIFS($H$4:$H$217,$Z38,$B$4:$B$217,$Z$1))</f>
        <v/>
      </c>
      <c r="AB38" s="335" t="str">
        <f>IF($Z38="","",SUMIFS($I$4:$I$217,$H$4:$H$217,$Z38,$B$4:$B$217,$Z$1))</f>
        <v/>
      </c>
      <c r="AC38" s="335" t="str">
        <f>IF($Z38="","",$AB38-ROW()/1000000)</f>
        <v/>
      </c>
      <c r="AD38" s="335" t="str">
        <f>IFERROR(RANK($AC38,$AC$4:$AC$217),"")</f>
        <v/>
      </c>
      <c r="AE38" s="335"/>
      <c r="AF38" s="335" t="str">
        <f>$B38</f>
        <v>R11</v>
      </c>
      <c r="AG38" s="335" t="str">
        <f>$C38&amp;"."&amp;TEXT($D38,"0000")</f>
        <v>049.2024.0048</v>
      </c>
      <c r="AH38" s="335">
        <f>IF($B38="",-1,IF(OR($Z$1="?*",$B38=$Z$1),$I38,-1))</f>
        <v>-1</v>
      </c>
      <c r="AI38" s="335" t="str">
        <f>IF($AH38&lt;0,"",$AH38-ROW()/1000000)</f>
        <v/>
      </c>
      <c r="AJ38" s="335" t="str">
        <f>IFERROR(RANK($AI38,$AI$4:$AI$217),"")</f>
        <v/>
      </c>
    </row>
    <row r="39" spans="2:36" x14ac:dyDescent="0.3">
      <c r="B39" s="335" t="str">
        <f>IF(OR('REGIÃO 11 - RESUMO'!E39="",'REGIÃO 11 - RESUMO'!E39=0),"",'REGIÃO 11 - RESUMO'!C39)</f>
        <v>R11</v>
      </c>
      <c r="C39" s="335" t="str">
        <f>'REGIÃO 11 - RESUMO'!D39</f>
        <v>049.2024</v>
      </c>
      <c r="D39" s="81">
        <f>'REGIÃO 11 - RESUMO'!E39</f>
        <v>49</v>
      </c>
      <c r="E39" s="80" t="str">
        <f>'REGIÃO 11 - RESUMO'!F39</f>
        <v>Outubro</v>
      </c>
      <c r="F39" s="82">
        <f>'REGIÃO 11 - RESUMO'!H39</f>
        <v>210</v>
      </c>
      <c r="G39" s="335" t="str">
        <f>'REGIÃO 11 - RESUMO'!I39</f>
        <v>RODOVIA TO-181 - TRECHO ENTR. BR-242 - FUNDAÇÃO BRADESCO</v>
      </c>
      <c r="H39" s="80" t="str">
        <f>'REGIÃO 11 - RESUMO'!J39</f>
        <v>SERVIÇOS MANUTENÇÃO</v>
      </c>
      <c r="I39" s="335">
        <f>'REGIÃO 11 - RESUMO'!K39</f>
        <v>1154.46</v>
      </c>
      <c r="J39" s="335">
        <f>'REGIÃO 11 - HISTÓRICO'!F39</f>
        <v>0</v>
      </c>
      <c r="K39" s="335">
        <f>'REGIÃO 11 - HISTÓRICO'!G39</f>
        <v>1154.46</v>
      </c>
      <c r="L39" s="335" t="str">
        <f>IF(OR('REGIÃO 11 - RESUMO'!L39="",'REGIÃO 11 - RESUMO'!L39=0),"",'REGIÃO 11 - RESUMO'!L39)</f>
        <v>Em elaboração</v>
      </c>
      <c r="M39" s="335">
        <f>'REGIÃO 11 - HISTÓRICO'!J39</f>
        <v>0</v>
      </c>
      <c r="N39" s="335">
        <f>'REGIÃO 11 - HISTÓRICO'!L39</f>
        <v>0</v>
      </c>
      <c r="O39" s="335">
        <f>'REGIÃO 11 - HISTÓRICO'!N39</f>
        <v>0</v>
      </c>
      <c r="P39" s="335">
        <f>'REGIÃO 11 - HISTÓRICO'!P39</f>
        <v>0</v>
      </c>
      <c r="Q39" s="335">
        <f>'REGIÃO 11 - HISTÓRICO'!R39</f>
        <v>0</v>
      </c>
      <c r="R39" s="335">
        <f>'REGIÃO 11 - HISTÓRICO'!T39</f>
        <v>0</v>
      </c>
      <c r="S39" s="335">
        <f>'REGIÃO 11 - HISTÓRICO'!V39</f>
        <v>0</v>
      </c>
      <c r="T39" s="335">
        <f>'REGIÃO 11 - HISTÓRICO'!X39</f>
        <v>0</v>
      </c>
      <c r="U39" s="335">
        <f>'REGIÃO 11 - HISTÓRICO'!Z39</f>
        <v>0</v>
      </c>
      <c r="V39" s="335">
        <f>'REGIÃO 11 - HISTÓRICO'!AB39</f>
        <v>0</v>
      </c>
      <c r="W39" s="335">
        <f>'REGIÃO 11 - HISTÓRICO'!AD39</f>
        <v>0</v>
      </c>
      <c r="X39" s="335">
        <f>'REGIÃO 11 - HISTÓRICO'!AF39</f>
        <v>0</v>
      </c>
      <c r="Y39" s="335"/>
      <c r="Z39" s="335"/>
      <c r="AA39" s="335" t="str">
        <f>IF($Z39="","",COUNTIFS($H$4:$H$217,$Z39,$B$4:$B$217,$Z$1))</f>
        <v/>
      </c>
      <c r="AB39" s="335" t="str">
        <f>IF($Z39="","",SUMIFS($I$4:$I$217,$H$4:$H$217,$Z39,$B$4:$B$217,$Z$1))</f>
        <v/>
      </c>
      <c r="AC39" s="335" t="str">
        <f>IF($Z39="","",$AB39-ROW()/1000000)</f>
        <v/>
      </c>
      <c r="AD39" s="335" t="str">
        <f>IFERROR(RANK($AC39,$AC$4:$AC$217),"")</f>
        <v/>
      </c>
      <c r="AE39" s="335"/>
      <c r="AF39" s="335" t="str">
        <f>$B39</f>
        <v>R11</v>
      </c>
      <c r="AG39" s="335" t="str">
        <f>$C39&amp;"."&amp;TEXT($D39,"0000")</f>
        <v>049.2024.0049</v>
      </c>
      <c r="AH39" s="335">
        <f>IF($B39="",-1,IF(OR($Z$1="?*",$B39=$Z$1),$I39,-1))</f>
        <v>-1</v>
      </c>
      <c r="AI39" s="335" t="str">
        <f>IF($AH39&lt;0,"",$AH39-ROW()/1000000)</f>
        <v/>
      </c>
      <c r="AJ39" s="335" t="str">
        <f>IFERROR(RANK($AI39,$AI$4:$AI$217),"")</f>
        <v/>
      </c>
    </row>
    <row r="40" spans="2:36" x14ac:dyDescent="0.3">
      <c r="B40" s="335" t="str">
        <f>IF(OR('REGIÃO 11 - RESUMO'!E40="",'REGIÃO 11 - RESUMO'!E40=0),"",'REGIÃO 11 - RESUMO'!C40)</f>
        <v>R11</v>
      </c>
      <c r="C40" s="335" t="str">
        <f>'REGIÃO 11 - RESUMO'!D40</f>
        <v>049.2024</v>
      </c>
      <c r="D40" s="81">
        <f>'REGIÃO 11 - RESUMO'!E40</f>
        <v>50</v>
      </c>
      <c r="E40" s="80" t="str">
        <f>'REGIÃO 11 - RESUMO'!F40</f>
        <v>Outubro</v>
      </c>
      <c r="F40" s="82">
        <f>'REGIÃO 11 - RESUMO'!H40</f>
        <v>213</v>
      </c>
      <c r="G40" s="335" t="str">
        <f>'REGIÃO 11 - RESUMO'!I40</f>
        <v>RODOVIA TO-181 - TRECHO ARAGUAÇU - DIVISA TO-GO</v>
      </c>
      <c r="H40" s="80" t="str">
        <f>'REGIÃO 11 - RESUMO'!J40</f>
        <v>SERVIÇOS MANUTENÇÃO</v>
      </c>
      <c r="I40" s="335">
        <f>'REGIÃO 11 - RESUMO'!K40</f>
        <v>1064.44</v>
      </c>
      <c r="J40" s="335">
        <f>'REGIÃO 11 - HISTÓRICO'!F40</f>
        <v>0</v>
      </c>
      <c r="K40" s="335">
        <f>'REGIÃO 11 - HISTÓRICO'!G40</f>
        <v>1064.44</v>
      </c>
      <c r="L40" s="335" t="str">
        <f>IF(OR('REGIÃO 11 - RESUMO'!L40="",'REGIÃO 11 - RESUMO'!L40=0),"",'REGIÃO 11 - RESUMO'!L40)</f>
        <v>Em elaboração</v>
      </c>
      <c r="M40" s="335">
        <f>'REGIÃO 11 - HISTÓRICO'!J40</f>
        <v>0</v>
      </c>
      <c r="N40" s="335">
        <f>'REGIÃO 11 - HISTÓRICO'!L40</f>
        <v>0</v>
      </c>
      <c r="O40" s="335">
        <f>'REGIÃO 11 - HISTÓRICO'!N40</f>
        <v>0</v>
      </c>
      <c r="P40" s="335">
        <f>'REGIÃO 11 - HISTÓRICO'!P40</f>
        <v>0</v>
      </c>
      <c r="Q40" s="335">
        <f>'REGIÃO 11 - HISTÓRICO'!R40</f>
        <v>0</v>
      </c>
      <c r="R40" s="335">
        <f>'REGIÃO 11 - HISTÓRICO'!T40</f>
        <v>0</v>
      </c>
      <c r="S40" s="335">
        <f>'REGIÃO 11 - HISTÓRICO'!V40</f>
        <v>0</v>
      </c>
      <c r="T40" s="335">
        <f>'REGIÃO 11 - HISTÓRICO'!X40</f>
        <v>0</v>
      </c>
      <c r="U40" s="335">
        <f>'REGIÃO 11 - HISTÓRICO'!Z40</f>
        <v>0</v>
      </c>
      <c r="V40" s="335">
        <f>'REGIÃO 11 - HISTÓRICO'!AB40</f>
        <v>0</v>
      </c>
      <c r="W40" s="335">
        <f>'REGIÃO 11 - HISTÓRICO'!AD40</f>
        <v>0</v>
      </c>
      <c r="X40" s="335">
        <f>'REGIÃO 11 - HISTÓRICO'!AF40</f>
        <v>0</v>
      </c>
      <c r="Y40" s="335"/>
      <c r="Z40" s="335"/>
      <c r="AA40" s="335" t="str">
        <f>IF($Z40="","",COUNTIFS($H$4:$H$217,$Z40,$B$4:$B$217,$Z$1))</f>
        <v/>
      </c>
      <c r="AB40" s="335" t="str">
        <f>IF($Z40="","",SUMIFS($I$4:$I$217,$H$4:$H$217,$Z40,$B$4:$B$217,$Z$1))</f>
        <v/>
      </c>
      <c r="AC40" s="335" t="str">
        <f>IF($Z40="","",$AB40-ROW()/1000000)</f>
        <v/>
      </c>
      <c r="AD40" s="335" t="str">
        <f>IFERROR(RANK($AC40,$AC$4:$AC$217),"")</f>
        <v/>
      </c>
      <c r="AE40" s="335"/>
      <c r="AF40" s="335" t="str">
        <f>$B40</f>
        <v>R11</v>
      </c>
      <c r="AG40" s="335" t="str">
        <f>$C40&amp;"."&amp;TEXT($D40,"0000")</f>
        <v>049.2024.0050</v>
      </c>
      <c r="AH40" s="335">
        <f>IF($B40="",-1,IF(OR($Z$1="?*",$B40=$Z$1),$I40,-1))</f>
        <v>-1</v>
      </c>
      <c r="AI40" s="335" t="str">
        <f>IF($AH40&lt;0,"",$AH40-ROW()/1000000)</f>
        <v/>
      </c>
      <c r="AJ40" s="335" t="str">
        <f>IFERROR(RANK($AI40,$AI$4:$AI$217),"")</f>
        <v/>
      </c>
    </row>
    <row r="41" spans="2:36" x14ac:dyDescent="0.3">
      <c r="B41" s="335" t="str">
        <f>IF(OR('REGIÃO 11 - RESUMO'!E41="",'REGIÃO 11 - RESUMO'!E41=0),"",'REGIÃO 11 - RESUMO'!C41)</f>
        <v>R11</v>
      </c>
      <c r="C41" s="335" t="str">
        <f>'REGIÃO 11 - RESUMO'!D41</f>
        <v>049.2024</v>
      </c>
      <c r="D41" s="81">
        <f>'REGIÃO 11 - RESUMO'!E41</f>
        <v>51</v>
      </c>
      <c r="E41" s="80" t="str">
        <f>'REGIÃO 11 - RESUMO'!F41</f>
        <v>Outubro</v>
      </c>
      <c r="F41" s="82">
        <f>'REGIÃO 11 - RESUMO'!H41</f>
        <v>202</v>
      </c>
      <c r="G41" s="335" t="str">
        <f>'REGIÃO 11 - RESUMO'!I41</f>
        <v>RODOVIA TO-070 - TRECHO SANDOLÂNDIA - FORMOSO DO ARAGUAIA</v>
      </c>
      <c r="H41" s="80" t="str">
        <f>'REGIÃO 11 - RESUMO'!J41</f>
        <v>SERVIÇOS MANUTENÇÃO</v>
      </c>
      <c r="I41" s="335">
        <f>'REGIÃO 11 - RESUMO'!K41</f>
        <v>6823.93</v>
      </c>
      <c r="J41" s="335">
        <f>'REGIÃO 11 - HISTÓRICO'!F41</f>
        <v>0</v>
      </c>
      <c r="K41" s="335">
        <f>'REGIÃO 11 - HISTÓRICO'!G41</f>
        <v>6823.93</v>
      </c>
      <c r="L41" s="335" t="str">
        <f>IF(OR('REGIÃO 11 - RESUMO'!L41="",'REGIÃO 11 - RESUMO'!L41=0),"",'REGIÃO 11 - RESUMO'!L41)</f>
        <v>Em elaboração</v>
      </c>
      <c r="M41" s="335">
        <f>'REGIÃO 11 - HISTÓRICO'!J41</f>
        <v>0</v>
      </c>
      <c r="N41" s="335">
        <f>'REGIÃO 11 - HISTÓRICO'!L41</f>
        <v>0</v>
      </c>
      <c r="O41" s="335">
        <f>'REGIÃO 11 - HISTÓRICO'!N41</f>
        <v>0</v>
      </c>
      <c r="P41" s="335">
        <f>'REGIÃO 11 - HISTÓRICO'!P41</f>
        <v>0</v>
      </c>
      <c r="Q41" s="335">
        <f>'REGIÃO 11 - HISTÓRICO'!R41</f>
        <v>0</v>
      </c>
      <c r="R41" s="335">
        <f>'REGIÃO 11 - HISTÓRICO'!T41</f>
        <v>0</v>
      </c>
      <c r="S41" s="335">
        <f>'REGIÃO 11 - HISTÓRICO'!V41</f>
        <v>0</v>
      </c>
      <c r="T41" s="335">
        <f>'REGIÃO 11 - HISTÓRICO'!X41</f>
        <v>0</v>
      </c>
      <c r="U41" s="335">
        <f>'REGIÃO 11 - HISTÓRICO'!Z41</f>
        <v>0</v>
      </c>
      <c r="V41" s="335">
        <f>'REGIÃO 11 - HISTÓRICO'!AB41</f>
        <v>0</v>
      </c>
      <c r="W41" s="335">
        <f>'REGIÃO 11 - HISTÓRICO'!AD41</f>
        <v>0</v>
      </c>
      <c r="X41" s="335">
        <f>'REGIÃO 11 - HISTÓRICO'!AF41</f>
        <v>0</v>
      </c>
      <c r="Y41" s="335"/>
      <c r="Z41" s="335"/>
      <c r="AA41" s="335" t="str">
        <f>IF($Z41="","",COUNTIFS($H$4:$H$217,$Z41,$B$4:$B$217,$Z$1))</f>
        <v/>
      </c>
      <c r="AB41" s="335" t="str">
        <f>IF($Z41="","",SUMIFS($I$4:$I$217,$H$4:$H$217,$Z41,$B$4:$B$217,$Z$1))</f>
        <v/>
      </c>
      <c r="AC41" s="335" t="str">
        <f>IF($Z41="","",$AB41-ROW()/1000000)</f>
        <v/>
      </c>
      <c r="AD41" s="335" t="str">
        <f>IFERROR(RANK($AC41,$AC$4:$AC$217),"")</f>
        <v/>
      </c>
      <c r="AE41" s="335"/>
      <c r="AF41" s="335" t="str">
        <f>$B41</f>
        <v>R11</v>
      </c>
      <c r="AG41" s="335" t="str">
        <f>$C41&amp;"."&amp;TEXT($D41,"0000")</f>
        <v>049.2024.0051</v>
      </c>
      <c r="AH41" s="335">
        <f>IF($B41="",-1,IF(OR($Z$1="?*",$B41=$Z$1),$I41,-1))</f>
        <v>-1</v>
      </c>
      <c r="AI41" s="335" t="str">
        <f>IF($AH41&lt;0,"",$AH41-ROW()/1000000)</f>
        <v/>
      </c>
      <c r="AJ41" s="335" t="str">
        <f>IFERROR(RANK($AI41,$AI$4:$AI$217),"")</f>
        <v/>
      </c>
    </row>
    <row r="42" spans="2:36" x14ac:dyDescent="0.3">
      <c r="B42" s="335" t="str">
        <f>IF(OR('REGIÃO 11 - RESUMO'!E42="",'REGIÃO 11 - RESUMO'!E42=0),"",'REGIÃO 11 - RESUMO'!C42)</f>
        <v>R11</v>
      </c>
      <c r="C42" s="335" t="str">
        <f>'REGIÃO 11 - RESUMO'!D42</f>
        <v>049.2024</v>
      </c>
      <c r="D42" s="81">
        <f>'REGIÃO 11 - RESUMO'!E42</f>
        <v>52</v>
      </c>
      <c r="E42" s="80" t="str">
        <f>'REGIÃO 11 - RESUMO'!F42</f>
        <v>Setembro</v>
      </c>
      <c r="F42" s="82">
        <f>'REGIÃO 11 - RESUMO'!H42</f>
        <v>212</v>
      </c>
      <c r="G42" s="335" t="str">
        <f>'REGIÃO 11 - RESUMO'!I42</f>
        <v>RODOVIA TO-181 - TRECHO ARAGUAÇU - SANDOLÂNDIA</v>
      </c>
      <c r="H42" s="80" t="str">
        <f>'REGIÃO 11 - RESUMO'!J42</f>
        <v>SERVIÇOS MANUTENÇÃO</v>
      </c>
      <c r="I42" s="335">
        <f>'REGIÃO 11 - RESUMO'!K42</f>
        <v>0</v>
      </c>
      <c r="J42" s="335">
        <f>'REGIÃO 11 - HISTÓRICO'!F42</f>
        <v>0</v>
      </c>
      <c r="K42" s="335">
        <f>'REGIÃO 11 - HISTÓRICO'!G42</f>
        <v>0</v>
      </c>
      <c r="L42" s="335" t="str">
        <f>IF(OR('REGIÃO 11 - RESUMO'!L42="",'REGIÃO 11 - RESUMO'!L42=0),"",'REGIÃO 11 - RESUMO'!L42)</f>
        <v>Em elaboração</v>
      </c>
      <c r="M42" s="335">
        <f>'REGIÃO 11 - HISTÓRICO'!J42</f>
        <v>0</v>
      </c>
      <c r="N42" s="335">
        <f>'REGIÃO 11 - HISTÓRICO'!L42</f>
        <v>0</v>
      </c>
      <c r="O42" s="335">
        <f>'REGIÃO 11 - HISTÓRICO'!N42</f>
        <v>0</v>
      </c>
      <c r="P42" s="335">
        <f>'REGIÃO 11 - HISTÓRICO'!P42</f>
        <v>0</v>
      </c>
      <c r="Q42" s="335">
        <f>'REGIÃO 11 - HISTÓRICO'!R42</f>
        <v>0</v>
      </c>
      <c r="R42" s="335">
        <f>'REGIÃO 11 - HISTÓRICO'!T42</f>
        <v>0</v>
      </c>
      <c r="S42" s="335">
        <f>'REGIÃO 11 - HISTÓRICO'!V42</f>
        <v>0</v>
      </c>
      <c r="T42" s="335">
        <f>'REGIÃO 11 - HISTÓRICO'!X42</f>
        <v>0</v>
      </c>
      <c r="U42" s="335">
        <f>'REGIÃO 11 - HISTÓRICO'!Z42</f>
        <v>0</v>
      </c>
      <c r="V42" s="335">
        <f>'REGIÃO 11 - HISTÓRICO'!AB42</f>
        <v>0</v>
      </c>
      <c r="W42" s="335">
        <f>'REGIÃO 11 - HISTÓRICO'!AD42</f>
        <v>0</v>
      </c>
      <c r="X42" s="335">
        <f>'REGIÃO 11 - HISTÓRICO'!AF42</f>
        <v>0</v>
      </c>
      <c r="Y42" s="335"/>
      <c r="Z42" s="335"/>
      <c r="AA42" s="335" t="str">
        <f>IF($Z42="","",COUNTIFS($H$4:$H$217,$Z42,$B$4:$B$217,$Z$1))</f>
        <v/>
      </c>
      <c r="AB42" s="335" t="str">
        <f>IF($Z42="","",SUMIFS($I$4:$I$217,$H$4:$H$217,$Z42,$B$4:$B$217,$Z$1))</f>
        <v/>
      </c>
      <c r="AC42" s="335" t="str">
        <f>IF($Z42="","",$AB42-ROW()/1000000)</f>
        <v/>
      </c>
      <c r="AD42" s="335" t="str">
        <f>IFERROR(RANK($AC42,$AC$4:$AC$217),"")</f>
        <v/>
      </c>
      <c r="AE42" s="335"/>
      <c r="AF42" s="335" t="str">
        <f>$B42</f>
        <v>R11</v>
      </c>
      <c r="AG42" s="335" t="str">
        <f>$C42&amp;"."&amp;TEXT($D42,"0000")</f>
        <v>049.2024.0052</v>
      </c>
      <c r="AH42" s="335">
        <f>IF($B42="",-1,IF(OR($Z$1="?*",$B42=$Z$1),$I42,-1))</f>
        <v>-1</v>
      </c>
      <c r="AI42" s="335" t="str">
        <f>IF($AH42&lt;0,"",$AH42-ROW()/1000000)</f>
        <v/>
      </c>
      <c r="AJ42" s="335" t="str">
        <f>IFERROR(RANK($AI42,$AI$4:$AI$217),"")</f>
        <v/>
      </c>
    </row>
    <row r="43" spans="2:36" x14ac:dyDescent="0.3">
      <c r="B43" s="335" t="str">
        <f>IF(OR('REGIÃO 11 - RESUMO'!E43="",'REGIÃO 11 - RESUMO'!E43=0),"",'REGIÃO 11 - RESUMO'!C43)</f>
        <v/>
      </c>
      <c r="C43" s="335">
        <f>'REGIÃO 11 - RESUMO'!D43</f>
        <v>0</v>
      </c>
      <c r="D43" s="81">
        <f>'REGIÃO 11 - RESUMO'!E43</f>
        <v>0</v>
      </c>
      <c r="E43" s="80">
        <f>'REGIÃO 11 - RESUMO'!F43</f>
        <v>0</v>
      </c>
      <c r="F43" s="82">
        <f>'REGIÃO 11 - RESUMO'!H43</f>
        <v>0</v>
      </c>
      <c r="G43" s="335">
        <f>'REGIÃO 11 - RESUMO'!I43</f>
        <v>0</v>
      </c>
      <c r="H43" s="80">
        <f>'REGIÃO 11 - RESUMO'!J43</f>
        <v>0</v>
      </c>
      <c r="I43" s="335">
        <f>'REGIÃO 11 - RESUMO'!K43</f>
        <v>0</v>
      </c>
      <c r="J43" s="335">
        <f>'REGIÃO 11 - HISTÓRICO'!F43</f>
        <v>0</v>
      </c>
      <c r="K43" s="335">
        <f>'REGIÃO 11 - HISTÓRICO'!G43</f>
        <v>0</v>
      </c>
      <c r="L43" s="335" t="str">
        <f>IF(OR('REGIÃO 11 - RESUMO'!L43="",'REGIÃO 11 - RESUMO'!L43=0),"",'REGIÃO 11 - RESUMO'!L43)</f>
        <v/>
      </c>
      <c r="M43" s="335">
        <f>'REGIÃO 11 - HISTÓRICO'!J43</f>
        <v>0</v>
      </c>
      <c r="N43" s="335">
        <f>'REGIÃO 11 - HISTÓRICO'!L43</f>
        <v>0</v>
      </c>
      <c r="O43" s="335">
        <f>'REGIÃO 11 - HISTÓRICO'!N43</f>
        <v>0</v>
      </c>
      <c r="P43" s="335">
        <f>'REGIÃO 11 - HISTÓRICO'!P43</f>
        <v>0</v>
      </c>
      <c r="Q43" s="335">
        <f>'REGIÃO 11 - HISTÓRICO'!R43</f>
        <v>0</v>
      </c>
      <c r="R43" s="335">
        <f>'REGIÃO 11 - HISTÓRICO'!T43</f>
        <v>0</v>
      </c>
      <c r="S43" s="335">
        <f>'REGIÃO 11 - HISTÓRICO'!V43</f>
        <v>0</v>
      </c>
      <c r="T43" s="335">
        <f>'REGIÃO 11 - HISTÓRICO'!X43</f>
        <v>0</v>
      </c>
      <c r="U43" s="335">
        <f>'REGIÃO 11 - HISTÓRICO'!Z43</f>
        <v>0</v>
      </c>
      <c r="V43" s="335">
        <f>'REGIÃO 11 - HISTÓRICO'!AB43</f>
        <v>0</v>
      </c>
      <c r="W43" s="335">
        <f>'REGIÃO 11 - HISTÓRICO'!AD43</f>
        <v>0</v>
      </c>
      <c r="X43" s="335">
        <f>'REGIÃO 11 - HISTÓRICO'!AF43</f>
        <v>0</v>
      </c>
      <c r="Y43" s="335"/>
      <c r="Z43" s="335"/>
      <c r="AA43" s="335" t="str">
        <f>IF($Z43="","",COUNTIFS($H$4:$H$217,$Z43,$B$4:$B$217,$Z$1))</f>
        <v/>
      </c>
      <c r="AB43" s="335" t="str">
        <f>IF($Z43="","",SUMIFS($I$4:$I$217,$H$4:$H$217,$Z43,$B$4:$B$217,$Z$1))</f>
        <v/>
      </c>
      <c r="AC43" s="335" t="str">
        <f>IF($Z43="","",$AB43-ROW()/1000000)</f>
        <v/>
      </c>
      <c r="AD43" s="335" t="str">
        <f>IFERROR(RANK($AC43,$AC$4:$AC$217),"")</f>
        <v/>
      </c>
      <c r="AE43" s="335"/>
      <c r="AF43" s="335" t="str">
        <f>$B43</f>
        <v/>
      </c>
      <c r="AG43" s="335" t="str">
        <f>$C43&amp;"."&amp;TEXT($D43,"0000")</f>
        <v>0.0000</v>
      </c>
      <c r="AH43" s="335">
        <f>IF($B43="",-1,IF(OR($Z$1="?*",$B43=$Z$1),$I43,-1))</f>
        <v>-1</v>
      </c>
      <c r="AI43" s="335" t="str">
        <f>IF($AH43&lt;0,"",$AH43-ROW()/1000000)</f>
        <v/>
      </c>
      <c r="AJ43" s="335" t="str">
        <f>IFERROR(RANK($AI43,$AI$4:$AI$217),"")</f>
        <v/>
      </c>
    </row>
    <row r="44" spans="2:36" x14ac:dyDescent="0.3">
      <c r="B44" s="335" t="str">
        <f>IF(OR('REGIÃO 12 - RESUMO'!E4="",'REGIÃO 12 - RESUMO'!E4=0),"",'REGIÃO 12 - RESUMO'!C4)</f>
        <v>R12</v>
      </c>
      <c r="C44" s="335" t="str">
        <f>'REGIÃO 12 - RESUMO'!D4</f>
        <v>009.2025</v>
      </c>
      <c r="D44" s="81">
        <f>'REGIÃO 12 - RESUMO'!E4</f>
        <v>65</v>
      </c>
      <c r="E44" s="80" t="str">
        <f>'REGIÃO 12 - RESUMO'!F4</f>
        <v>Janeiro</v>
      </c>
      <c r="F44" s="82">
        <f>'REGIÃO 12 - RESUMO'!H4</f>
        <v>225</v>
      </c>
      <c r="G44" s="335" t="str">
        <f>'REGIÃO 12 - RESUMO'!I4</f>
        <v>RODOVIA TO-280 - TRECHO NATIVIDADE - ALMAS</v>
      </c>
      <c r="H44" s="80" t="str">
        <f>'REGIÃO 12 - RESUMO'!J4</f>
        <v>Roçada</v>
      </c>
      <c r="I44" s="335">
        <f>'REGIÃO 12 - RESUMO'!K4</f>
        <v>27874.62</v>
      </c>
      <c r="J44" s="335">
        <f>'REGIÃO 12 - HISTÓRICO'!F4</f>
        <v>27874.62</v>
      </c>
      <c r="K44" s="335">
        <f>'REGIÃO 12 - HISTÓRICO'!G4</f>
        <v>0</v>
      </c>
      <c r="L44" s="335" t="str">
        <f>IF(OR('REGIÃO 12 - RESUMO'!L4="",'REGIÃO 12 - RESUMO'!L4=0),"",'REGIÃO 12 - RESUMO'!L4)</f>
        <v>Concluída</v>
      </c>
      <c r="M44" s="335">
        <f>'REGIÃO 12 - HISTÓRICO'!J4</f>
        <v>27874.62</v>
      </c>
      <c r="N44" s="335">
        <f>'REGIÃO 12 - HISTÓRICO'!L4</f>
        <v>0</v>
      </c>
      <c r="O44" s="335">
        <f>'REGIÃO 12 - HISTÓRICO'!N4</f>
        <v>0</v>
      </c>
      <c r="P44" s="335">
        <f>'REGIÃO 12 - HISTÓRICO'!P4</f>
        <v>0</v>
      </c>
      <c r="Q44" s="335">
        <f>'REGIÃO 12 - HISTÓRICO'!R4</f>
        <v>0</v>
      </c>
      <c r="R44" s="335">
        <f>'REGIÃO 12 - HISTÓRICO'!T4</f>
        <v>0</v>
      </c>
      <c r="S44" s="335">
        <f>'REGIÃO 12 - HISTÓRICO'!V4</f>
        <v>0</v>
      </c>
      <c r="T44" s="335">
        <f>'REGIÃO 12 - HISTÓRICO'!X4</f>
        <v>0</v>
      </c>
      <c r="U44" s="335">
        <f>'REGIÃO 12 - HISTÓRICO'!Z4</f>
        <v>0</v>
      </c>
      <c r="V44" s="335">
        <f>'REGIÃO 12 - HISTÓRICO'!AB4</f>
        <v>0</v>
      </c>
      <c r="W44" s="335">
        <f>'REGIÃO 12 - HISTÓRICO'!AD4</f>
        <v>0</v>
      </c>
      <c r="X44" s="335">
        <f>'REGIÃO 12 - HISTÓRICO'!AF4</f>
        <v>0</v>
      </c>
      <c r="Y44" s="335"/>
      <c r="Z44" s="335"/>
      <c r="AA44" s="335" t="str">
        <f>IF($Z44="","",COUNTIFS($H$4:$H$217,$Z44,$B$4:$B$217,$Z$1))</f>
        <v/>
      </c>
      <c r="AB44" s="335" t="str">
        <f>IF($Z44="","",SUMIFS($I$4:$I$217,$H$4:$H$217,$Z44,$B$4:$B$217,$Z$1))</f>
        <v/>
      </c>
      <c r="AC44" s="335" t="str">
        <f>IF($Z44="","",$AB44-ROW()/1000000)</f>
        <v/>
      </c>
      <c r="AD44" s="335" t="str">
        <f>IFERROR(RANK($AC44,$AC$4:$AC$217),"")</f>
        <v/>
      </c>
      <c r="AE44" s="335"/>
      <c r="AF44" s="335" t="str">
        <f>$B44</f>
        <v>R12</v>
      </c>
      <c r="AG44" s="335" t="str">
        <f>$C44&amp;"."&amp;TEXT($D44,"0000")</f>
        <v>009.2025.0065</v>
      </c>
      <c r="AH44" s="335">
        <f>IF($B44="",-1,IF(OR($Z$1="?*",$B44=$Z$1),$I44,-1))</f>
        <v>27874.62</v>
      </c>
      <c r="AI44" s="335">
        <f>IF($AH44&lt;0,"",$AH44-ROW()/1000000)</f>
        <v>27874.619955999999</v>
      </c>
      <c r="AJ44" s="335">
        <f>IFERROR(RANK($AI44,$AI$4:$AI$217),"")</f>
        <v>41</v>
      </c>
    </row>
    <row r="45" spans="2:36" x14ac:dyDescent="0.3">
      <c r="B45" s="335" t="str">
        <f>IF(OR('REGIÃO 12 - RESUMO'!E5="",'REGIÃO 12 - RESUMO'!E5=0),"",'REGIÃO 12 - RESUMO'!C5)</f>
        <v>R12</v>
      </c>
      <c r="C45" s="335" t="str">
        <f>'REGIÃO 12 - RESUMO'!D5</f>
        <v>009.2025</v>
      </c>
      <c r="D45" s="81">
        <f>'REGIÃO 12 - RESUMO'!E5</f>
        <v>66</v>
      </c>
      <c r="E45" s="80" t="str">
        <f>'REGIÃO 12 - RESUMO'!F5</f>
        <v>Janeiro</v>
      </c>
      <c r="F45" s="82">
        <f>'REGIÃO 12 - RESUMO'!H5</f>
        <v>226</v>
      </c>
      <c r="G45" s="335" t="str">
        <f>'REGIÃO 12 - RESUMO'!I5</f>
        <v>RODOVIA TO-280 - TRECHO SÃO VALÉRIO DE NATIVIDADE - NATIVIDADE</v>
      </c>
      <c r="H45" s="80" t="str">
        <f>'REGIÃO 12 - RESUMO'!J5</f>
        <v xml:space="preserve"> Roçada / Caiação de EDS e pontes</v>
      </c>
      <c r="I45" s="335">
        <f>'REGIÃO 12 - RESUMO'!K5</f>
        <v>68235.11</v>
      </c>
      <c r="J45" s="335">
        <f>'REGIÃO 12 - HISTÓRICO'!F5</f>
        <v>45019.74</v>
      </c>
      <c r="K45" s="335">
        <f>'REGIÃO 12 - HISTÓRICO'!G5</f>
        <v>23215.370000000003</v>
      </c>
      <c r="L45" s="335" t="str">
        <f>IF(OR('REGIÃO 12 - RESUMO'!L5="",'REGIÃO 12 - RESUMO'!L5=0),"",'REGIÃO 12 - RESUMO'!L5)</f>
        <v>Concluída</v>
      </c>
      <c r="M45" s="335">
        <f>'REGIÃO 12 - HISTÓRICO'!J5</f>
        <v>0</v>
      </c>
      <c r="N45" s="335">
        <f>'REGIÃO 12 - HISTÓRICO'!L5</f>
        <v>45019.74</v>
      </c>
      <c r="O45" s="335">
        <f>'REGIÃO 12 - HISTÓRICO'!N5</f>
        <v>0</v>
      </c>
      <c r="P45" s="335">
        <f>'REGIÃO 12 - HISTÓRICO'!P5</f>
        <v>0</v>
      </c>
      <c r="Q45" s="335">
        <f>'REGIÃO 12 - HISTÓRICO'!R5</f>
        <v>0</v>
      </c>
      <c r="R45" s="335">
        <f>'REGIÃO 12 - HISTÓRICO'!T5</f>
        <v>0</v>
      </c>
      <c r="S45" s="335">
        <f>'REGIÃO 12 - HISTÓRICO'!V5</f>
        <v>0</v>
      </c>
      <c r="T45" s="335">
        <f>'REGIÃO 12 - HISTÓRICO'!X5</f>
        <v>0</v>
      </c>
      <c r="U45" s="335">
        <f>'REGIÃO 12 - HISTÓRICO'!Z5</f>
        <v>0</v>
      </c>
      <c r="V45" s="335">
        <f>'REGIÃO 12 - HISTÓRICO'!AB5</f>
        <v>0</v>
      </c>
      <c r="W45" s="335">
        <f>'REGIÃO 12 - HISTÓRICO'!AD5</f>
        <v>0</v>
      </c>
      <c r="X45" s="335">
        <f>'REGIÃO 12 - HISTÓRICO'!AF5</f>
        <v>0</v>
      </c>
      <c r="Y45" s="335"/>
      <c r="Z45" s="335"/>
      <c r="AA45" s="335" t="str">
        <f>IF($Z45="","",COUNTIFS($H$4:$H$217,$Z45,$B$4:$B$217,$Z$1))</f>
        <v/>
      </c>
      <c r="AB45" s="335" t="str">
        <f>IF($Z45="","",SUMIFS($I$4:$I$217,$H$4:$H$217,$Z45,$B$4:$B$217,$Z$1))</f>
        <v/>
      </c>
      <c r="AC45" s="335" t="str">
        <f>IF($Z45="","",$AB45-ROW()/1000000)</f>
        <v/>
      </c>
      <c r="AD45" s="335" t="str">
        <f>IFERROR(RANK($AC45,$AC$4:$AC$217),"")</f>
        <v/>
      </c>
      <c r="AE45" s="335"/>
      <c r="AF45" s="335" t="str">
        <f>$B45</f>
        <v>R12</v>
      </c>
      <c r="AG45" s="335" t="str">
        <f>$C45&amp;"."&amp;TEXT($D45,"0000")</f>
        <v>009.2025.0066</v>
      </c>
      <c r="AH45" s="335">
        <f>IF($B45="",-1,IF(OR($Z$1="?*",$B45=$Z$1),$I45,-1))</f>
        <v>68235.11</v>
      </c>
      <c r="AI45" s="335">
        <f>IF($AH45&lt;0,"",$AH45-ROW()/1000000)</f>
        <v>68235.109955000007</v>
      </c>
      <c r="AJ45" s="335">
        <f>IFERROR(RANK($AI45,$AI$4:$AI$217),"")</f>
        <v>29</v>
      </c>
    </row>
    <row r="46" spans="2:36" x14ac:dyDescent="0.3">
      <c r="B46" s="335" t="str">
        <f>IF(OR('REGIÃO 12 - RESUMO'!E6="",'REGIÃO 12 - RESUMO'!E6=0),"",'REGIÃO 12 - RESUMO'!C6)</f>
        <v>R12</v>
      </c>
      <c r="C46" s="335" t="str">
        <f>'REGIÃO 12 - RESUMO'!D6</f>
        <v>009.2025</v>
      </c>
      <c r="D46" s="81">
        <f>'REGIÃO 12 - RESUMO'!E6</f>
        <v>67</v>
      </c>
      <c r="E46" s="80" t="str">
        <f>'REGIÃO 12 - RESUMO'!F6</f>
        <v>Janeiro</v>
      </c>
      <c r="F46" s="82">
        <f>'REGIÃO 12 - RESUMO'!H6</f>
        <v>227</v>
      </c>
      <c r="G46" s="335" t="str">
        <f>'REGIÃO 12 - RESUMO'!I6</f>
        <v>RODOVIA TO-280 - TRECHO ENTR. BR-242 - SÃO VALÉRIO DE NATIVIDADE</v>
      </c>
      <c r="H46" s="80" t="str">
        <f>'REGIÃO 12 - RESUMO'!J6</f>
        <v>Roçada</v>
      </c>
      <c r="I46" s="335">
        <f>'REGIÃO 12 - RESUMO'!K6</f>
        <v>15770.16</v>
      </c>
      <c r="J46" s="335">
        <f>'REGIÃO 12 - HISTÓRICO'!F6</f>
        <v>15770</v>
      </c>
      <c r="K46" s="335">
        <f>'REGIÃO 12 - HISTÓRICO'!G6</f>
        <v>0.15999999999985448</v>
      </c>
      <c r="L46" s="335" t="str">
        <f>IF(OR('REGIÃO 12 - RESUMO'!L6="",'REGIÃO 12 - RESUMO'!L6=0),"",'REGIÃO 12 - RESUMO'!L6)</f>
        <v>Concluída</v>
      </c>
      <c r="M46" s="335">
        <f>'REGIÃO 12 - HISTÓRICO'!J6</f>
        <v>0</v>
      </c>
      <c r="N46" s="335">
        <f>'REGIÃO 12 - HISTÓRICO'!L6</f>
        <v>15770</v>
      </c>
      <c r="O46" s="335">
        <f>'REGIÃO 12 - HISTÓRICO'!N6</f>
        <v>0</v>
      </c>
      <c r="P46" s="335">
        <f>'REGIÃO 12 - HISTÓRICO'!P6</f>
        <v>0</v>
      </c>
      <c r="Q46" s="335">
        <f>'REGIÃO 12 - HISTÓRICO'!R6</f>
        <v>0</v>
      </c>
      <c r="R46" s="335">
        <f>'REGIÃO 12 - HISTÓRICO'!T6</f>
        <v>0</v>
      </c>
      <c r="S46" s="335">
        <f>'REGIÃO 12 - HISTÓRICO'!V6</f>
        <v>0</v>
      </c>
      <c r="T46" s="335">
        <f>'REGIÃO 12 - HISTÓRICO'!X6</f>
        <v>0</v>
      </c>
      <c r="U46" s="335">
        <f>'REGIÃO 12 - HISTÓRICO'!Z6</f>
        <v>0</v>
      </c>
      <c r="V46" s="335">
        <f>'REGIÃO 12 - HISTÓRICO'!AB6</f>
        <v>0</v>
      </c>
      <c r="W46" s="335">
        <f>'REGIÃO 12 - HISTÓRICO'!AD6</f>
        <v>0</v>
      </c>
      <c r="X46" s="335">
        <f>'REGIÃO 12 - HISTÓRICO'!AF6</f>
        <v>0</v>
      </c>
      <c r="Y46" s="335"/>
      <c r="Z46" s="335"/>
      <c r="AA46" s="335" t="str">
        <f>IF($Z46="","",COUNTIFS($H$4:$H$217,$Z46,$B$4:$B$217,$Z$1))</f>
        <v/>
      </c>
      <c r="AB46" s="335" t="str">
        <f>IF($Z46="","",SUMIFS($I$4:$I$217,$H$4:$H$217,$Z46,$B$4:$B$217,$Z$1))</f>
        <v/>
      </c>
      <c r="AC46" s="335" t="str">
        <f>IF($Z46="","",$AB46-ROW()/1000000)</f>
        <v/>
      </c>
      <c r="AD46" s="335" t="str">
        <f>IFERROR(RANK($AC46,$AC$4:$AC$217),"")</f>
        <v/>
      </c>
      <c r="AE46" s="335"/>
      <c r="AF46" s="335" t="str">
        <f>$B46</f>
        <v>R12</v>
      </c>
      <c r="AG46" s="335" t="str">
        <f>$C46&amp;"."&amp;TEXT($D46,"0000")</f>
        <v>009.2025.0067</v>
      </c>
      <c r="AH46" s="335">
        <f>IF($B46="",-1,IF(OR($Z$1="?*",$B46=$Z$1),$I46,-1))</f>
        <v>15770.16</v>
      </c>
      <c r="AI46" s="335">
        <f>IF($AH46&lt;0,"",$AH46-ROW()/1000000)</f>
        <v>15770.159954000001</v>
      </c>
      <c r="AJ46" s="335">
        <f>IFERROR(RANK($AI46,$AI$4:$AI$217),"")</f>
        <v>47</v>
      </c>
    </row>
    <row r="47" spans="2:36" x14ac:dyDescent="0.3">
      <c r="B47" s="335" t="str">
        <f>IF(OR('REGIÃO 12 - RESUMO'!E7="",'REGIÃO 12 - RESUMO'!E7=0),"",'REGIÃO 12 - RESUMO'!C7)</f>
        <v>R12</v>
      </c>
      <c r="C47" s="335" t="str">
        <f>'REGIÃO 12 - RESUMO'!D7</f>
        <v>009.2025</v>
      </c>
      <c r="D47" s="81">
        <f>'REGIÃO 12 - RESUMO'!E7</f>
        <v>68</v>
      </c>
      <c r="E47" s="80" t="str">
        <f>'REGIÃO 12 - RESUMO'!F7</f>
        <v>Janeiro</v>
      </c>
      <c r="F47" s="82">
        <f>'REGIÃO 12 - RESUMO'!H7</f>
        <v>229</v>
      </c>
      <c r="G47" s="335" t="str">
        <f>'REGIÃO 12 - RESUMO'!I7</f>
        <v>RODOVIA TO-296 - TRECHO JAÚ DO TOCANTINS - SÃO SALVADOR DO TOCANTINS</v>
      </c>
      <c r="H47" s="80" t="str">
        <f>'REGIÃO 12 - RESUMO'!J7</f>
        <v>Reconformação da plataforma / Recomposição do revestimento primário</v>
      </c>
      <c r="I47" s="335">
        <f>'REGIÃO 12 - RESUMO'!K7</f>
        <v>364826.92</v>
      </c>
      <c r="J47" s="335">
        <f>'REGIÃO 12 - HISTÓRICO'!F7</f>
        <v>364507.05</v>
      </c>
      <c r="K47" s="335">
        <f>'REGIÃO 12 - HISTÓRICO'!G7</f>
        <v>319.86999999999534</v>
      </c>
      <c r="L47" s="335" t="str">
        <f>IF(OR('REGIÃO 12 - RESUMO'!L7="",'REGIÃO 12 - RESUMO'!L7=0),"",'REGIÃO 12 - RESUMO'!L7)</f>
        <v>Concluída</v>
      </c>
      <c r="M47" s="335">
        <f>'REGIÃO 12 - HISTÓRICO'!J7</f>
        <v>364507.05</v>
      </c>
      <c r="N47" s="335">
        <f>'REGIÃO 12 - HISTÓRICO'!L7</f>
        <v>0</v>
      </c>
      <c r="O47" s="335">
        <f>'REGIÃO 12 - HISTÓRICO'!N7</f>
        <v>0</v>
      </c>
      <c r="P47" s="335">
        <f>'REGIÃO 12 - HISTÓRICO'!P7</f>
        <v>0</v>
      </c>
      <c r="Q47" s="335">
        <f>'REGIÃO 12 - HISTÓRICO'!R7</f>
        <v>0</v>
      </c>
      <c r="R47" s="335">
        <f>'REGIÃO 12 - HISTÓRICO'!T7</f>
        <v>0</v>
      </c>
      <c r="S47" s="335">
        <f>'REGIÃO 12 - HISTÓRICO'!V7</f>
        <v>0</v>
      </c>
      <c r="T47" s="335">
        <f>'REGIÃO 12 - HISTÓRICO'!X7</f>
        <v>0</v>
      </c>
      <c r="U47" s="335">
        <f>'REGIÃO 12 - HISTÓRICO'!Z7</f>
        <v>0</v>
      </c>
      <c r="V47" s="335">
        <f>'REGIÃO 12 - HISTÓRICO'!AB7</f>
        <v>0</v>
      </c>
      <c r="W47" s="335">
        <f>'REGIÃO 12 - HISTÓRICO'!AD7</f>
        <v>0</v>
      </c>
      <c r="X47" s="335">
        <f>'REGIÃO 12 - HISTÓRICO'!AF7</f>
        <v>0</v>
      </c>
      <c r="Y47" s="335"/>
      <c r="Z47" s="335"/>
      <c r="AA47" s="335" t="str">
        <f>IF($Z47="","",COUNTIFS($H$4:$H$217,$Z47,$B$4:$B$217,$Z$1))</f>
        <v/>
      </c>
      <c r="AB47" s="335" t="str">
        <f>IF($Z47="","",SUMIFS($I$4:$I$217,$H$4:$H$217,$Z47,$B$4:$B$217,$Z$1))</f>
        <v/>
      </c>
      <c r="AC47" s="335" t="str">
        <f>IF($Z47="","",$AB47-ROW()/1000000)</f>
        <v/>
      </c>
      <c r="AD47" s="335" t="str">
        <f>IFERROR(RANK($AC47,$AC$4:$AC$217),"")</f>
        <v/>
      </c>
      <c r="AE47" s="335"/>
      <c r="AF47" s="335" t="str">
        <f>$B47</f>
        <v>R12</v>
      </c>
      <c r="AG47" s="335" t="str">
        <f>$C47&amp;"."&amp;TEXT($D47,"0000")</f>
        <v>009.2025.0068</v>
      </c>
      <c r="AH47" s="335">
        <f>IF($B47="",-1,IF(OR($Z$1="?*",$B47=$Z$1),$I47,-1))</f>
        <v>364826.92</v>
      </c>
      <c r="AI47" s="335">
        <f>IF($AH47&lt;0,"",$AH47-ROW()/1000000)</f>
        <v>364826.91995299998</v>
      </c>
      <c r="AJ47" s="335">
        <f>IFERROR(RANK($AI47,$AI$4:$AI$217),"")</f>
        <v>8</v>
      </c>
    </row>
    <row r="48" spans="2:36" x14ac:dyDescent="0.3">
      <c r="B48" s="335" t="str">
        <f>IF(OR('REGIÃO 12 - RESUMO'!E8="",'REGIÃO 12 - RESUMO'!E8=0),"",'REGIÃO 12 - RESUMO'!C8)</f>
        <v>R12</v>
      </c>
      <c r="C48" s="335" t="str">
        <f>'REGIÃO 12 - RESUMO'!D8</f>
        <v>009.2025</v>
      </c>
      <c r="D48" s="81">
        <f>'REGIÃO 12 - RESUMO'!E8</f>
        <v>69</v>
      </c>
      <c r="E48" s="80" t="str">
        <f>'REGIÃO 12 - RESUMO'!F8</f>
        <v>Fevereiro</v>
      </c>
      <c r="F48" s="82">
        <f>'REGIÃO 12 - RESUMO'!H8</f>
        <v>241</v>
      </c>
      <c r="G48" s="335" t="str">
        <f>'REGIÃO 12 - RESUMO'!I8</f>
        <v>RODOVIA TO-491 - TRECHO ENTR. BR-242 - ENTR. TO-296 (POVOADO RETIRO)</v>
      </c>
      <c r="H48" s="80" t="str">
        <f>'REGIÃO 12 - RESUMO'!J8</f>
        <v>Terraplenagem / Reconformação da plataforma / Recomposição do revestimento primário</v>
      </c>
      <c r="I48" s="335">
        <f>'REGIÃO 12 - RESUMO'!K8</f>
        <v>241802.58</v>
      </c>
      <c r="J48" s="335">
        <f>'REGIÃO 12 - HISTÓRICO'!F8</f>
        <v>226279.84</v>
      </c>
      <c r="K48" s="335">
        <f>'REGIÃO 12 - HISTÓRICO'!G8</f>
        <v>15522.739999999991</v>
      </c>
      <c r="L48" s="335" t="str">
        <f>IF(OR('REGIÃO 12 - RESUMO'!L8="",'REGIÃO 12 - RESUMO'!L8=0),"",'REGIÃO 12 - RESUMO'!L8)</f>
        <v>Concluída</v>
      </c>
      <c r="M48" s="335">
        <f>'REGIÃO 12 - HISTÓRICO'!J8</f>
        <v>0</v>
      </c>
      <c r="N48" s="335">
        <f>'REGIÃO 12 - HISTÓRICO'!L8</f>
        <v>226279.84</v>
      </c>
      <c r="O48" s="335">
        <f>'REGIÃO 12 - HISTÓRICO'!N8</f>
        <v>0</v>
      </c>
      <c r="P48" s="335">
        <f>'REGIÃO 12 - HISTÓRICO'!P8</f>
        <v>0</v>
      </c>
      <c r="Q48" s="335">
        <f>'REGIÃO 12 - HISTÓRICO'!R8</f>
        <v>0</v>
      </c>
      <c r="R48" s="335">
        <f>'REGIÃO 12 - HISTÓRICO'!T8</f>
        <v>0</v>
      </c>
      <c r="S48" s="335">
        <f>'REGIÃO 12 - HISTÓRICO'!V8</f>
        <v>0</v>
      </c>
      <c r="T48" s="335">
        <f>'REGIÃO 12 - HISTÓRICO'!X8</f>
        <v>0</v>
      </c>
      <c r="U48" s="335">
        <f>'REGIÃO 12 - HISTÓRICO'!Z8</f>
        <v>0</v>
      </c>
      <c r="V48" s="335">
        <f>'REGIÃO 12 - HISTÓRICO'!AB8</f>
        <v>0</v>
      </c>
      <c r="W48" s="335">
        <f>'REGIÃO 12 - HISTÓRICO'!AD8</f>
        <v>0</v>
      </c>
      <c r="X48" s="335">
        <f>'REGIÃO 12 - HISTÓRICO'!AF8</f>
        <v>0</v>
      </c>
      <c r="Y48" s="335"/>
      <c r="Z48" s="335"/>
      <c r="AA48" s="335" t="str">
        <f>IF($Z48="","",COUNTIFS($H$4:$H$217,$Z48,$B$4:$B$217,$Z$1))</f>
        <v/>
      </c>
      <c r="AB48" s="335" t="str">
        <f>IF($Z48="","",SUMIFS($I$4:$I$217,$H$4:$H$217,$Z48,$B$4:$B$217,$Z$1))</f>
        <v/>
      </c>
      <c r="AC48" s="335" t="str">
        <f>IF($Z48="","",$AB48-ROW()/1000000)</f>
        <v/>
      </c>
      <c r="AD48" s="335" t="str">
        <f>IFERROR(RANK($AC48,$AC$4:$AC$217),"")</f>
        <v/>
      </c>
      <c r="AE48" s="335"/>
      <c r="AF48" s="335" t="str">
        <f>$B48</f>
        <v>R12</v>
      </c>
      <c r="AG48" s="335" t="str">
        <f>$C48&amp;"."&amp;TEXT($D48,"0000")</f>
        <v>009.2025.0069</v>
      </c>
      <c r="AH48" s="335">
        <f>IF($B48="",-1,IF(OR($Z$1="?*",$B48=$Z$1),$I48,-1))</f>
        <v>241802.58</v>
      </c>
      <c r="AI48" s="335">
        <f>IF($AH48&lt;0,"",$AH48-ROW()/1000000)</f>
        <v>241802.579952</v>
      </c>
      <c r="AJ48" s="335">
        <f>IFERROR(RANK($AI48,$AI$4:$AI$217),"")</f>
        <v>12</v>
      </c>
    </row>
    <row r="49" spans="2:36" x14ac:dyDescent="0.3">
      <c r="B49" s="335" t="str">
        <f>IF(OR('REGIÃO 12 - RESUMO'!E9="",'REGIÃO 12 - RESUMO'!E9=0),"",'REGIÃO 12 - RESUMO'!C9)</f>
        <v>R12</v>
      </c>
      <c r="C49" s="335" t="str">
        <f>'REGIÃO 12 - RESUMO'!D9</f>
        <v>009.2025</v>
      </c>
      <c r="D49" s="81">
        <f>'REGIÃO 12 - RESUMO'!E9</f>
        <v>70</v>
      </c>
      <c r="E49" s="80" t="str">
        <f>'REGIÃO 12 - RESUMO'!F9</f>
        <v>Fevereiro</v>
      </c>
      <c r="F49" s="82">
        <f>'REGIÃO 12 - RESUMO'!H9</f>
        <v>233</v>
      </c>
      <c r="G49" s="335" t="str">
        <f>'REGIÃO 12 - RESUMO'!I9</f>
        <v>RODOVIA TO-373 - TRECHO ALVORADA - ENTR. BR-242</v>
      </c>
      <c r="H49" s="80" t="str">
        <f>'REGIÃO 12 - RESUMO'!J9</f>
        <v>Tapa-Buraco CAE</v>
      </c>
      <c r="I49" s="335">
        <f>'REGIÃO 12 - RESUMO'!K9</f>
        <v>56412.28</v>
      </c>
      <c r="J49" s="335">
        <f>'REGIÃO 12 - HISTÓRICO'!F9</f>
        <v>32653.1</v>
      </c>
      <c r="K49" s="335">
        <f>'REGIÃO 12 - HISTÓRICO'!G9</f>
        <v>23759.18</v>
      </c>
      <c r="L49" s="335" t="str">
        <f>IF(OR('REGIÃO 12 - RESUMO'!L9="",'REGIÃO 12 - RESUMO'!L9=0),"",'REGIÃO 12 - RESUMO'!L9)</f>
        <v>Concluída</v>
      </c>
      <c r="M49" s="335">
        <f>'REGIÃO 12 - HISTÓRICO'!J9</f>
        <v>0</v>
      </c>
      <c r="N49" s="335">
        <f>'REGIÃO 12 - HISTÓRICO'!L9</f>
        <v>32653.1</v>
      </c>
      <c r="O49" s="335">
        <f>'REGIÃO 12 - HISTÓRICO'!N9</f>
        <v>0</v>
      </c>
      <c r="P49" s="335">
        <f>'REGIÃO 12 - HISTÓRICO'!P9</f>
        <v>0</v>
      </c>
      <c r="Q49" s="335">
        <f>'REGIÃO 12 - HISTÓRICO'!R9</f>
        <v>0</v>
      </c>
      <c r="R49" s="335">
        <f>'REGIÃO 12 - HISTÓRICO'!T9</f>
        <v>0</v>
      </c>
      <c r="S49" s="335">
        <f>'REGIÃO 12 - HISTÓRICO'!V9</f>
        <v>0</v>
      </c>
      <c r="T49" s="335">
        <f>'REGIÃO 12 - HISTÓRICO'!X9</f>
        <v>0</v>
      </c>
      <c r="U49" s="335">
        <f>'REGIÃO 12 - HISTÓRICO'!Z9</f>
        <v>0</v>
      </c>
      <c r="V49" s="335">
        <f>'REGIÃO 12 - HISTÓRICO'!AB9</f>
        <v>0</v>
      </c>
      <c r="W49" s="335">
        <f>'REGIÃO 12 - HISTÓRICO'!AD9</f>
        <v>0</v>
      </c>
      <c r="X49" s="335">
        <f>'REGIÃO 12 - HISTÓRICO'!AF9</f>
        <v>0</v>
      </c>
      <c r="Y49" s="335"/>
      <c r="Z49" s="335"/>
      <c r="AA49" s="335" t="str">
        <f>IF($Z49="","",COUNTIFS($H$4:$H$217,$Z49,$B$4:$B$217,$Z$1))</f>
        <v/>
      </c>
      <c r="AB49" s="335" t="str">
        <f>IF($Z49="","",SUMIFS($I$4:$I$217,$H$4:$H$217,$Z49,$B$4:$B$217,$Z$1))</f>
        <v/>
      </c>
      <c r="AC49" s="335" t="str">
        <f>IF($Z49="","",$AB49-ROW()/1000000)</f>
        <v/>
      </c>
      <c r="AD49" s="335" t="str">
        <f>IFERROR(RANK($AC49,$AC$4:$AC$217),"")</f>
        <v/>
      </c>
      <c r="AE49" s="335"/>
      <c r="AF49" s="335" t="str">
        <f>$B49</f>
        <v>R12</v>
      </c>
      <c r="AG49" s="335" t="str">
        <f>$C49&amp;"."&amp;TEXT($D49,"0000")</f>
        <v>009.2025.0070</v>
      </c>
      <c r="AH49" s="335">
        <f>IF($B49="",-1,IF(OR($Z$1="?*",$B49=$Z$1),$I49,-1))</f>
        <v>56412.28</v>
      </c>
      <c r="AI49" s="335">
        <f>IF($AH49&lt;0,"",$AH49-ROW()/1000000)</f>
        <v>56412.279950999997</v>
      </c>
      <c r="AJ49" s="335">
        <f>IFERROR(RANK($AI49,$AI$4:$AI$217),"")</f>
        <v>32</v>
      </c>
    </row>
    <row r="50" spans="2:36" x14ac:dyDescent="0.3">
      <c r="B50" s="335" t="str">
        <f>IF(OR('REGIÃO 12 - RESUMO'!E10="",'REGIÃO 12 - RESUMO'!E10=0),"",'REGIÃO 12 - RESUMO'!C10)</f>
        <v>R12</v>
      </c>
      <c r="C50" s="335" t="str">
        <f>'REGIÃO 12 - RESUMO'!D10</f>
        <v>009.2025</v>
      </c>
      <c r="D50" s="81">
        <f>'REGIÃO 12 - RESUMO'!E10</f>
        <v>71</v>
      </c>
      <c r="E50" s="80" t="str">
        <f>'REGIÃO 12 - RESUMO'!F10</f>
        <v>Fevereiro</v>
      </c>
      <c r="F50" s="82">
        <f>'REGIÃO 12 - RESUMO'!H10</f>
        <v>228</v>
      </c>
      <c r="G50" s="335" t="str">
        <f>'REGIÃO 12 - RESUMO'!I10</f>
        <v>RODOVIA TO-296 - TRECHO SÃO SALVADOR DO TOCANTINS - PARANÃ</v>
      </c>
      <c r="H50" s="80" t="str">
        <f>'REGIÃO 12 - RESUMO'!J10</f>
        <v>Tapa-Buraco CAE / Remendo Profundo</v>
      </c>
      <c r="I50" s="335">
        <f>'REGIÃO 12 - RESUMO'!K10</f>
        <v>37751.14</v>
      </c>
      <c r="J50" s="335">
        <f>'REGIÃO 12 - HISTÓRICO'!F10</f>
        <v>37751.14</v>
      </c>
      <c r="K50" s="335">
        <f>'REGIÃO 12 - HISTÓRICO'!G10</f>
        <v>0</v>
      </c>
      <c r="L50" s="335" t="str">
        <f>IF(OR('REGIÃO 12 - RESUMO'!L10="",'REGIÃO 12 - RESUMO'!L10=0),"",'REGIÃO 12 - RESUMO'!L10)</f>
        <v>Concluída</v>
      </c>
      <c r="M50" s="335">
        <f>'REGIÃO 12 - HISTÓRICO'!J10</f>
        <v>0</v>
      </c>
      <c r="N50" s="335">
        <f>'REGIÃO 12 - HISTÓRICO'!L10</f>
        <v>37751.14</v>
      </c>
      <c r="O50" s="335">
        <f>'REGIÃO 12 - HISTÓRICO'!N10</f>
        <v>0</v>
      </c>
      <c r="P50" s="335">
        <f>'REGIÃO 12 - HISTÓRICO'!P10</f>
        <v>0</v>
      </c>
      <c r="Q50" s="335">
        <f>'REGIÃO 12 - HISTÓRICO'!R10</f>
        <v>0</v>
      </c>
      <c r="R50" s="335">
        <f>'REGIÃO 12 - HISTÓRICO'!T10</f>
        <v>0</v>
      </c>
      <c r="S50" s="335">
        <f>'REGIÃO 12 - HISTÓRICO'!V10</f>
        <v>0</v>
      </c>
      <c r="T50" s="335">
        <f>'REGIÃO 12 - HISTÓRICO'!X10</f>
        <v>0</v>
      </c>
      <c r="U50" s="335">
        <f>'REGIÃO 12 - HISTÓRICO'!Z10</f>
        <v>0</v>
      </c>
      <c r="V50" s="335">
        <f>'REGIÃO 12 - HISTÓRICO'!AB10</f>
        <v>0</v>
      </c>
      <c r="W50" s="335">
        <f>'REGIÃO 12 - HISTÓRICO'!AD10</f>
        <v>0</v>
      </c>
      <c r="X50" s="335">
        <f>'REGIÃO 12 - HISTÓRICO'!AF10</f>
        <v>0</v>
      </c>
      <c r="Y50" s="335"/>
      <c r="Z50" s="335"/>
      <c r="AA50" s="335" t="str">
        <f>IF($Z50="","",COUNTIFS($H$4:$H$217,$Z50,$B$4:$B$217,$Z$1))</f>
        <v/>
      </c>
      <c r="AB50" s="335" t="str">
        <f>IF($Z50="","",SUMIFS($I$4:$I$217,$H$4:$H$217,$Z50,$B$4:$B$217,$Z$1))</f>
        <v/>
      </c>
      <c r="AC50" s="335" t="str">
        <f>IF($Z50="","",$AB50-ROW()/1000000)</f>
        <v/>
      </c>
      <c r="AD50" s="335" t="str">
        <f>IFERROR(RANK($AC50,$AC$4:$AC$217),"")</f>
        <v/>
      </c>
      <c r="AE50" s="335"/>
      <c r="AF50" s="335" t="str">
        <f>$B50</f>
        <v>R12</v>
      </c>
      <c r="AG50" s="335" t="str">
        <f>$C50&amp;"."&amp;TEXT($D50,"0000")</f>
        <v>009.2025.0071</v>
      </c>
      <c r="AH50" s="335">
        <f>IF($B50="",-1,IF(OR($Z$1="?*",$B50=$Z$1),$I50,-1))</f>
        <v>37751.14</v>
      </c>
      <c r="AI50" s="335">
        <f>IF($AH50&lt;0,"",$AH50-ROW()/1000000)</f>
        <v>37751.139949999997</v>
      </c>
      <c r="AJ50" s="335">
        <f>IFERROR(RANK($AI50,$AI$4:$AI$217),"")</f>
        <v>37</v>
      </c>
    </row>
    <row r="51" spans="2:36" x14ac:dyDescent="0.3">
      <c r="B51" s="335" t="str">
        <f>IF(OR('REGIÃO 12 - RESUMO'!E11="",'REGIÃO 12 - RESUMO'!E11=0),"",'REGIÃO 12 - RESUMO'!C11)</f>
        <v>R12</v>
      </c>
      <c r="C51" s="335" t="str">
        <f>'REGIÃO 12 - RESUMO'!D11</f>
        <v>009.2025</v>
      </c>
      <c r="D51" s="81">
        <f>'REGIÃO 12 - RESUMO'!E11</f>
        <v>72</v>
      </c>
      <c r="E51" s="80" t="str">
        <f>'REGIÃO 12 - RESUMO'!F11</f>
        <v>Fevereiro</v>
      </c>
      <c r="F51" s="82">
        <f>'REGIÃO 12 - RESUMO'!H11</f>
        <v>229</v>
      </c>
      <c r="G51" s="335" t="str">
        <f>'REGIÃO 12 - RESUMO'!I11</f>
        <v>RODOVIA TO-296 - TRECHO JAÚ DO TOCANTINS - SÃO SALVADOR DO TOCANTINS</v>
      </c>
      <c r="H51" s="80" t="str">
        <f>'REGIÃO 12 - RESUMO'!J11</f>
        <v>Terraplenagem / Reconformação da plataforma / Recomposição do revestimento primário</v>
      </c>
      <c r="I51" s="335">
        <f>'REGIÃO 12 - RESUMO'!K11</f>
        <v>55856.27</v>
      </c>
      <c r="J51" s="335">
        <f>'REGIÃO 12 - HISTÓRICO'!F11</f>
        <v>54206.239999999998</v>
      </c>
      <c r="K51" s="335">
        <f>'REGIÃO 12 - HISTÓRICO'!G11</f>
        <v>1650.0299999999988</v>
      </c>
      <c r="L51" s="335" t="str">
        <f>IF(OR('REGIÃO 12 - RESUMO'!L11="",'REGIÃO 12 - RESUMO'!L11=0),"",'REGIÃO 12 - RESUMO'!L11)</f>
        <v>Concluída</v>
      </c>
      <c r="M51" s="335">
        <f>'REGIÃO 12 - HISTÓRICO'!J11</f>
        <v>0</v>
      </c>
      <c r="N51" s="335">
        <f>'REGIÃO 12 - HISTÓRICO'!L11</f>
        <v>54206.239999999998</v>
      </c>
      <c r="O51" s="335">
        <f>'REGIÃO 12 - HISTÓRICO'!N11</f>
        <v>0</v>
      </c>
      <c r="P51" s="335">
        <f>'REGIÃO 12 - HISTÓRICO'!P11</f>
        <v>0</v>
      </c>
      <c r="Q51" s="335">
        <f>'REGIÃO 12 - HISTÓRICO'!R11</f>
        <v>0</v>
      </c>
      <c r="R51" s="335">
        <f>'REGIÃO 12 - HISTÓRICO'!T11</f>
        <v>0</v>
      </c>
      <c r="S51" s="335">
        <f>'REGIÃO 12 - HISTÓRICO'!V11</f>
        <v>0</v>
      </c>
      <c r="T51" s="335">
        <f>'REGIÃO 12 - HISTÓRICO'!X11</f>
        <v>0</v>
      </c>
      <c r="U51" s="335">
        <f>'REGIÃO 12 - HISTÓRICO'!Z11</f>
        <v>0</v>
      </c>
      <c r="V51" s="335">
        <f>'REGIÃO 12 - HISTÓRICO'!AB11</f>
        <v>0</v>
      </c>
      <c r="W51" s="335">
        <f>'REGIÃO 12 - HISTÓRICO'!AD11</f>
        <v>0</v>
      </c>
      <c r="X51" s="335">
        <f>'REGIÃO 12 - HISTÓRICO'!AF11</f>
        <v>0</v>
      </c>
      <c r="Y51" s="335"/>
      <c r="Z51" s="335"/>
      <c r="AA51" s="335" t="str">
        <f>IF($Z51="","",COUNTIFS($H$4:$H$217,$Z51,$B$4:$B$217,$Z$1))</f>
        <v/>
      </c>
      <c r="AB51" s="335" t="str">
        <f>IF($Z51="","",SUMIFS($I$4:$I$217,$H$4:$H$217,$Z51,$B$4:$B$217,$Z$1))</f>
        <v/>
      </c>
      <c r="AC51" s="335" t="str">
        <f>IF($Z51="","",$AB51-ROW()/1000000)</f>
        <v/>
      </c>
      <c r="AD51" s="335" t="str">
        <f>IFERROR(RANK($AC51,$AC$4:$AC$217),"")</f>
        <v/>
      </c>
      <c r="AE51" s="335"/>
      <c r="AF51" s="335" t="str">
        <f>$B51</f>
        <v>R12</v>
      </c>
      <c r="AG51" s="335" t="str">
        <f>$C51&amp;"."&amp;TEXT($D51,"0000")</f>
        <v>009.2025.0072</v>
      </c>
      <c r="AH51" s="335">
        <f>IF($B51="",-1,IF(OR($Z$1="?*",$B51=$Z$1),$I51,-1))</f>
        <v>55856.27</v>
      </c>
      <c r="AI51" s="335">
        <f>IF($AH51&lt;0,"",$AH51-ROW()/1000000)</f>
        <v>55856.269948999994</v>
      </c>
      <c r="AJ51" s="335">
        <f>IFERROR(RANK($AI51,$AI$4:$AI$217),"")</f>
        <v>33</v>
      </c>
    </row>
    <row r="52" spans="2:36" x14ac:dyDescent="0.3">
      <c r="B52" s="335" t="str">
        <f>IF(OR('REGIÃO 12 - RESUMO'!E12="",'REGIÃO 12 - RESUMO'!E12=0),"",'REGIÃO 12 - RESUMO'!C12)</f>
        <v>R12</v>
      </c>
      <c r="C52" s="335" t="str">
        <f>'REGIÃO 12 - RESUMO'!D12</f>
        <v>009.2025</v>
      </c>
      <c r="D52" s="81">
        <f>'REGIÃO 12 - RESUMO'!E12</f>
        <v>73</v>
      </c>
      <c r="E52" s="80" t="str">
        <f>'REGIÃO 12 - RESUMO'!F12</f>
        <v>Fevereiro</v>
      </c>
      <c r="F52" s="82">
        <f>'REGIÃO 12 - RESUMO'!H12</f>
        <v>225</v>
      </c>
      <c r="G52" s="335" t="str">
        <f>'REGIÃO 12 - RESUMO'!I12</f>
        <v>RODOVIA TO-280 - TRECHO NATIVIDADE - ALMAS</v>
      </c>
      <c r="H52" s="80" t="str">
        <f>'REGIÃO 12 - RESUMO'!J12</f>
        <v>Tapa-Buraco CAE</v>
      </c>
      <c r="I52" s="335">
        <f>'REGIÃO 12 - RESUMO'!K12</f>
        <v>81113.55</v>
      </c>
      <c r="J52" s="335">
        <f>'REGIÃO 12 - HISTÓRICO'!F12</f>
        <v>75878.570000000007</v>
      </c>
      <c r="K52" s="335">
        <f>'REGIÃO 12 - HISTÓRICO'!G12</f>
        <v>5234.9799999999959</v>
      </c>
      <c r="L52" s="335" t="str">
        <f>IF(OR('REGIÃO 12 - RESUMO'!L12="",'REGIÃO 12 - RESUMO'!L12=0),"",'REGIÃO 12 - RESUMO'!L12)</f>
        <v>Concluída</v>
      </c>
      <c r="M52" s="335">
        <f>'REGIÃO 12 - HISTÓRICO'!J12</f>
        <v>0</v>
      </c>
      <c r="N52" s="335">
        <f>'REGIÃO 12 - HISTÓRICO'!L12</f>
        <v>75878.570000000007</v>
      </c>
      <c r="O52" s="335">
        <f>'REGIÃO 12 - HISTÓRICO'!N12</f>
        <v>0</v>
      </c>
      <c r="P52" s="335">
        <f>'REGIÃO 12 - HISTÓRICO'!P12</f>
        <v>0</v>
      </c>
      <c r="Q52" s="335">
        <f>'REGIÃO 12 - HISTÓRICO'!R12</f>
        <v>0</v>
      </c>
      <c r="R52" s="335">
        <f>'REGIÃO 12 - HISTÓRICO'!T12</f>
        <v>0</v>
      </c>
      <c r="S52" s="335">
        <f>'REGIÃO 12 - HISTÓRICO'!V12</f>
        <v>0</v>
      </c>
      <c r="T52" s="335">
        <f>'REGIÃO 12 - HISTÓRICO'!X12</f>
        <v>0</v>
      </c>
      <c r="U52" s="335">
        <f>'REGIÃO 12 - HISTÓRICO'!Z12</f>
        <v>0</v>
      </c>
      <c r="V52" s="335">
        <f>'REGIÃO 12 - HISTÓRICO'!AB12</f>
        <v>0</v>
      </c>
      <c r="W52" s="335">
        <f>'REGIÃO 12 - HISTÓRICO'!AD12</f>
        <v>0</v>
      </c>
      <c r="X52" s="335">
        <f>'REGIÃO 12 - HISTÓRICO'!AF12</f>
        <v>0</v>
      </c>
      <c r="Y52" s="335"/>
      <c r="Z52" s="335"/>
      <c r="AA52" s="335" t="str">
        <f>IF($Z52="","",COUNTIFS($H$4:$H$217,$Z52,$B$4:$B$217,$Z$1))</f>
        <v/>
      </c>
      <c r="AB52" s="335" t="str">
        <f>IF($Z52="","",SUMIFS($I$4:$I$217,$H$4:$H$217,$Z52,$B$4:$B$217,$Z$1))</f>
        <v/>
      </c>
      <c r="AC52" s="335" t="str">
        <f>IF($Z52="","",$AB52-ROW()/1000000)</f>
        <v/>
      </c>
      <c r="AD52" s="335" t="str">
        <f>IFERROR(RANK($AC52,$AC$4:$AC$217),"")</f>
        <v/>
      </c>
      <c r="AE52" s="335"/>
      <c r="AF52" s="335" t="str">
        <f>$B52</f>
        <v>R12</v>
      </c>
      <c r="AG52" s="335" t="str">
        <f>$C52&amp;"."&amp;TEXT($D52,"0000")</f>
        <v>009.2025.0073</v>
      </c>
      <c r="AH52" s="335">
        <f>IF($B52="",-1,IF(OR($Z$1="?*",$B52=$Z$1),$I52,-1))</f>
        <v>81113.55</v>
      </c>
      <c r="AI52" s="335">
        <f>IF($AH52&lt;0,"",$AH52-ROW()/1000000)</f>
        <v>81113.549948</v>
      </c>
      <c r="AJ52" s="335">
        <f>IFERROR(RANK($AI52,$AI$4:$AI$217),"")</f>
        <v>23</v>
      </c>
    </row>
    <row r="53" spans="2:36" x14ac:dyDescent="0.3">
      <c r="B53" s="335" t="str">
        <f>IF(OR('REGIÃO 12 - RESUMO'!E13="",'REGIÃO 12 - RESUMO'!E13=0),"",'REGIÃO 12 - RESUMO'!C13)</f>
        <v>R12</v>
      </c>
      <c r="C53" s="335" t="str">
        <f>'REGIÃO 12 - RESUMO'!D13</f>
        <v>009.2025</v>
      </c>
      <c r="D53" s="81">
        <f>'REGIÃO 12 - RESUMO'!E13</f>
        <v>74</v>
      </c>
      <c r="E53" s="80" t="str">
        <f>'REGIÃO 12 - RESUMO'!F13</f>
        <v>Fevereiro</v>
      </c>
      <c r="F53" s="82">
        <f>'REGIÃO 12 - RESUMO'!H13</f>
        <v>229</v>
      </c>
      <c r="G53" s="335" t="str">
        <f>'REGIÃO 12 - RESUMO'!I13</f>
        <v>RODOVIA TO-296 - TRECHO JAÚ DO TOCANTINS - SÃO SALVADOR DO TOCANTINS</v>
      </c>
      <c r="H53" s="80" t="str">
        <f>'REGIÃO 12 - RESUMO'!J13</f>
        <v>Terraplenagem / Reconformação da plataforma / Recomposição do revestimento primário</v>
      </c>
      <c r="I53" s="335">
        <f>'REGIÃO 12 - RESUMO'!K13</f>
        <v>57943.33</v>
      </c>
      <c r="J53" s="335">
        <f>'REGIÃO 12 - HISTÓRICO'!F13</f>
        <v>57943.33</v>
      </c>
      <c r="K53" s="335">
        <f>'REGIÃO 12 - HISTÓRICO'!G13</f>
        <v>0</v>
      </c>
      <c r="L53" s="335" t="str">
        <f>IF(OR('REGIÃO 12 - RESUMO'!L13="",'REGIÃO 12 - RESUMO'!L13=0),"",'REGIÃO 12 - RESUMO'!L13)</f>
        <v>Concluída</v>
      </c>
      <c r="M53" s="335">
        <f>'REGIÃO 12 - HISTÓRICO'!J13</f>
        <v>0</v>
      </c>
      <c r="N53" s="335">
        <f>'REGIÃO 12 - HISTÓRICO'!L13</f>
        <v>57943.33</v>
      </c>
      <c r="O53" s="335">
        <f>'REGIÃO 12 - HISTÓRICO'!N13</f>
        <v>0</v>
      </c>
      <c r="P53" s="335">
        <f>'REGIÃO 12 - HISTÓRICO'!P13</f>
        <v>0</v>
      </c>
      <c r="Q53" s="335">
        <f>'REGIÃO 12 - HISTÓRICO'!R13</f>
        <v>0</v>
      </c>
      <c r="R53" s="335">
        <f>'REGIÃO 12 - HISTÓRICO'!T13</f>
        <v>0</v>
      </c>
      <c r="S53" s="335">
        <f>'REGIÃO 12 - HISTÓRICO'!V13</f>
        <v>0</v>
      </c>
      <c r="T53" s="335">
        <f>'REGIÃO 12 - HISTÓRICO'!X13</f>
        <v>0</v>
      </c>
      <c r="U53" s="335">
        <f>'REGIÃO 12 - HISTÓRICO'!Z13</f>
        <v>0</v>
      </c>
      <c r="V53" s="335">
        <f>'REGIÃO 12 - HISTÓRICO'!AB13</f>
        <v>0</v>
      </c>
      <c r="W53" s="335">
        <f>'REGIÃO 12 - HISTÓRICO'!AD13</f>
        <v>0</v>
      </c>
      <c r="X53" s="335">
        <f>'REGIÃO 12 - HISTÓRICO'!AF13</f>
        <v>0</v>
      </c>
      <c r="Y53" s="335"/>
      <c r="Z53" s="335"/>
      <c r="AA53" s="335" t="str">
        <f>IF($Z53="","",COUNTIFS($H$4:$H$217,$Z53,$B$4:$B$217,$Z$1))</f>
        <v/>
      </c>
      <c r="AB53" s="335" t="str">
        <f>IF($Z53="","",SUMIFS($I$4:$I$217,$H$4:$H$217,$Z53,$B$4:$B$217,$Z$1))</f>
        <v/>
      </c>
      <c r="AC53" s="335" t="str">
        <f>IF($Z53="","",$AB53-ROW()/1000000)</f>
        <v/>
      </c>
      <c r="AD53" s="335" t="str">
        <f>IFERROR(RANK($AC53,$AC$4:$AC$217),"")</f>
        <v/>
      </c>
      <c r="AE53" s="335"/>
      <c r="AF53" s="335" t="str">
        <f>$B53</f>
        <v>R12</v>
      </c>
      <c r="AG53" s="335" t="str">
        <f>$C53&amp;"."&amp;TEXT($D53,"0000")</f>
        <v>009.2025.0074</v>
      </c>
      <c r="AH53" s="335">
        <f>IF($B53="",-1,IF(OR($Z$1="?*",$B53=$Z$1),$I53,-1))</f>
        <v>57943.33</v>
      </c>
      <c r="AI53" s="335">
        <f>IF($AH53&lt;0,"",$AH53-ROW()/1000000)</f>
        <v>57943.329946999998</v>
      </c>
      <c r="AJ53" s="335">
        <f>IFERROR(RANK($AI53,$AI$4:$AI$217),"")</f>
        <v>31</v>
      </c>
    </row>
    <row r="54" spans="2:36" x14ac:dyDescent="0.3">
      <c r="B54" s="335" t="str">
        <f>IF(OR('REGIÃO 12 - RESUMO'!E14="",'REGIÃO 12 - RESUMO'!E14=0),"",'REGIÃO 12 - RESUMO'!C14)</f>
        <v>R12</v>
      </c>
      <c r="C54" s="335" t="str">
        <f>'REGIÃO 12 - RESUMO'!D14</f>
        <v>009.2025</v>
      </c>
      <c r="D54" s="81">
        <f>'REGIÃO 12 - RESUMO'!E14</f>
        <v>75</v>
      </c>
      <c r="E54" s="80" t="str">
        <f>'REGIÃO 12 - RESUMO'!F14</f>
        <v>Fevereiro</v>
      </c>
      <c r="F54" s="82">
        <f>'REGIÃO 12 - RESUMO'!H14</f>
        <v>232</v>
      </c>
      <c r="G54" s="335" t="str">
        <f>'REGIÃO 12 - RESUMO'!I14</f>
        <v>RODOVIA TO-373 - TRECHO ENTR. TO-365 (BALSA) - SÃO MIGUEL - LAGOA DO ROMÃO -ENTR. TO-280</v>
      </c>
      <c r="H54" s="80" t="str">
        <f>'REGIÃO 12 - RESUMO'!J14</f>
        <v>Terraplenagem / Reconformação da plataforma / Recomposição do revestimento primário</v>
      </c>
      <c r="I54" s="335">
        <f>'REGIÃO 12 - RESUMO'!K14</f>
        <v>295343.5</v>
      </c>
      <c r="J54" s="335">
        <f>'REGIÃO 12 - HISTÓRICO'!F14</f>
        <v>217242.54</v>
      </c>
      <c r="K54" s="335">
        <f>'REGIÃO 12 - HISTÓRICO'!G14</f>
        <v>78100.959999999992</v>
      </c>
      <c r="L54" s="335" t="str">
        <f>IF(OR('REGIÃO 12 - RESUMO'!L14="",'REGIÃO 12 - RESUMO'!L14=0),"",'REGIÃO 12 - RESUMO'!L14)</f>
        <v>Concluída</v>
      </c>
      <c r="M54" s="335">
        <f>'REGIÃO 12 - HISTÓRICO'!J14</f>
        <v>0</v>
      </c>
      <c r="N54" s="335">
        <f>'REGIÃO 12 - HISTÓRICO'!L14</f>
        <v>217242.54</v>
      </c>
      <c r="O54" s="335">
        <f>'REGIÃO 12 - HISTÓRICO'!N14</f>
        <v>0</v>
      </c>
      <c r="P54" s="335">
        <f>'REGIÃO 12 - HISTÓRICO'!P14</f>
        <v>0</v>
      </c>
      <c r="Q54" s="335">
        <f>'REGIÃO 12 - HISTÓRICO'!R14</f>
        <v>0</v>
      </c>
      <c r="R54" s="335">
        <f>'REGIÃO 12 - HISTÓRICO'!T14</f>
        <v>0</v>
      </c>
      <c r="S54" s="335">
        <f>'REGIÃO 12 - HISTÓRICO'!V14</f>
        <v>0</v>
      </c>
      <c r="T54" s="335">
        <f>'REGIÃO 12 - HISTÓRICO'!X14</f>
        <v>0</v>
      </c>
      <c r="U54" s="335">
        <f>'REGIÃO 12 - HISTÓRICO'!Z14</f>
        <v>0</v>
      </c>
      <c r="V54" s="335">
        <f>'REGIÃO 12 - HISTÓRICO'!AB14</f>
        <v>0</v>
      </c>
      <c r="W54" s="335">
        <f>'REGIÃO 12 - HISTÓRICO'!AD14</f>
        <v>0</v>
      </c>
      <c r="X54" s="335">
        <f>'REGIÃO 12 - HISTÓRICO'!AF14</f>
        <v>0</v>
      </c>
      <c r="Y54" s="335"/>
      <c r="Z54" s="335"/>
      <c r="AA54" s="335" t="str">
        <f>IF($Z54="","",COUNTIFS($H$4:$H$217,$Z54,$B$4:$B$217,$Z$1))</f>
        <v/>
      </c>
      <c r="AB54" s="335" t="str">
        <f>IF($Z54="","",SUMIFS($I$4:$I$217,$H$4:$H$217,$Z54,$B$4:$B$217,$Z$1))</f>
        <v/>
      </c>
      <c r="AC54" s="335" t="str">
        <f>IF($Z54="","",$AB54-ROW()/1000000)</f>
        <v/>
      </c>
      <c r="AD54" s="335" t="str">
        <f>IFERROR(RANK($AC54,$AC$4:$AC$217),"")</f>
        <v/>
      </c>
      <c r="AE54" s="335"/>
      <c r="AF54" s="335" t="str">
        <f>$B54</f>
        <v>R12</v>
      </c>
      <c r="AG54" s="335" t="str">
        <f>$C54&amp;"."&amp;TEXT($D54,"0000")</f>
        <v>009.2025.0075</v>
      </c>
      <c r="AH54" s="335">
        <f>IF($B54="",-1,IF(OR($Z$1="?*",$B54=$Z$1),$I54,-1))</f>
        <v>295343.5</v>
      </c>
      <c r="AI54" s="335">
        <f>IF($AH54&lt;0,"",$AH54-ROW()/1000000)</f>
        <v>295343.499946</v>
      </c>
      <c r="AJ54" s="335">
        <f>IFERROR(RANK($AI54,$AI$4:$AI$217),"")</f>
        <v>9</v>
      </c>
    </row>
    <row r="55" spans="2:36" x14ac:dyDescent="0.3">
      <c r="B55" s="335" t="str">
        <f>IF(OR('REGIÃO 12 - RESUMO'!E15="",'REGIÃO 12 - RESUMO'!E15=0),"",'REGIÃO 12 - RESUMO'!C15)</f>
        <v>R12</v>
      </c>
      <c r="C55" s="335" t="str">
        <f>'REGIÃO 12 - RESUMO'!D15</f>
        <v>009.2025</v>
      </c>
      <c r="D55" s="81">
        <f>'REGIÃO 12 - RESUMO'!E15</f>
        <v>76</v>
      </c>
      <c r="E55" s="80" t="str">
        <f>'REGIÃO 12 - RESUMO'!F15</f>
        <v>Fevereiro</v>
      </c>
      <c r="F55" s="82">
        <f>'REGIÃO 12 - RESUMO'!H15</f>
        <v>238</v>
      </c>
      <c r="G55" s="335" t="str">
        <f>'REGIÃO 12 - RESUMO'!I15</f>
        <v>RODOVIA TO-482 - TRECHO: ENTR. TO-280 (SÃO VALÉRIO DE NATIVIDADE) / ENTR. TO-458</v>
      </c>
      <c r="H55" s="80" t="str">
        <f>'REGIÃO 12 - RESUMO'!J15</f>
        <v>Terraplenagem / Reconformação da plataforma / Recomposição do revestimento primário</v>
      </c>
      <c r="I55" s="335">
        <f>'REGIÃO 12 - RESUMO'!K15</f>
        <v>615457.46</v>
      </c>
      <c r="J55" s="335">
        <f>'REGIÃO 12 - HISTÓRICO'!F15</f>
        <v>536383.80000000005</v>
      </c>
      <c r="K55" s="335">
        <f>'REGIÃO 12 - HISTÓRICO'!G15</f>
        <v>79073.659999999916</v>
      </c>
      <c r="L55" s="335" t="str">
        <f>IF(OR('REGIÃO 12 - RESUMO'!L15="",'REGIÃO 12 - RESUMO'!L15=0),"",'REGIÃO 12 - RESUMO'!L15)</f>
        <v>Concluída</v>
      </c>
      <c r="M55" s="335">
        <f>'REGIÃO 12 - HISTÓRICO'!J15</f>
        <v>0</v>
      </c>
      <c r="N55" s="335">
        <f>'REGIÃO 12 - HISTÓRICO'!L15</f>
        <v>536383.80000000005</v>
      </c>
      <c r="O55" s="335">
        <f>'REGIÃO 12 - HISTÓRICO'!N15</f>
        <v>0</v>
      </c>
      <c r="P55" s="335">
        <f>'REGIÃO 12 - HISTÓRICO'!P15</f>
        <v>0</v>
      </c>
      <c r="Q55" s="335">
        <f>'REGIÃO 12 - HISTÓRICO'!R15</f>
        <v>0</v>
      </c>
      <c r="R55" s="335">
        <f>'REGIÃO 12 - HISTÓRICO'!T15</f>
        <v>0</v>
      </c>
      <c r="S55" s="335">
        <f>'REGIÃO 12 - HISTÓRICO'!V15</f>
        <v>0</v>
      </c>
      <c r="T55" s="335">
        <f>'REGIÃO 12 - HISTÓRICO'!X15</f>
        <v>0</v>
      </c>
      <c r="U55" s="335">
        <f>'REGIÃO 12 - HISTÓRICO'!Z15</f>
        <v>0</v>
      </c>
      <c r="V55" s="335">
        <f>'REGIÃO 12 - HISTÓRICO'!AB15</f>
        <v>0</v>
      </c>
      <c r="W55" s="335">
        <f>'REGIÃO 12 - HISTÓRICO'!AD15</f>
        <v>0</v>
      </c>
      <c r="X55" s="335">
        <f>'REGIÃO 12 - HISTÓRICO'!AF15</f>
        <v>0</v>
      </c>
      <c r="Y55" s="335"/>
      <c r="Z55" s="335"/>
      <c r="AA55" s="335" t="str">
        <f>IF($Z55="","",COUNTIFS($H$4:$H$217,$Z55,$B$4:$B$217,$Z$1))</f>
        <v/>
      </c>
      <c r="AB55" s="335" t="str">
        <f>IF($Z55="","",SUMIFS($I$4:$I$217,$H$4:$H$217,$Z55,$B$4:$B$217,$Z$1))</f>
        <v/>
      </c>
      <c r="AC55" s="335" t="str">
        <f>IF($Z55="","",$AB55-ROW()/1000000)</f>
        <v/>
      </c>
      <c r="AD55" s="335" t="str">
        <f>IFERROR(RANK($AC55,$AC$4:$AC$217),"")</f>
        <v/>
      </c>
      <c r="AE55" s="335"/>
      <c r="AF55" s="335" t="str">
        <f>$B55</f>
        <v>R12</v>
      </c>
      <c r="AG55" s="335" t="str">
        <f>$C55&amp;"."&amp;TEXT($D55,"0000")</f>
        <v>009.2025.0076</v>
      </c>
      <c r="AH55" s="335">
        <f>IF($B55="",-1,IF(OR($Z$1="?*",$B55=$Z$1),$I55,-1))</f>
        <v>615457.46</v>
      </c>
      <c r="AI55" s="335">
        <f>IF($AH55&lt;0,"",$AH55-ROW()/1000000)</f>
        <v>615457.45994500001</v>
      </c>
      <c r="AJ55" s="335">
        <f>IFERROR(RANK($AI55,$AI$4:$AI$217),"")</f>
        <v>5</v>
      </c>
    </row>
    <row r="56" spans="2:36" x14ac:dyDescent="0.3">
      <c r="B56" s="335" t="str">
        <f>IF(OR('REGIÃO 12 - RESUMO'!E16="",'REGIÃO 12 - RESUMO'!E16=0),"",'REGIÃO 12 - RESUMO'!C16)</f>
        <v>R12</v>
      </c>
      <c r="C56" s="335" t="str">
        <f>'REGIÃO 12 - RESUMO'!D16</f>
        <v>009.2025</v>
      </c>
      <c r="D56" s="81">
        <f>'REGIÃO 12 - RESUMO'!E16</f>
        <v>77</v>
      </c>
      <c r="E56" s="80" t="str">
        <f>'REGIÃO 12 - RESUMO'!F16</f>
        <v>Março</v>
      </c>
      <c r="F56" s="82">
        <f>'REGIÃO 12 - RESUMO'!H16</f>
        <v>233</v>
      </c>
      <c r="G56" s="335" t="str">
        <f>'REGIÃO 12 - RESUMO'!I16</f>
        <v>RODOVIA TO-373 - TRECHO ALVORADA - ENTR. BR-242</v>
      </c>
      <c r="H56" s="80" t="str">
        <f>'REGIÃO 12 - RESUMO'!J16</f>
        <v>Roçada / Tapa-Buraco CAE / Remendo Profundo</v>
      </c>
      <c r="I56" s="335">
        <f>'REGIÃO 12 - RESUMO'!K16</f>
        <v>133710.57999999999</v>
      </c>
      <c r="J56" s="335">
        <f>'REGIÃO 12 - HISTÓRICO'!F16</f>
        <v>27644.120000000003</v>
      </c>
      <c r="K56" s="335">
        <f>'REGIÃO 12 - HISTÓRICO'!G16</f>
        <v>106066.45999999999</v>
      </c>
      <c r="L56" s="335" t="str">
        <f>IF(OR('REGIÃO 12 - RESUMO'!L16="",'REGIÃO 12 - RESUMO'!L16=0),"",'REGIÃO 12 - RESUMO'!L16)</f>
        <v>Concluída</v>
      </c>
      <c r="M56" s="335">
        <f>'REGIÃO 12 - HISTÓRICO'!J16</f>
        <v>0</v>
      </c>
      <c r="N56" s="335">
        <f>'REGIÃO 12 - HISTÓRICO'!L16</f>
        <v>0</v>
      </c>
      <c r="O56" s="335">
        <f>'REGIÃO 12 - HISTÓRICO'!N16</f>
        <v>7686.15</v>
      </c>
      <c r="P56" s="335">
        <f>'REGIÃO 12 - HISTÓRICO'!P16</f>
        <v>0</v>
      </c>
      <c r="Q56" s="335">
        <f>'REGIÃO 12 - HISTÓRICO'!R16</f>
        <v>19957.97</v>
      </c>
      <c r="R56" s="335">
        <f>'REGIÃO 12 - HISTÓRICO'!T16</f>
        <v>0</v>
      </c>
      <c r="S56" s="335">
        <f>'REGIÃO 12 - HISTÓRICO'!V16</f>
        <v>0</v>
      </c>
      <c r="T56" s="335">
        <f>'REGIÃO 12 - HISTÓRICO'!X16</f>
        <v>0</v>
      </c>
      <c r="U56" s="335">
        <f>'REGIÃO 12 - HISTÓRICO'!Z16</f>
        <v>0</v>
      </c>
      <c r="V56" s="335">
        <f>'REGIÃO 12 - HISTÓRICO'!AB16</f>
        <v>0</v>
      </c>
      <c r="W56" s="335">
        <f>'REGIÃO 12 - HISTÓRICO'!AD16</f>
        <v>0</v>
      </c>
      <c r="X56" s="335">
        <f>'REGIÃO 12 - HISTÓRICO'!AF16</f>
        <v>0</v>
      </c>
      <c r="Y56" s="335"/>
      <c r="Z56" s="335"/>
      <c r="AA56" s="335" t="str">
        <f>IF($Z56="","",COUNTIFS($H$4:$H$217,$Z56,$B$4:$B$217,$Z$1))</f>
        <v/>
      </c>
      <c r="AB56" s="335" t="str">
        <f>IF($Z56="","",SUMIFS($I$4:$I$217,$H$4:$H$217,$Z56,$B$4:$B$217,$Z$1))</f>
        <v/>
      </c>
      <c r="AC56" s="335" t="str">
        <f>IF($Z56="","",$AB56-ROW()/1000000)</f>
        <v/>
      </c>
      <c r="AD56" s="335" t="str">
        <f>IFERROR(RANK($AC56,$AC$4:$AC$217),"")</f>
        <v/>
      </c>
      <c r="AE56" s="335"/>
      <c r="AF56" s="335" t="str">
        <f>$B56</f>
        <v>R12</v>
      </c>
      <c r="AG56" s="335" t="str">
        <f>$C56&amp;"."&amp;TEXT($D56,"0000")</f>
        <v>009.2025.0077</v>
      </c>
      <c r="AH56" s="335">
        <f>IF($B56="",-1,IF(OR($Z$1="?*",$B56=$Z$1),$I56,-1))</f>
        <v>133710.57999999999</v>
      </c>
      <c r="AI56" s="335">
        <f>IF($AH56&lt;0,"",$AH56-ROW()/1000000)</f>
        <v>133710.579944</v>
      </c>
      <c r="AJ56" s="335">
        <f>IFERROR(RANK($AI56,$AI$4:$AI$217),"")</f>
        <v>17</v>
      </c>
    </row>
    <row r="57" spans="2:36" x14ac:dyDescent="0.3">
      <c r="B57" s="335" t="str">
        <f>IF(OR('REGIÃO 12 - RESUMO'!E17="",'REGIÃO 12 - RESUMO'!E17=0),"",'REGIÃO 12 - RESUMO'!C17)</f>
        <v>R12</v>
      </c>
      <c r="C57" s="335" t="str">
        <f>'REGIÃO 12 - RESUMO'!D17</f>
        <v>009.2025</v>
      </c>
      <c r="D57" s="81">
        <f>'REGIÃO 12 - RESUMO'!E17</f>
        <v>78</v>
      </c>
      <c r="E57" s="80" t="str">
        <f>'REGIÃO 12 - RESUMO'!F17</f>
        <v>Março</v>
      </c>
      <c r="F57" s="82">
        <f>'REGIÃO 12 - RESUMO'!H17</f>
        <v>244</v>
      </c>
      <c r="G57" s="335" t="str">
        <f>'REGIÃO 12 - RESUMO'!I17</f>
        <v>RODOVIA TO-498 - TRECHO JAÚ DO TOCANTINS - ENTR. TO-387</v>
      </c>
      <c r="H57" s="80" t="str">
        <f>'REGIÃO 12 - RESUMO'!J17</f>
        <v>Roçada / Tapa-Buraco CAE / Remendo Profundo</v>
      </c>
      <c r="I57" s="335">
        <f>'REGIÃO 12 - RESUMO'!K17</f>
        <v>78688.490000000005</v>
      </c>
      <c r="J57" s="335">
        <f>'REGIÃO 12 - HISTÓRICO'!F17</f>
        <v>15187.11</v>
      </c>
      <c r="K57" s="335">
        <f>'REGIÃO 12 - HISTÓRICO'!G17</f>
        <v>63501.380000000005</v>
      </c>
      <c r="L57" s="335" t="str">
        <f>IF(OR('REGIÃO 12 - RESUMO'!L17="",'REGIÃO 12 - RESUMO'!L17=0),"",'REGIÃO 12 - RESUMO'!L17)</f>
        <v>Concluída</v>
      </c>
      <c r="M57" s="335">
        <f>'REGIÃO 12 - HISTÓRICO'!J17</f>
        <v>0</v>
      </c>
      <c r="N57" s="335">
        <f>'REGIÃO 12 - HISTÓRICO'!L17</f>
        <v>0</v>
      </c>
      <c r="O57" s="335">
        <f>'REGIÃO 12 - HISTÓRICO'!N17</f>
        <v>0</v>
      </c>
      <c r="P57" s="335">
        <f>'REGIÃO 12 - HISTÓRICO'!P17</f>
        <v>15187.11</v>
      </c>
      <c r="Q57" s="335">
        <f>'REGIÃO 12 - HISTÓRICO'!R17</f>
        <v>0</v>
      </c>
      <c r="R57" s="335">
        <f>'REGIÃO 12 - HISTÓRICO'!T17</f>
        <v>0</v>
      </c>
      <c r="S57" s="335">
        <f>'REGIÃO 12 - HISTÓRICO'!V17</f>
        <v>0</v>
      </c>
      <c r="T57" s="335">
        <f>'REGIÃO 12 - HISTÓRICO'!X17</f>
        <v>0</v>
      </c>
      <c r="U57" s="335">
        <f>'REGIÃO 12 - HISTÓRICO'!Z17</f>
        <v>0</v>
      </c>
      <c r="V57" s="335">
        <f>'REGIÃO 12 - HISTÓRICO'!AB17</f>
        <v>0</v>
      </c>
      <c r="W57" s="335">
        <f>'REGIÃO 12 - HISTÓRICO'!AD17</f>
        <v>0</v>
      </c>
      <c r="X57" s="335">
        <f>'REGIÃO 12 - HISTÓRICO'!AF17</f>
        <v>0</v>
      </c>
      <c r="Y57" s="335"/>
      <c r="Z57" s="335"/>
      <c r="AA57" s="335" t="str">
        <f>IF($Z57="","",COUNTIFS($H$4:$H$217,$Z57,$B$4:$B$217,$Z$1))</f>
        <v/>
      </c>
      <c r="AB57" s="335" t="str">
        <f>IF($Z57="","",SUMIFS($I$4:$I$217,$H$4:$H$217,$Z57,$B$4:$B$217,$Z$1))</f>
        <v/>
      </c>
      <c r="AC57" s="335" t="str">
        <f>IF($Z57="","",$AB57-ROW()/1000000)</f>
        <v/>
      </c>
      <c r="AD57" s="335" t="str">
        <f>IFERROR(RANK($AC57,$AC$4:$AC$217),"")</f>
        <v/>
      </c>
      <c r="AE57" s="335"/>
      <c r="AF57" s="335" t="str">
        <f>$B57</f>
        <v>R12</v>
      </c>
      <c r="AG57" s="335" t="str">
        <f>$C57&amp;"."&amp;TEXT($D57,"0000")</f>
        <v>009.2025.0078</v>
      </c>
      <c r="AH57" s="335">
        <f>IF($B57="",-1,IF(OR($Z$1="?*",$B57=$Z$1),$I57,-1))</f>
        <v>78688.490000000005</v>
      </c>
      <c r="AI57" s="335">
        <f>IF($AH57&lt;0,"",$AH57-ROW()/1000000)</f>
        <v>78688.489943000008</v>
      </c>
      <c r="AJ57" s="335">
        <f>IFERROR(RANK($AI57,$AI$4:$AI$217),"")</f>
        <v>26</v>
      </c>
    </row>
    <row r="58" spans="2:36" x14ac:dyDescent="0.3">
      <c r="B58" s="335" t="str">
        <f>IF(OR('REGIÃO 12 - RESUMO'!E18="",'REGIÃO 12 - RESUMO'!E18=0),"",'REGIÃO 12 - RESUMO'!C18)</f>
        <v>R12</v>
      </c>
      <c r="C58" s="335" t="str">
        <f>'REGIÃO 12 - RESUMO'!D18</f>
        <v>009.2025</v>
      </c>
      <c r="D58" s="81">
        <f>'REGIÃO 12 - RESUMO'!E18</f>
        <v>79</v>
      </c>
      <c r="E58" s="80" t="str">
        <f>'REGIÃO 12 - RESUMO'!F18</f>
        <v>Março</v>
      </c>
      <c r="F58" s="82">
        <f>'REGIÃO 12 - RESUMO'!H18</f>
        <v>243</v>
      </c>
      <c r="G58" s="335" t="str">
        <f>'REGIÃO 12 - RESUMO'!I18</f>
        <v>RODOVIA TO-498 - TRECHO JAÚ DO TOCANTINS - ENTR. TO-373 (SANTA CRUZ)</v>
      </c>
      <c r="H58" s="80" t="str">
        <f>'REGIÃO 12 - RESUMO'!J18</f>
        <v>Roçada / Tapa-Buraco CAE / Remendo Profundo</v>
      </c>
      <c r="I58" s="335">
        <f>'REGIÃO 12 - RESUMO'!K18</f>
        <v>103566.69</v>
      </c>
      <c r="J58" s="335">
        <f>'REGIÃO 12 - HISTÓRICO'!F18</f>
        <v>13059.73</v>
      </c>
      <c r="K58" s="335">
        <f>'REGIÃO 12 - HISTÓRICO'!G18</f>
        <v>90506.96</v>
      </c>
      <c r="L58" s="335" t="str">
        <f>IF(OR('REGIÃO 12 - RESUMO'!L18="",'REGIÃO 12 - RESUMO'!L18=0),"",'REGIÃO 12 - RESUMO'!L18)</f>
        <v>Concluída</v>
      </c>
      <c r="M58" s="335">
        <f>'REGIÃO 12 - HISTÓRICO'!J18</f>
        <v>0</v>
      </c>
      <c r="N58" s="335">
        <f>'REGIÃO 12 - HISTÓRICO'!L18</f>
        <v>0</v>
      </c>
      <c r="O58" s="335">
        <f>'REGIÃO 12 - HISTÓRICO'!N18</f>
        <v>0</v>
      </c>
      <c r="P58" s="335">
        <f>'REGIÃO 12 - HISTÓRICO'!P18</f>
        <v>13059.73</v>
      </c>
      <c r="Q58" s="335">
        <f>'REGIÃO 12 - HISTÓRICO'!R18</f>
        <v>0</v>
      </c>
      <c r="R58" s="335">
        <f>'REGIÃO 12 - HISTÓRICO'!T18</f>
        <v>0</v>
      </c>
      <c r="S58" s="335">
        <f>'REGIÃO 12 - HISTÓRICO'!V18</f>
        <v>0</v>
      </c>
      <c r="T58" s="335">
        <f>'REGIÃO 12 - HISTÓRICO'!X18</f>
        <v>0</v>
      </c>
      <c r="U58" s="335">
        <f>'REGIÃO 12 - HISTÓRICO'!Z18</f>
        <v>0</v>
      </c>
      <c r="V58" s="335">
        <f>'REGIÃO 12 - HISTÓRICO'!AB18</f>
        <v>0</v>
      </c>
      <c r="W58" s="335">
        <f>'REGIÃO 12 - HISTÓRICO'!AD18</f>
        <v>0</v>
      </c>
      <c r="X58" s="335">
        <f>'REGIÃO 12 - HISTÓRICO'!AF18</f>
        <v>0</v>
      </c>
      <c r="Y58" s="335"/>
      <c r="Z58" s="335"/>
      <c r="AA58" s="335" t="str">
        <f>IF($Z58="","",COUNTIFS($H$4:$H$217,$Z58,$B$4:$B$217,$Z$1))</f>
        <v/>
      </c>
      <c r="AB58" s="335" t="str">
        <f>IF($Z58="","",SUMIFS($I$4:$I$217,$H$4:$H$217,$Z58,$B$4:$B$217,$Z$1))</f>
        <v/>
      </c>
      <c r="AC58" s="335" t="str">
        <f>IF($Z58="","",$AB58-ROW()/1000000)</f>
        <v/>
      </c>
      <c r="AD58" s="335" t="str">
        <f>IFERROR(RANK($AC58,$AC$4:$AC$217),"")</f>
        <v/>
      </c>
      <c r="AE58" s="335"/>
      <c r="AF58" s="335" t="str">
        <f>$B58</f>
        <v>R12</v>
      </c>
      <c r="AG58" s="335" t="str">
        <f>$C58&amp;"."&amp;TEXT($D58,"0000")</f>
        <v>009.2025.0079</v>
      </c>
      <c r="AH58" s="335">
        <f>IF($B58="",-1,IF(OR($Z$1="?*",$B58=$Z$1),$I58,-1))</f>
        <v>103566.69</v>
      </c>
      <c r="AI58" s="335">
        <f>IF($AH58&lt;0,"",$AH58-ROW()/1000000)</f>
        <v>103566.689942</v>
      </c>
      <c r="AJ58" s="335">
        <f>IFERROR(RANK($AI58,$AI$4:$AI$217),"")</f>
        <v>20</v>
      </c>
    </row>
    <row r="59" spans="2:36" x14ac:dyDescent="0.3">
      <c r="B59" s="335" t="str">
        <f>IF(OR('REGIÃO 12 - RESUMO'!E19="",'REGIÃO 12 - RESUMO'!E19=0),"",'REGIÃO 12 - RESUMO'!C19)</f>
        <v>R12</v>
      </c>
      <c r="C59" s="335" t="str">
        <f>'REGIÃO 12 - RESUMO'!D19</f>
        <v>009.2025</v>
      </c>
      <c r="D59" s="81">
        <f>'REGIÃO 12 - RESUMO'!E19</f>
        <v>80</v>
      </c>
      <c r="E59" s="80" t="str">
        <f>'REGIÃO 12 - RESUMO'!F19</f>
        <v>Março</v>
      </c>
      <c r="F59" s="82">
        <f>'REGIÃO 12 - RESUMO'!H19</f>
        <v>238</v>
      </c>
      <c r="G59" s="335" t="str">
        <f>'REGIÃO 12 - RESUMO'!I19</f>
        <v>RODOVIA TO-482 - TRECHO: ENTR. TO-280 (SÃO VALÉRIO DE NATIVIDADE) / ENTR. TO-458</v>
      </c>
      <c r="H59" s="80" t="str">
        <f>'REGIÃO 12 - RESUMO'!J19</f>
        <v>Reconformação da plataforma</v>
      </c>
      <c r="I59" s="335">
        <f>'REGIÃO 12 - RESUMO'!K19</f>
        <v>79753.460000000006</v>
      </c>
      <c r="J59" s="335">
        <f>'REGIÃO 12 - HISTÓRICO'!F19</f>
        <v>79753.459999999992</v>
      </c>
      <c r="K59" s="335">
        <f>'REGIÃO 12 - HISTÓRICO'!G19</f>
        <v>0</v>
      </c>
      <c r="L59" s="335" t="str">
        <f>IF(OR('REGIÃO 12 - RESUMO'!L19="",'REGIÃO 12 - RESUMO'!L19=0),"",'REGIÃO 12 - RESUMO'!L19)</f>
        <v>Concluída</v>
      </c>
      <c r="M59" s="335">
        <f>'REGIÃO 12 - HISTÓRICO'!J19</f>
        <v>0</v>
      </c>
      <c r="N59" s="335">
        <f>'REGIÃO 12 - HISTÓRICO'!L19</f>
        <v>0</v>
      </c>
      <c r="O59" s="335">
        <f>'REGIÃO 12 - HISTÓRICO'!N19</f>
        <v>56219.25</v>
      </c>
      <c r="P59" s="335">
        <f>'REGIÃO 12 - HISTÓRICO'!P19</f>
        <v>23534.21</v>
      </c>
      <c r="Q59" s="335">
        <f>'REGIÃO 12 - HISTÓRICO'!R19</f>
        <v>0</v>
      </c>
      <c r="R59" s="335">
        <f>'REGIÃO 12 - HISTÓRICO'!T19</f>
        <v>0</v>
      </c>
      <c r="S59" s="335">
        <f>'REGIÃO 12 - HISTÓRICO'!V19</f>
        <v>0</v>
      </c>
      <c r="T59" s="335">
        <f>'REGIÃO 12 - HISTÓRICO'!X19</f>
        <v>0</v>
      </c>
      <c r="U59" s="335">
        <f>'REGIÃO 12 - HISTÓRICO'!Z19</f>
        <v>0</v>
      </c>
      <c r="V59" s="335">
        <f>'REGIÃO 12 - HISTÓRICO'!AB19</f>
        <v>0</v>
      </c>
      <c r="W59" s="335">
        <f>'REGIÃO 12 - HISTÓRICO'!AD19</f>
        <v>0</v>
      </c>
      <c r="X59" s="335">
        <f>'REGIÃO 12 - HISTÓRICO'!AF19</f>
        <v>0</v>
      </c>
      <c r="Y59" s="335"/>
      <c r="Z59" s="335"/>
      <c r="AA59" s="335" t="str">
        <f>IF($Z59="","",COUNTIFS($H$4:$H$217,$Z59,$B$4:$B$217,$Z$1))</f>
        <v/>
      </c>
      <c r="AB59" s="335" t="str">
        <f>IF($Z59="","",SUMIFS($I$4:$I$217,$H$4:$H$217,$Z59,$B$4:$B$217,$Z$1))</f>
        <v/>
      </c>
      <c r="AC59" s="335" t="str">
        <f>IF($Z59="","",$AB59-ROW()/1000000)</f>
        <v/>
      </c>
      <c r="AD59" s="335" t="str">
        <f>IFERROR(RANK($AC59,$AC$4:$AC$217),"")</f>
        <v/>
      </c>
      <c r="AE59" s="335"/>
      <c r="AF59" s="335" t="str">
        <f>$B59</f>
        <v>R12</v>
      </c>
      <c r="AG59" s="335" t="str">
        <f>$C59&amp;"."&amp;TEXT($D59,"0000")</f>
        <v>009.2025.0080</v>
      </c>
      <c r="AH59" s="335">
        <f>IF($B59="",-1,IF(OR($Z$1="?*",$B59=$Z$1),$I59,-1))</f>
        <v>79753.460000000006</v>
      </c>
      <c r="AI59" s="335">
        <f>IF($AH59&lt;0,"",$AH59-ROW()/1000000)</f>
        <v>79753.459941000008</v>
      </c>
      <c r="AJ59" s="335">
        <f>IFERROR(RANK($AI59,$AI$4:$AI$217),"")</f>
        <v>25</v>
      </c>
    </row>
    <row r="60" spans="2:36" x14ac:dyDescent="0.3">
      <c r="B60" s="335" t="str">
        <f>IF(OR('REGIÃO 12 - RESUMO'!E20="",'REGIÃO 12 - RESUMO'!E20=0),"",'REGIÃO 12 - RESUMO'!C20)</f>
        <v>R12</v>
      </c>
      <c r="C60" s="335" t="str">
        <f>'REGIÃO 12 - RESUMO'!D20</f>
        <v>009.2025</v>
      </c>
      <c r="D60" s="81">
        <f>'REGIÃO 12 - RESUMO'!E20</f>
        <v>81</v>
      </c>
      <c r="E60" s="80" t="str">
        <f>'REGIÃO 12 - RESUMO'!F20</f>
        <v>Março</v>
      </c>
      <c r="F60" s="82">
        <f>'REGIÃO 12 - RESUMO'!H20</f>
        <v>225</v>
      </c>
      <c r="G60" s="335" t="str">
        <f>'REGIÃO 12 - RESUMO'!I20</f>
        <v>RODOVIA TO-280 - TRECHO NATIVIDADE - ALMAS</v>
      </c>
      <c r="H60" s="80" t="str">
        <f>'REGIÃO 12 - RESUMO'!J20</f>
        <v>Tapa-Buraco CAE / Remendo Profundo</v>
      </c>
      <c r="I60" s="335">
        <f>'REGIÃO 12 - RESUMO'!K20</f>
        <v>284302.32</v>
      </c>
      <c r="J60" s="335">
        <f>'REGIÃO 12 - HISTÓRICO'!F20</f>
        <v>201106.42</v>
      </c>
      <c r="K60" s="335">
        <f>'REGIÃO 12 - HISTÓRICO'!G20</f>
        <v>83195.899999999994</v>
      </c>
      <c r="L60" s="335" t="str">
        <f>IF(OR('REGIÃO 12 - RESUMO'!L20="",'REGIÃO 12 - RESUMO'!L20=0),"",'REGIÃO 12 - RESUMO'!L20)</f>
        <v>Concluída</v>
      </c>
      <c r="M60" s="335">
        <f>'REGIÃO 12 - HISTÓRICO'!J20</f>
        <v>0</v>
      </c>
      <c r="N60" s="335">
        <f>'REGIÃO 12 - HISTÓRICO'!L20</f>
        <v>0</v>
      </c>
      <c r="O60" s="335">
        <f>'REGIÃO 12 - HISTÓRICO'!N20</f>
        <v>114672.07</v>
      </c>
      <c r="P60" s="335">
        <f>'REGIÃO 12 - HISTÓRICO'!P20</f>
        <v>86434.35</v>
      </c>
      <c r="Q60" s="335">
        <f>'REGIÃO 12 - HISTÓRICO'!R20</f>
        <v>0</v>
      </c>
      <c r="R60" s="335">
        <f>'REGIÃO 12 - HISTÓRICO'!T20</f>
        <v>0</v>
      </c>
      <c r="S60" s="335">
        <f>'REGIÃO 12 - HISTÓRICO'!V20</f>
        <v>0</v>
      </c>
      <c r="T60" s="335">
        <f>'REGIÃO 12 - HISTÓRICO'!X20</f>
        <v>0</v>
      </c>
      <c r="U60" s="335">
        <f>'REGIÃO 12 - HISTÓRICO'!Z20</f>
        <v>0</v>
      </c>
      <c r="V60" s="335">
        <f>'REGIÃO 12 - HISTÓRICO'!AB20</f>
        <v>0</v>
      </c>
      <c r="W60" s="335">
        <f>'REGIÃO 12 - HISTÓRICO'!AD20</f>
        <v>0</v>
      </c>
      <c r="X60" s="335">
        <f>'REGIÃO 12 - HISTÓRICO'!AF20</f>
        <v>0</v>
      </c>
      <c r="Y60" s="335"/>
      <c r="Z60" s="335"/>
      <c r="AA60" s="335" t="str">
        <f>IF($Z60="","",COUNTIFS($H$4:$H$217,$Z60,$B$4:$B$217,$Z$1))</f>
        <v/>
      </c>
      <c r="AB60" s="335" t="str">
        <f>IF($Z60="","",SUMIFS($I$4:$I$217,$H$4:$H$217,$Z60,$B$4:$B$217,$Z$1))</f>
        <v/>
      </c>
      <c r="AC60" s="335" t="str">
        <f>IF($Z60="","",$AB60-ROW()/1000000)</f>
        <v/>
      </c>
      <c r="AD60" s="335" t="str">
        <f>IFERROR(RANK($AC60,$AC$4:$AC$217),"")</f>
        <v/>
      </c>
      <c r="AE60" s="335"/>
      <c r="AF60" s="335" t="str">
        <f>$B60</f>
        <v>R12</v>
      </c>
      <c r="AG60" s="335" t="str">
        <f>$C60&amp;"."&amp;TEXT($D60,"0000")</f>
        <v>009.2025.0081</v>
      </c>
      <c r="AH60" s="335">
        <f>IF($B60="",-1,IF(OR($Z$1="?*",$B60=$Z$1),$I60,-1))</f>
        <v>284302.32</v>
      </c>
      <c r="AI60" s="335">
        <f>IF($AH60&lt;0,"",$AH60-ROW()/1000000)</f>
        <v>284302.31994000002</v>
      </c>
      <c r="AJ60" s="335">
        <f>IFERROR(RANK($AI60,$AI$4:$AI$217),"")</f>
        <v>10</v>
      </c>
    </row>
    <row r="61" spans="2:36" x14ac:dyDescent="0.3">
      <c r="B61" s="335" t="str">
        <f>IF(OR('REGIÃO 12 - RESUMO'!E21="",'REGIÃO 12 - RESUMO'!E21=0),"",'REGIÃO 12 - RESUMO'!C21)</f>
        <v>R12</v>
      </c>
      <c r="C61" s="335" t="str">
        <f>'REGIÃO 12 - RESUMO'!D21</f>
        <v>009.2025</v>
      </c>
      <c r="D61" s="81">
        <f>'REGIÃO 12 - RESUMO'!E21</f>
        <v>82</v>
      </c>
      <c r="E61" s="80" t="str">
        <f>'REGIÃO 12 - RESUMO'!F21</f>
        <v>Abril</v>
      </c>
      <c r="F61" s="82">
        <f>'REGIÃO 12 - RESUMO'!H21</f>
        <v>232</v>
      </c>
      <c r="G61" s="335" t="str">
        <f>'REGIÃO 12 - RESUMO'!I21</f>
        <v>RODOVIA TO-373 - TRECHO ENTR. TO-365 (BALSA) - SÃO MIGUEL - LAGOA DO ROMÃO -ENTR. TO-280</v>
      </c>
      <c r="H61" s="80" t="str">
        <f>'REGIÃO 12 - RESUMO'!J21</f>
        <v>Reconformação da plataforma</v>
      </c>
      <c r="I61" s="335">
        <f>'REGIÃO 12 - RESUMO'!K21</f>
        <v>84903.98</v>
      </c>
      <c r="J61" s="335">
        <f>'REGIÃO 12 - HISTÓRICO'!F21</f>
        <v>78780.759999999995</v>
      </c>
      <c r="K61" s="335">
        <f>'REGIÃO 12 - HISTÓRICO'!G21</f>
        <v>6123.2200000000012</v>
      </c>
      <c r="L61" s="335" t="str">
        <f>IF(OR('REGIÃO 12 - RESUMO'!L21="",'REGIÃO 12 - RESUMO'!L21=0),"",'REGIÃO 12 - RESUMO'!L21)</f>
        <v>Concluída</v>
      </c>
      <c r="M61" s="335">
        <f>'REGIÃO 12 - HISTÓRICO'!J21</f>
        <v>0</v>
      </c>
      <c r="N61" s="335">
        <f>'REGIÃO 12 - HISTÓRICO'!L21</f>
        <v>0</v>
      </c>
      <c r="O61" s="335">
        <f>'REGIÃO 12 - HISTÓRICO'!N21</f>
        <v>0</v>
      </c>
      <c r="P61" s="335">
        <f>'REGIÃO 12 - HISTÓRICO'!P21</f>
        <v>78780.759999999995</v>
      </c>
      <c r="Q61" s="335">
        <f>'REGIÃO 12 - HISTÓRICO'!R21</f>
        <v>0</v>
      </c>
      <c r="R61" s="335">
        <f>'REGIÃO 12 - HISTÓRICO'!T21</f>
        <v>0</v>
      </c>
      <c r="S61" s="335">
        <f>'REGIÃO 12 - HISTÓRICO'!V21</f>
        <v>0</v>
      </c>
      <c r="T61" s="335">
        <f>'REGIÃO 12 - HISTÓRICO'!X21</f>
        <v>0</v>
      </c>
      <c r="U61" s="335">
        <f>'REGIÃO 12 - HISTÓRICO'!Z21</f>
        <v>0</v>
      </c>
      <c r="V61" s="335">
        <f>'REGIÃO 12 - HISTÓRICO'!AB21</f>
        <v>0</v>
      </c>
      <c r="W61" s="335">
        <f>'REGIÃO 12 - HISTÓRICO'!AD21</f>
        <v>0</v>
      </c>
      <c r="X61" s="335">
        <f>'REGIÃO 12 - HISTÓRICO'!AF21</f>
        <v>0</v>
      </c>
      <c r="Y61" s="335"/>
      <c r="Z61" s="335"/>
      <c r="AA61" s="335" t="str">
        <f>IF($Z61="","",COUNTIFS($H$4:$H$217,$Z61,$B$4:$B$217,$Z$1))</f>
        <v/>
      </c>
      <c r="AB61" s="335" t="str">
        <f>IF($Z61="","",SUMIFS($I$4:$I$217,$H$4:$H$217,$Z61,$B$4:$B$217,$Z$1))</f>
        <v/>
      </c>
      <c r="AC61" s="335" t="str">
        <f>IF($Z61="","",$AB61-ROW()/1000000)</f>
        <v/>
      </c>
      <c r="AD61" s="335" t="str">
        <f>IFERROR(RANK($AC61,$AC$4:$AC$217),"")</f>
        <v/>
      </c>
      <c r="AE61" s="335"/>
      <c r="AF61" s="335" t="str">
        <f>$B61</f>
        <v>R12</v>
      </c>
      <c r="AG61" s="335" t="str">
        <f>$C61&amp;"."&amp;TEXT($D61,"0000")</f>
        <v>009.2025.0082</v>
      </c>
      <c r="AH61" s="335">
        <f>IF($B61="",-1,IF(OR($Z$1="?*",$B61=$Z$1),$I61,-1))</f>
        <v>84903.98</v>
      </c>
      <c r="AI61" s="335">
        <f>IF($AH61&lt;0,"",$AH61-ROW()/1000000)</f>
        <v>84903.979938999997</v>
      </c>
      <c r="AJ61" s="335">
        <f>IFERROR(RANK($AI61,$AI$4:$AI$217),"")</f>
        <v>21</v>
      </c>
    </row>
    <row r="62" spans="2:36" x14ac:dyDescent="0.3">
      <c r="B62" s="335" t="str">
        <f>IF(OR('REGIÃO 12 - RESUMO'!E22="",'REGIÃO 12 - RESUMO'!E22=0),"",'REGIÃO 12 - RESUMO'!C22)</f>
        <v>R12</v>
      </c>
      <c r="C62" s="335" t="str">
        <f>'REGIÃO 12 - RESUMO'!D22</f>
        <v>009.2025</v>
      </c>
      <c r="D62" s="81">
        <f>'REGIÃO 12 - RESUMO'!E22</f>
        <v>83</v>
      </c>
      <c r="E62" s="80" t="str">
        <f>'REGIÃO 12 - RESUMO'!F22</f>
        <v>Abril</v>
      </c>
      <c r="F62" s="82">
        <f>'REGIÃO 12 - RESUMO'!H22</f>
        <v>236</v>
      </c>
      <c r="G62" s="335" t="str">
        <f>'REGIÃO 12 - RESUMO'!I22</f>
        <v>RODOVIA TO-458 - TRECHO ENTR. TO-365 (IPUEIRAS) - ENTR. BR-010</v>
      </c>
      <c r="H62" s="80" t="str">
        <f>'REGIÃO 12 - RESUMO'!J22</f>
        <v>Terraplenagem / Reconformação da plataforma / Recomposição do revestimento primário</v>
      </c>
      <c r="I62" s="335">
        <f>'REGIÃO 12 - RESUMO'!K22</f>
        <v>461352.19</v>
      </c>
      <c r="J62" s="335">
        <f>'REGIÃO 12 - HISTÓRICO'!F22</f>
        <v>461335.76</v>
      </c>
      <c r="K62" s="335">
        <f>'REGIÃO 12 - HISTÓRICO'!G22</f>
        <v>16.429999999993015</v>
      </c>
      <c r="L62" s="335" t="str">
        <f>IF(OR('REGIÃO 12 - RESUMO'!L22="",'REGIÃO 12 - RESUMO'!L22=0),"",'REGIÃO 12 - RESUMO'!L22)</f>
        <v>Concluída</v>
      </c>
      <c r="M62" s="335">
        <f>'REGIÃO 12 - HISTÓRICO'!J22</f>
        <v>0</v>
      </c>
      <c r="N62" s="335">
        <f>'REGIÃO 12 - HISTÓRICO'!L22</f>
        <v>0</v>
      </c>
      <c r="O62" s="335">
        <f>'REGIÃO 12 - HISTÓRICO'!N22</f>
        <v>0</v>
      </c>
      <c r="P62" s="335">
        <f>'REGIÃO 12 - HISTÓRICO'!P22</f>
        <v>461335.76</v>
      </c>
      <c r="Q62" s="335">
        <f>'REGIÃO 12 - HISTÓRICO'!R22</f>
        <v>0</v>
      </c>
      <c r="R62" s="335">
        <f>'REGIÃO 12 - HISTÓRICO'!T22</f>
        <v>0</v>
      </c>
      <c r="S62" s="335">
        <f>'REGIÃO 12 - HISTÓRICO'!V22</f>
        <v>0</v>
      </c>
      <c r="T62" s="335">
        <f>'REGIÃO 12 - HISTÓRICO'!X22</f>
        <v>0</v>
      </c>
      <c r="U62" s="335">
        <f>'REGIÃO 12 - HISTÓRICO'!Z22</f>
        <v>0</v>
      </c>
      <c r="V62" s="335">
        <f>'REGIÃO 12 - HISTÓRICO'!AB22</f>
        <v>0</v>
      </c>
      <c r="W62" s="335">
        <f>'REGIÃO 12 - HISTÓRICO'!AD22</f>
        <v>0</v>
      </c>
      <c r="X62" s="335">
        <f>'REGIÃO 12 - HISTÓRICO'!AF22</f>
        <v>0</v>
      </c>
      <c r="Y62" s="335"/>
      <c r="Z62" s="335"/>
      <c r="AA62" s="335" t="str">
        <f>IF($Z62="","",COUNTIFS($H$4:$H$217,$Z62,$B$4:$B$217,$Z$1))</f>
        <v/>
      </c>
      <c r="AB62" s="335" t="str">
        <f>IF($Z62="","",SUMIFS($I$4:$I$217,$H$4:$H$217,$Z62,$B$4:$B$217,$Z$1))</f>
        <v/>
      </c>
      <c r="AC62" s="335" t="str">
        <f>IF($Z62="","",$AB62-ROW()/1000000)</f>
        <v/>
      </c>
      <c r="AD62" s="335" t="str">
        <f>IFERROR(RANK($AC62,$AC$4:$AC$217),"")</f>
        <v/>
      </c>
      <c r="AE62" s="335"/>
      <c r="AF62" s="335" t="str">
        <f>$B62</f>
        <v>R12</v>
      </c>
      <c r="AG62" s="335" t="str">
        <f>$C62&amp;"."&amp;TEXT($D62,"0000")</f>
        <v>009.2025.0083</v>
      </c>
      <c r="AH62" s="335">
        <f>IF($B62="",-1,IF(OR($Z$1="?*",$B62=$Z$1),$I62,-1))</f>
        <v>461352.19</v>
      </c>
      <c r="AI62" s="335">
        <f>IF($AH62&lt;0,"",$AH62-ROW()/1000000)</f>
        <v>461352.189938</v>
      </c>
      <c r="AJ62" s="335">
        <f>IFERROR(RANK($AI62,$AI$4:$AI$217),"")</f>
        <v>6</v>
      </c>
    </row>
    <row r="63" spans="2:36" x14ac:dyDescent="0.3">
      <c r="B63" s="335" t="str">
        <f>IF(OR('REGIÃO 12 - RESUMO'!E23="",'REGIÃO 12 - RESUMO'!E23=0),"",'REGIÃO 12 - RESUMO'!C23)</f>
        <v>R12</v>
      </c>
      <c r="C63" s="335" t="str">
        <f>'REGIÃO 12 - RESUMO'!D23</f>
        <v>009.2025</v>
      </c>
      <c r="D63" s="81">
        <f>'REGIÃO 12 - RESUMO'!E23</f>
        <v>84</v>
      </c>
      <c r="E63" s="80" t="str">
        <f>'REGIÃO 12 - RESUMO'!F23</f>
        <v>Abril</v>
      </c>
      <c r="F63" s="82">
        <f>'REGIÃO 12 - RESUMO'!H23</f>
        <v>231</v>
      </c>
      <c r="G63" s="335" t="str">
        <f>'REGIÃO 12 - RESUMO'!I23</f>
        <v>RODOVIA TO-365 - TRECHO IPUEIRAS - SILVANÓPOLIS</v>
      </c>
      <c r="H63" s="80" t="str">
        <f>'REGIÃO 12 - RESUMO'!J23</f>
        <v>Terraplenagem / Reconformação da plataforma / Recomposição do revestimento primário</v>
      </c>
      <c r="I63" s="335">
        <f>'REGIÃO 12 - RESUMO'!K23</f>
        <v>664951.82999999996</v>
      </c>
      <c r="J63" s="335">
        <f>'REGIÃO 12 - HISTÓRICO'!F23</f>
        <v>664951.81999999995</v>
      </c>
      <c r="K63" s="335">
        <f>'REGIÃO 12 - HISTÓRICO'!G23</f>
        <v>1.0000000009313226E-2</v>
      </c>
      <c r="L63" s="335" t="str">
        <f>IF(OR('REGIÃO 12 - RESUMO'!L23="",'REGIÃO 12 - RESUMO'!L23=0),"",'REGIÃO 12 - RESUMO'!L23)</f>
        <v>Concluída</v>
      </c>
      <c r="M63" s="335">
        <f>'REGIÃO 12 - HISTÓRICO'!J23</f>
        <v>0</v>
      </c>
      <c r="N63" s="335">
        <f>'REGIÃO 12 - HISTÓRICO'!L23</f>
        <v>0</v>
      </c>
      <c r="O63" s="335">
        <f>'REGIÃO 12 - HISTÓRICO'!N23</f>
        <v>0</v>
      </c>
      <c r="P63" s="335">
        <f>'REGIÃO 12 - HISTÓRICO'!P23</f>
        <v>664951.81999999995</v>
      </c>
      <c r="Q63" s="335">
        <f>'REGIÃO 12 - HISTÓRICO'!R23</f>
        <v>0</v>
      </c>
      <c r="R63" s="335">
        <f>'REGIÃO 12 - HISTÓRICO'!T23</f>
        <v>0</v>
      </c>
      <c r="S63" s="335">
        <f>'REGIÃO 12 - HISTÓRICO'!V23</f>
        <v>0</v>
      </c>
      <c r="T63" s="335">
        <f>'REGIÃO 12 - HISTÓRICO'!X23</f>
        <v>0</v>
      </c>
      <c r="U63" s="335">
        <f>'REGIÃO 12 - HISTÓRICO'!Z23</f>
        <v>0</v>
      </c>
      <c r="V63" s="335">
        <f>'REGIÃO 12 - HISTÓRICO'!AB23</f>
        <v>0</v>
      </c>
      <c r="W63" s="335">
        <f>'REGIÃO 12 - HISTÓRICO'!AD23</f>
        <v>0</v>
      </c>
      <c r="X63" s="335">
        <f>'REGIÃO 12 - HISTÓRICO'!AF23</f>
        <v>0</v>
      </c>
      <c r="Y63" s="335"/>
      <c r="Z63" s="335"/>
      <c r="AA63" s="335" t="str">
        <f>IF($Z63="","",COUNTIFS($H$4:$H$217,$Z63,$B$4:$B$217,$Z$1))</f>
        <v/>
      </c>
      <c r="AB63" s="335" t="str">
        <f>IF($Z63="","",SUMIFS($I$4:$I$217,$H$4:$H$217,$Z63,$B$4:$B$217,$Z$1))</f>
        <v/>
      </c>
      <c r="AC63" s="335" t="str">
        <f>IF($Z63="","",$AB63-ROW()/1000000)</f>
        <v/>
      </c>
      <c r="AD63" s="335" t="str">
        <f>IFERROR(RANK($AC63,$AC$4:$AC$217),"")</f>
        <v/>
      </c>
      <c r="AE63" s="335"/>
      <c r="AF63" s="335" t="str">
        <f>$B63</f>
        <v>R12</v>
      </c>
      <c r="AG63" s="335" t="str">
        <f>$C63&amp;"."&amp;TEXT($D63,"0000")</f>
        <v>009.2025.0084</v>
      </c>
      <c r="AH63" s="335">
        <f>IF($B63="",-1,IF(OR($Z$1="?*",$B63=$Z$1),$I63,-1))</f>
        <v>664951.82999999996</v>
      </c>
      <c r="AI63" s="335">
        <f>IF($AH63&lt;0,"",$AH63-ROW()/1000000)</f>
        <v>664951.82993699994</v>
      </c>
      <c r="AJ63" s="335">
        <f>IFERROR(RANK($AI63,$AI$4:$AI$217),"")</f>
        <v>4</v>
      </c>
    </row>
    <row r="64" spans="2:36" x14ac:dyDescent="0.3">
      <c r="B64" s="335" t="str">
        <f>IF(OR('REGIÃO 12 - RESUMO'!E24="",'REGIÃO 12 - RESUMO'!E24=0),"",'REGIÃO 12 - RESUMO'!C24)</f>
        <v>R12</v>
      </c>
      <c r="C64" s="335" t="str">
        <f>'REGIÃO 12 - RESUMO'!D24</f>
        <v>009.2025</v>
      </c>
      <c r="D64" s="81">
        <f>'REGIÃO 12 - RESUMO'!E24</f>
        <v>85</v>
      </c>
      <c r="E64" s="80" t="str">
        <f>'REGIÃO 12 - RESUMO'!F24</f>
        <v>Maio</v>
      </c>
      <c r="F64" s="82">
        <f>'REGIÃO 12 - RESUMO'!H24</f>
        <v>239</v>
      </c>
      <c r="G64" s="335" t="str">
        <f>'REGIÃO 12 - RESUMO'!I24</f>
        <v>RODOVIA TO-486 - TRECHO SANTA ROSA DO TOCANTINS - ENTR. TO-280 (NATIVIDADE)</v>
      </c>
      <c r="H64" s="80" t="str">
        <f>'REGIÃO 12 - RESUMO'!J24</f>
        <v>Terraplenagem / Reconformação da plataforma / Recomposição do revestimento primário</v>
      </c>
      <c r="I64" s="335">
        <f>'REGIÃO 12 - RESUMO'!K24</f>
        <v>1159513.57</v>
      </c>
      <c r="J64" s="335">
        <f>'REGIÃO 12 - HISTÓRICO'!F24</f>
        <v>1158114.0900000001</v>
      </c>
      <c r="K64" s="335">
        <f>'REGIÃO 12 - HISTÓRICO'!G24</f>
        <v>1399.4799999999814</v>
      </c>
      <c r="L64" s="335" t="str">
        <f>IF(OR('REGIÃO 12 - RESUMO'!L24="",'REGIÃO 12 - RESUMO'!L24=0),"",'REGIÃO 12 - RESUMO'!L24)</f>
        <v>Concluída</v>
      </c>
      <c r="M64" s="335">
        <f>'REGIÃO 12 - HISTÓRICO'!J24</f>
        <v>0</v>
      </c>
      <c r="N64" s="335">
        <f>'REGIÃO 12 - HISTÓRICO'!L24</f>
        <v>0</v>
      </c>
      <c r="O64" s="335">
        <f>'REGIÃO 12 - HISTÓRICO'!N24</f>
        <v>0</v>
      </c>
      <c r="P64" s="335">
        <f>'REGIÃO 12 - HISTÓRICO'!P24</f>
        <v>0</v>
      </c>
      <c r="Q64" s="335">
        <f>'REGIÃO 12 - HISTÓRICO'!R24</f>
        <v>1158114.0900000001</v>
      </c>
      <c r="R64" s="335">
        <f>'REGIÃO 12 - HISTÓRICO'!T24</f>
        <v>0</v>
      </c>
      <c r="S64" s="335">
        <f>'REGIÃO 12 - HISTÓRICO'!V24</f>
        <v>0</v>
      </c>
      <c r="T64" s="335">
        <f>'REGIÃO 12 - HISTÓRICO'!X24</f>
        <v>0</v>
      </c>
      <c r="U64" s="335">
        <f>'REGIÃO 12 - HISTÓRICO'!Z24</f>
        <v>0</v>
      </c>
      <c r="V64" s="335">
        <f>'REGIÃO 12 - HISTÓRICO'!AB24</f>
        <v>0</v>
      </c>
      <c r="W64" s="335">
        <f>'REGIÃO 12 - HISTÓRICO'!AD24</f>
        <v>0</v>
      </c>
      <c r="X64" s="335">
        <f>'REGIÃO 12 - HISTÓRICO'!AF24</f>
        <v>0</v>
      </c>
      <c r="Y64" s="335"/>
      <c r="Z64" s="335"/>
      <c r="AA64" s="335" t="str">
        <f>IF($Z64="","",COUNTIFS($H$4:$H$217,$Z64,$B$4:$B$217,$Z$1))</f>
        <v/>
      </c>
      <c r="AB64" s="335" t="str">
        <f>IF($Z64="","",SUMIFS($I$4:$I$217,$H$4:$H$217,$Z64,$B$4:$B$217,$Z$1))</f>
        <v/>
      </c>
      <c r="AC64" s="335" t="str">
        <f>IF($Z64="","",$AB64-ROW()/1000000)</f>
        <v/>
      </c>
      <c r="AD64" s="335" t="str">
        <f>IFERROR(RANK($AC64,$AC$4:$AC$217),"")</f>
        <v/>
      </c>
      <c r="AE64" s="335"/>
      <c r="AF64" s="335" t="str">
        <f>$B64</f>
        <v>R12</v>
      </c>
      <c r="AG64" s="335" t="str">
        <f>$C64&amp;"."&amp;TEXT($D64,"0000")</f>
        <v>009.2025.0085</v>
      </c>
      <c r="AH64" s="335">
        <f>IF($B64="",-1,IF(OR($Z$1="?*",$B64=$Z$1),$I64,-1))</f>
        <v>1159513.57</v>
      </c>
      <c r="AI64" s="335">
        <f>IF($AH64&lt;0,"",$AH64-ROW()/1000000)</f>
        <v>1159513.569936</v>
      </c>
      <c r="AJ64" s="335">
        <f>IFERROR(RANK($AI64,$AI$4:$AI$217),"")</f>
        <v>2</v>
      </c>
    </row>
    <row r="65" spans="2:36" x14ac:dyDescent="0.3">
      <c r="B65" s="335" t="str">
        <f>IF(OR('REGIÃO 12 - RESUMO'!E25="",'REGIÃO 12 - RESUMO'!E25=0),"",'REGIÃO 12 - RESUMO'!C25)</f>
        <v>R12</v>
      </c>
      <c r="C65" s="335" t="str">
        <f>'REGIÃO 12 - RESUMO'!D25</f>
        <v>009.2025</v>
      </c>
      <c r="D65" s="81">
        <f>'REGIÃO 12 - RESUMO'!E25</f>
        <v>86</v>
      </c>
      <c r="E65" s="80" t="str">
        <f>'REGIÃO 12 - RESUMO'!F25</f>
        <v>Maio</v>
      </c>
      <c r="F65" s="82">
        <f>'REGIÃO 12 - RESUMO'!H25</f>
        <v>225</v>
      </c>
      <c r="G65" s="335" t="str">
        <f>'REGIÃO 12 - RESUMO'!I25</f>
        <v>RODOVIA TO-280 - TRECHO NATIVIDADE - ALMAS</v>
      </c>
      <c r="H65" s="80" t="str">
        <f>'REGIÃO 12 - RESUMO'!J25</f>
        <v>Roçada / Tapa-Buraco PMF / Remendo profundo</v>
      </c>
      <c r="I65" s="335">
        <f>'REGIÃO 12 - RESUMO'!K25</f>
        <v>435739.41</v>
      </c>
      <c r="J65" s="335">
        <f>'REGIÃO 12 - HISTÓRICO'!F25</f>
        <v>403397.26</v>
      </c>
      <c r="K65" s="335">
        <f>'REGIÃO 12 - HISTÓRICO'!G25</f>
        <v>32342.149999999965</v>
      </c>
      <c r="L65" s="335" t="str">
        <f>IF(OR('REGIÃO 12 - RESUMO'!L25="",'REGIÃO 12 - RESUMO'!L25=0),"",'REGIÃO 12 - RESUMO'!L25)</f>
        <v>Concluída</v>
      </c>
      <c r="M65" s="335">
        <f>'REGIÃO 12 - HISTÓRICO'!J25</f>
        <v>0</v>
      </c>
      <c r="N65" s="335">
        <f>'REGIÃO 12 - HISTÓRICO'!L25</f>
        <v>0</v>
      </c>
      <c r="O65" s="335">
        <f>'REGIÃO 12 - HISTÓRICO'!N25</f>
        <v>0</v>
      </c>
      <c r="P65" s="335">
        <f>'REGIÃO 12 - HISTÓRICO'!P25</f>
        <v>0</v>
      </c>
      <c r="Q65" s="335">
        <f>'REGIÃO 12 - HISTÓRICO'!R25</f>
        <v>385167.96</v>
      </c>
      <c r="R65" s="335">
        <f>'REGIÃO 12 - HISTÓRICO'!T25</f>
        <v>18229.3</v>
      </c>
      <c r="S65" s="335">
        <f>'REGIÃO 12 - HISTÓRICO'!V25</f>
        <v>0</v>
      </c>
      <c r="T65" s="335">
        <f>'REGIÃO 12 - HISTÓRICO'!X25</f>
        <v>0</v>
      </c>
      <c r="U65" s="335">
        <f>'REGIÃO 12 - HISTÓRICO'!Z25</f>
        <v>0</v>
      </c>
      <c r="V65" s="335">
        <f>'REGIÃO 12 - HISTÓRICO'!AB25</f>
        <v>0</v>
      </c>
      <c r="W65" s="335">
        <f>'REGIÃO 12 - HISTÓRICO'!AD25</f>
        <v>0</v>
      </c>
      <c r="X65" s="335">
        <f>'REGIÃO 12 - HISTÓRICO'!AF25</f>
        <v>0</v>
      </c>
      <c r="Y65" s="335"/>
      <c r="Z65" s="335"/>
      <c r="AA65" s="335" t="str">
        <f>IF($Z65="","",COUNTIFS($H$4:$H$217,$Z65,$B$4:$B$217,$Z$1))</f>
        <v/>
      </c>
      <c r="AB65" s="335" t="str">
        <f>IF($Z65="","",SUMIFS($I$4:$I$217,$H$4:$H$217,$Z65,$B$4:$B$217,$Z$1))</f>
        <v/>
      </c>
      <c r="AC65" s="335" t="str">
        <f>IF($Z65="","",$AB65-ROW()/1000000)</f>
        <v/>
      </c>
      <c r="AD65" s="335" t="str">
        <f>IFERROR(RANK($AC65,$AC$4:$AC$217),"")</f>
        <v/>
      </c>
      <c r="AE65" s="335"/>
      <c r="AF65" s="335" t="str">
        <f>$B65</f>
        <v>R12</v>
      </c>
      <c r="AG65" s="335" t="str">
        <f>$C65&amp;"."&amp;TEXT($D65,"0000")</f>
        <v>009.2025.0086</v>
      </c>
      <c r="AH65" s="335">
        <f>IF($B65="",-1,IF(OR($Z$1="?*",$B65=$Z$1),$I65,-1))</f>
        <v>435739.41</v>
      </c>
      <c r="AI65" s="335">
        <f>IF($AH65&lt;0,"",$AH65-ROW()/1000000)</f>
        <v>435739.409935</v>
      </c>
      <c r="AJ65" s="335">
        <f>IFERROR(RANK($AI65,$AI$4:$AI$217),"")</f>
        <v>7</v>
      </c>
    </row>
    <row r="66" spans="2:36" x14ac:dyDescent="0.3">
      <c r="B66" s="335" t="str">
        <f>IF(OR('REGIÃO 12 - RESUMO'!E26="",'REGIÃO 12 - RESUMO'!E26=0),"",'REGIÃO 12 - RESUMO'!C26)</f>
        <v>R12</v>
      </c>
      <c r="C66" s="335" t="str">
        <f>'REGIÃO 12 - RESUMO'!D26</f>
        <v>009.2025</v>
      </c>
      <c r="D66" s="81">
        <f>'REGIÃO 12 - RESUMO'!E26</f>
        <v>87</v>
      </c>
      <c r="E66" s="80" t="str">
        <f>'REGIÃO 12 - RESUMO'!F26</f>
        <v>Junho</v>
      </c>
      <c r="F66" s="82">
        <f>'REGIÃO 12 - RESUMO'!H26</f>
        <v>227</v>
      </c>
      <c r="G66" s="335" t="str">
        <f>'REGIÃO 12 - RESUMO'!I26</f>
        <v>RODOVIA TO-280 - TRECHO ENTR. BR-242 - SÃO VALÉRIO DE NATIVIDADE</v>
      </c>
      <c r="H66" s="80" t="str">
        <f>'REGIÃO 12 - RESUMO'!J26</f>
        <v>Roçada</v>
      </c>
      <c r="I66" s="335">
        <f>'REGIÃO 12 - RESUMO'!K26</f>
        <v>10833.42</v>
      </c>
      <c r="J66" s="335">
        <f>'REGIÃO 12 - HISTÓRICO'!F26</f>
        <v>10833.42</v>
      </c>
      <c r="K66" s="335">
        <f>'REGIÃO 12 - HISTÓRICO'!G26</f>
        <v>0</v>
      </c>
      <c r="L66" s="335" t="str">
        <f>IF(OR('REGIÃO 12 - RESUMO'!L26="",'REGIÃO 12 - RESUMO'!L26=0),"",'REGIÃO 12 - RESUMO'!L26)</f>
        <v>Concluída</v>
      </c>
      <c r="M66" s="335">
        <f>'REGIÃO 12 - HISTÓRICO'!J26</f>
        <v>0</v>
      </c>
      <c r="N66" s="335">
        <f>'REGIÃO 12 - HISTÓRICO'!L26</f>
        <v>0</v>
      </c>
      <c r="O66" s="335">
        <f>'REGIÃO 12 - HISTÓRICO'!N26</f>
        <v>0</v>
      </c>
      <c r="P66" s="335">
        <f>'REGIÃO 12 - HISTÓRICO'!P26</f>
        <v>0</v>
      </c>
      <c r="Q66" s="335">
        <f>'REGIÃO 12 - HISTÓRICO'!R26</f>
        <v>0</v>
      </c>
      <c r="R66" s="335">
        <f>'REGIÃO 12 - HISTÓRICO'!T26</f>
        <v>10833.42</v>
      </c>
      <c r="S66" s="335">
        <f>'REGIÃO 12 - HISTÓRICO'!V26</f>
        <v>0</v>
      </c>
      <c r="T66" s="335">
        <f>'REGIÃO 12 - HISTÓRICO'!X26</f>
        <v>0</v>
      </c>
      <c r="U66" s="335">
        <f>'REGIÃO 12 - HISTÓRICO'!Z26</f>
        <v>0</v>
      </c>
      <c r="V66" s="335">
        <f>'REGIÃO 12 - HISTÓRICO'!AB26</f>
        <v>0</v>
      </c>
      <c r="W66" s="335">
        <f>'REGIÃO 12 - HISTÓRICO'!AD26</f>
        <v>0</v>
      </c>
      <c r="X66" s="335">
        <f>'REGIÃO 12 - HISTÓRICO'!AF26</f>
        <v>0</v>
      </c>
      <c r="Y66" s="335"/>
      <c r="Z66" s="335"/>
      <c r="AA66" s="335" t="str">
        <f>IF($Z66="","",COUNTIFS($H$4:$H$217,$Z66,$B$4:$B$217,$Z$1))</f>
        <v/>
      </c>
      <c r="AB66" s="335" t="str">
        <f>IF($Z66="","",SUMIFS($I$4:$I$217,$H$4:$H$217,$Z66,$B$4:$B$217,$Z$1))</f>
        <v/>
      </c>
      <c r="AC66" s="335" t="str">
        <f>IF($Z66="","",$AB66-ROW()/1000000)</f>
        <v/>
      </c>
      <c r="AD66" s="335" t="str">
        <f>IFERROR(RANK($AC66,$AC$4:$AC$217),"")</f>
        <v/>
      </c>
      <c r="AE66" s="335"/>
      <c r="AF66" s="335" t="str">
        <f>$B66</f>
        <v>R12</v>
      </c>
      <c r="AG66" s="335" t="str">
        <f>$C66&amp;"."&amp;TEXT($D66,"0000")</f>
        <v>009.2025.0087</v>
      </c>
      <c r="AH66" s="335">
        <f>IF($B66="",-1,IF(OR($Z$1="?*",$B66=$Z$1),$I66,-1))</f>
        <v>10833.42</v>
      </c>
      <c r="AI66" s="335">
        <f>IF($AH66&lt;0,"",$AH66-ROW()/1000000)</f>
        <v>10833.419934</v>
      </c>
      <c r="AJ66" s="335">
        <f>IFERROR(RANK($AI66,$AI$4:$AI$217),"")</f>
        <v>51</v>
      </c>
    </row>
    <row r="67" spans="2:36" x14ac:dyDescent="0.3">
      <c r="B67" s="335" t="str">
        <f>IF(OR('REGIÃO 12 - RESUMO'!E27="",'REGIÃO 12 - RESUMO'!E27=0),"",'REGIÃO 12 - RESUMO'!C27)</f>
        <v>R12</v>
      </c>
      <c r="C67" s="335" t="str">
        <f>'REGIÃO 12 - RESUMO'!D27</f>
        <v>009.2025</v>
      </c>
      <c r="D67" s="81">
        <f>'REGIÃO 12 - RESUMO'!E27</f>
        <v>88</v>
      </c>
      <c r="E67" s="80" t="str">
        <f>'REGIÃO 12 - RESUMO'!F27</f>
        <v>Junho</v>
      </c>
      <c r="F67" s="82">
        <f>'REGIÃO 12 - RESUMO'!H27</f>
        <v>226</v>
      </c>
      <c r="G67" s="335" t="str">
        <f>'REGIÃO 12 - RESUMO'!I27</f>
        <v>RODOVIA TO-280 - TRECHO SÃO VALÉRIO DE NATIVIDADE - NATIVIDADE</v>
      </c>
      <c r="H67" s="80" t="str">
        <f>'REGIÃO 12 - RESUMO'!J27</f>
        <v>Roçada</v>
      </c>
      <c r="I67" s="335">
        <f>'REGIÃO 12 - RESUMO'!K27</f>
        <v>16063.71</v>
      </c>
      <c r="J67" s="335">
        <f>'REGIÃO 12 - HISTÓRICO'!F27</f>
        <v>16063.71</v>
      </c>
      <c r="K67" s="335">
        <f>'REGIÃO 12 - HISTÓRICO'!G27</f>
        <v>0</v>
      </c>
      <c r="L67" s="335" t="str">
        <f>IF(OR('REGIÃO 12 - RESUMO'!L27="",'REGIÃO 12 - RESUMO'!L27=0),"",'REGIÃO 12 - RESUMO'!L27)</f>
        <v>Concluída</v>
      </c>
      <c r="M67" s="335">
        <f>'REGIÃO 12 - HISTÓRICO'!J27</f>
        <v>0</v>
      </c>
      <c r="N67" s="335">
        <f>'REGIÃO 12 - HISTÓRICO'!L27</f>
        <v>0</v>
      </c>
      <c r="O67" s="335">
        <f>'REGIÃO 12 - HISTÓRICO'!N27</f>
        <v>0</v>
      </c>
      <c r="P67" s="335">
        <f>'REGIÃO 12 - HISTÓRICO'!P27</f>
        <v>0</v>
      </c>
      <c r="Q67" s="335">
        <f>'REGIÃO 12 - HISTÓRICO'!R27</f>
        <v>0</v>
      </c>
      <c r="R67" s="335">
        <f>'REGIÃO 12 - HISTÓRICO'!T27</f>
        <v>16063.71</v>
      </c>
      <c r="S67" s="335">
        <f>'REGIÃO 12 - HISTÓRICO'!V27</f>
        <v>0</v>
      </c>
      <c r="T67" s="335">
        <f>'REGIÃO 12 - HISTÓRICO'!X27</f>
        <v>0</v>
      </c>
      <c r="U67" s="335">
        <f>'REGIÃO 12 - HISTÓRICO'!Z27</f>
        <v>0</v>
      </c>
      <c r="V67" s="335">
        <f>'REGIÃO 12 - HISTÓRICO'!AB27</f>
        <v>0</v>
      </c>
      <c r="W67" s="335">
        <f>'REGIÃO 12 - HISTÓRICO'!AD27</f>
        <v>0</v>
      </c>
      <c r="X67" s="335">
        <f>'REGIÃO 12 - HISTÓRICO'!AF27</f>
        <v>0</v>
      </c>
      <c r="Y67" s="335"/>
      <c r="Z67" s="335"/>
      <c r="AA67" s="335" t="str">
        <f>IF($Z67="","",COUNTIFS($H$4:$H$217,$Z67,$B$4:$B$217,$Z$1))</f>
        <v/>
      </c>
      <c r="AB67" s="335" t="str">
        <f>IF($Z67="","",SUMIFS($I$4:$I$217,$H$4:$H$217,$Z67,$B$4:$B$217,$Z$1))</f>
        <v/>
      </c>
      <c r="AC67" s="335" t="str">
        <f>IF($Z67="","",$AB67-ROW()/1000000)</f>
        <v/>
      </c>
      <c r="AD67" s="335" t="str">
        <f>IFERROR(RANK($AC67,$AC$4:$AC$217),"")</f>
        <v/>
      </c>
      <c r="AE67" s="335"/>
      <c r="AF67" s="335" t="str">
        <f>$B67</f>
        <v>R12</v>
      </c>
      <c r="AG67" s="335" t="str">
        <f>$C67&amp;"."&amp;TEXT($D67,"0000")</f>
        <v>009.2025.0088</v>
      </c>
      <c r="AH67" s="335">
        <f>IF($B67="",-1,IF(OR($Z$1="?*",$B67=$Z$1),$I67,-1))</f>
        <v>16063.71</v>
      </c>
      <c r="AI67" s="335">
        <f>IF($AH67&lt;0,"",$AH67-ROW()/1000000)</f>
        <v>16063.709932999998</v>
      </c>
      <c r="AJ67" s="335">
        <f>IFERROR(RANK($AI67,$AI$4:$AI$217),"")</f>
        <v>46</v>
      </c>
    </row>
    <row r="68" spans="2:36" x14ac:dyDescent="0.3">
      <c r="B68" s="335" t="str">
        <f>IF(OR('REGIÃO 12 - RESUMO'!E28="",'REGIÃO 12 - RESUMO'!E28=0),"",'REGIÃO 12 - RESUMO'!C28)</f>
        <v>R12</v>
      </c>
      <c r="C68" s="335" t="str">
        <f>'REGIÃO 12 - RESUMO'!D28</f>
        <v>009.2025</v>
      </c>
      <c r="D68" s="81">
        <f>'REGIÃO 12 - RESUMO'!E28</f>
        <v>89</v>
      </c>
      <c r="E68" s="80" t="str">
        <f>'REGIÃO 12 - RESUMO'!F28</f>
        <v>Junho</v>
      </c>
      <c r="F68" s="82">
        <f>'REGIÃO 12 - RESUMO'!H28</f>
        <v>240</v>
      </c>
      <c r="G68" s="335" t="str">
        <f>'REGIÃO 12 - RESUMO'!I28</f>
        <v>RODOVIA TO-490 - TRECHO SÃO VALÉRIO DE NATIVIDADE - ENTR. BR-242</v>
      </c>
      <c r="H68" s="80" t="str">
        <f>'REGIÃO 12 - RESUMO'!J28</f>
        <v>Reconformação da plataforma</v>
      </c>
      <c r="I68" s="335">
        <f>'REGIÃO 12 - RESUMO'!K28</f>
        <v>78099.460000000006</v>
      </c>
      <c r="J68" s="335">
        <f>'REGIÃO 12 - HISTÓRICO'!F28</f>
        <v>78099.460000000006</v>
      </c>
      <c r="K68" s="335">
        <f>'REGIÃO 12 - HISTÓRICO'!G28</f>
        <v>0</v>
      </c>
      <c r="L68" s="335" t="str">
        <f>IF(OR('REGIÃO 12 - RESUMO'!L28="",'REGIÃO 12 - RESUMO'!L28=0),"",'REGIÃO 12 - RESUMO'!L28)</f>
        <v>Concluída</v>
      </c>
      <c r="M68" s="335">
        <f>'REGIÃO 12 - HISTÓRICO'!J28</f>
        <v>0</v>
      </c>
      <c r="N68" s="335">
        <f>'REGIÃO 12 - HISTÓRICO'!L28</f>
        <v>0</v>
      </c>
      <c r="O68" s="335">
        <f>'REGIÃO 12 - HISTÓRICO'!N28</f>
        <v>0</v>
      </c>
      <c r="P68" s="335">
        <f>'REGIÃO 12 - HISTÓRICO'!P28</f>
        <v>0</v>
      </c>
      <c r="Q68" s="335">
        <f>'REGIÃO 12 - HISTÓRICO'!R28</f>
        <v>0</v>
      </c>
      <c r="R68" s="335">
        <f>'REGIÃO 12 - HISTÓRICO'!T28</f>
        <v>78099.460000000006</v>
      </c>
      <c r="S68" s="335">
        <f>'REGIÃO 12 - HISTÓRICO'!V28</f>
        <v>0</v>
      </c>
      <c r="T68" s="335">
        <f>'REGIÃO 12 - HISTÓRICO'!X28</f>
        <v>0</v>
      </c>
      <c r="U68" s="335">
        <f>'REGIÃO 12 - HISTÓRICO'!Z28</f>
        <v>0</v>
      </c>
      <c r="V68" s="335">
        <f>'REGIÃO 12 - HISTÓRICO'!AB28</f>
        <v>0</v>
      </c>
      <c r="W68" s="335">
        <f>'REGIÃO 12 - HISTÓRICO'!AD28</f>
        <v>0</v>
      </c>
      <c r="X68" s="335">
        <f>'REGIÃO 12 - HISTÓRICO'!AF28</f>
        <v>0</v>
      </c>
      <c r="Y68" s="335"/>
      <c r="Z68" s="335"/>
      <c r="AA68" s="335" t="str">
        <f>IF($Z68="","",COUNTIFS($H$4:$H$217,$Z68,$B$4:$B$217,$Z$1))</f>
        <v/>
      </c>
      <c r="AB68" s="335" t="str">
        <f>IF($Z68="","",SUMIFS($I$4:$I$217,$H$4:$H$217,$Z68,$B$4:$B$217,$Z$1))</f>
        <v/>
      </c>
      <c r="AC68" s="335" t="str">
        <f>IF($Z68="","",$AB68-ROW()/1000000)</f>
        <v/>
      </c>
      <c r="AD68" s="335" t="str">
        <f>IFERROR(RANK($AC68,$AC$4:$AC$217),"")</f>
        <v/>
      </c>
      <c r="AE68" s="335"/>
      <c r="AF68" s="335" t="str">
        <f>$B68</f>
        <v>R12</v>
      </c>
      <c r="AG68" s="335" t="str">
        <f>$C68&amp;"."&amp;TEXT($D68,"0000")</f>
        <v>009.2025.0089</v>
      </c>
      <c r="AH68" s="335">
        <f>IF($B68="",-1,IF(OR($Z$1="?*",$B68=$Z$1),$I68,-1))</f>
        <v>78099.460000000006</v>
      </c>
      <c r="AI68" s="335">
        <f>IF($AH68&lt;0,"",$AH68-ROW()/1000000)</f>
        <v>78099.459932000012</v>
      </c>
      <c r="AJ68" s="335">
        <f>IFERROR(RANK($AI68,$AI$4:$AI$217),"")</f>
        <v>27</v>
      </c>
    </row>
    <row r="69" spans="2:36" x14ac:dyDescent="0.3">
      <c r="B69" s="335" t="str">
        <f>IF(OR('REGIÃO 12 - RESUMO'!E29="",'REGIÃO 12 - RESUMO'!E29=0),"",'REGIÃO 12 - RESUMO'!C29)</f>
        <v>R12</v>
      </c>
      <c r="C69" s="335" t="str">
        <f>'REGIÃO 12 - RESUMO'!D29</f>
        <v>009.2025</v>
      </c>
      <c r="D69" s="81">
        <f>'REGIÃO 12 - RESUMO'!E29</f>
        <v>90</v>
      </c>
      <c r="E69" s="80" t="str">
        <f>'REGIÃO 12 - RESUMO'!F29</f>
        <v>Junho</v>
      </c>
      <c r="F69" s="82">
        <f>'REGIÃO 12 - RESUMO'!H29</f>
        <v>229</v>
      </c>
      <c r="G69" s="335" t="str">
        <f>'REGIÃO 12 - RESUMO'!I29</f>
        <v>RODOVIA TO-296 - TRECHO JAÚ DO TOCANTINS - SÃO SALVADOR DO TOCANTINS</v>
      </c>
      <c r="H69" s="80" t="str">
        <f>'REGIÃO 12 - RESUMO'!J29</f>
        <v>Terraplenagem / Reconformação da plataforma / Recomposição do revestimento primário</v>
      </c>
      <c r="I69" s="335">
        <f>'REGIÃO 12 - RESUMO'!K29</f>
        <v>257593.60000000001</v>
      </c>
      <c r="J69" s="335">
        <f>'REGIÃO 12 - HISTÓRICO'!F29</f>
        <v>218794.34</v>
      </c>
      <c r="K69" s="335">
        <f>'REGIÃO 12 - HISTÓRICO'!G29</f>
        <v>38799.260000000009</v>
      </c>
      <c r="L69" s="335" t="str">
        <f>IF(OR('REGIÃO 12 - RESUMO'!L29="",'REGIÃO 12 - RESUMO'!L29=0),"",'REGIÃO 12 - RESUMO'!L29)</f>
        <v>Concluída</v>
      </c>
      <c r="M69" s="335">
        <f>'REGIÃO 12 - HISTÓRICO'!J29</f>
        <v>0</v>
      </c>
      <c r="N69" s="335">
        <f>'REGIÃO 12 - HISTÓRICO'!L29</f>
        <v>0</v>
      </c>
      <c r="O69" s="335">
        <f>'REGIÃO 12 - HISTÓRICO'!N29</f>
        <v>0</v>
      </c>
      <c r="P69" s="335">
        <f>'REGIÃO 12 - HISTÓRICO'!P29</f>
        <v>0</v>
      </c>
      <c r="Q69" s="335">
        <f>'REGIÃO 12 - HISTÓRICO'!R29</f>
        <v>0</v>
      </c>
      <c r="R69" s="335">
        <f>'REGIÃO 12 - HISTÓRICO'!T29</f>
        <v>218794.34</v>
      </c>
      <c r="S69" s="335">
        <f>'REGIÃO 12 - HISTÓRICO'!V29</f>
        <v>0</v>
      </c>
      <c r="T69" s="335">
        <f>'REGIÃO 12 - HISTÓRICO'!X29</f>
        <v>0</v>
      </c>
      <c r="U69" s="335">
        <f>'REGIÃO 12 - HISTÓRICO'!Z29</f>
        <v>0</v>
      </c>
      <c r="V69" s="335">
        <f>'REGIÃO 12 - HISTÓRICO'!AB29</f>
        <v>0</v>
      </c>
      <c r="W69" s="335">
        <f>'REGIÃO 12 - HISTÓRICO'!AD29</f>
        <v>0</v>
      </c>
      <c r="X69" s="335">
        <f>'REGIÃO 12 - HISTÓRICO'!AF29</f>
        <v>0</v>
      </c>
      <c r="Y69" s="335"/>
      <c r="Z69" s="335"/>
      <c r="AA69" s="335" t="str">
        <f>IF($Z69="","",COUNTIFS($H$4:$H$217,$Z69,$B$4:$B$217,$Z$1))</f>
        <v/>
      </c>
      <c r="AB69" s="335" t="str">
        <f>IF($Z69="","",SUMIFS($I$4:$I$217,$H$4:$H$217,$Z69,$B$4:$B$217,$Z$1))</f>
        <v/>
      </c>
      <c r="AC69" s="335" t="str">
        <f>IF($Z69="","",$AB69-ROW()/1000000)</f>
        <v/>
      </c>
      <c r="AD69" s="335" t="str">
        <f>IFERROR(RANK($AC69,$AC$4:$AC$217),"")</f>
        <v/>
      </c>
      <c r="AE69" s="335"/>
      <c r="AF69" s="335" t="str">
        <f>$B69</f>
        <v>R12</v>
      </c>
      <c r="AG69" s="335" t="str">
        <f>$C69&amp;"."&amp;TEXT($D69,"0000")</f>
        <v>009.2025.0090</v>
      </c>
      <c r="AH69" s="335">
        <f>IF($B69="",-1,IF(OR($Z$1="?*",$B69=$Z$1),$I69,-1))</f>
        <v>257593.60000000001</v>
      </c>
      <c r="AI69" s="335">
        <f>IF($AH69&lt;0,"",$AH69-ROW()/1000000)</f>
        <v>257593.599931</v>
      </c>
      <c r="AJ69" s="335">
        <f>IFERROR(RANK($AI69,$AI$4:$AI$217),"")</f>
        <v>11</v>
      </c>
    </row>
    <row r="70" spans="2:36" x14ac:dyDescent="0.3">
      <c r="B70" s="335" t="str">
        <f>IF(OR('REGIÃO 12 - RESUMO'!E30="",'REGIÃO 12 - RESUMO'!E30=0),"",'REGIÃO 12 - RESUMO'!C30)</f>
        <v>R12</v>
      </c>
      <c r="C70" s="335" t="str">
        <f>'REGIÃO 12 - RESUMO'!D30</f>
        <v>009.2025</v>
      </c>
      <c r="D70" s="81">
        <f>'REGIÃO 12 - RESUMO'!E30</f>
        <v>91</v>
      </c>
      <c r="E70" s="80" t="str">
        <f>'REGIÃO 12 - RESUMO'!F30</f>
        <v>Junho</v>
      </c>
      <c r="F70" s="82">
        <f>'REGIÃO 12 - RESUMO'!H30</f>
        <v>230</v>
      </c>
      <c r="G70" s="335" t="str">
        <f>'REGIÃO 12 - RESUMO'!I30</f>
        <v>RODOVIA TO-296 - TALISMÃ - ENTR. TO-498 (JAÚ DO TOCANTINS)</v>
      </c>
      <c r="H70" s="80" t="str">
        <f>'REGIÃO 12 - RESUMO'!J30</f>
        <v xml:space="preserve"> Roçada / Caiação de EDS e pontes</v>
      </c>
      <c r="I70" s="335">
        <f>'REGIÃO 12 - RESUMO'!K30</f>
        <v>116002.57</v>
      </c>
      <c r="J70" s="335">
        <f>'REGIÃO 12 - HISTÓRICO'!F30</f>
        <v>116002.55</v>
      </c>
      <c r="K70" s="335">
        <f>'REGIÃO 12 - HISTÓRICO'!G30</f>
        <v>2.0000000004074536E-2</v>
      </c>
      <c r="L70" s="335" t="str">
        <f>IF(OR('REGIÃO 12 - RESUMO'!L30="",'REGIÃO 12 - RESUMO'!L30=0),"",'REGIÃO 12 - RESUMO'!L30)</f>
        <v>Concluída</v>
      </c>
      <c r="M70" s="335">
        <f>'REGIÃO 12 - HISTÓRICO'!J30</f>
        <v>0</v>
      </c>
      <c r="N70" s="335">
        <f>'REGIÃO 12 - HISTÓRICO'!L30</f>
        <v>0</v>
      </c>
      <c r="O70" s="335">
        <f>'REGIÃO 12 - HISTÓRICO'!N30</f>
        <v>0</v>
      </c>
      <c r="P70" s="335">
        <f>'REGIÃO 12 - HISTÓRICO'!P30</f>
        <v>0</v>
      </c>
      <c r="Q70" s="335">
        <f>'REGIÃO 12 - HISTÓRICO'!R30</f>
        <v>0</v>
      </c>
      <c r="R70" s="335">
        <f>'REGIÃO 12 - HISTÓRICO'!T30</f>
        <v>0</v>
      </c>
      <c r="S70" s="335">
        <f>'REGIÃO 12 - HISTÓRICO'!V30</f>
        <v>0</v>
      </c>
      <c r="T70" s="335">
        <f>'REGIÃO 12 - HISTÓRICO'!X30</f>
        <v>116002.55</v>
      </c>
      <c r="U70" s="335">
        <f>'REGIÃO 12 - HISTÓRICO'!Z30</f>
        <v>0</v>
      </c>
      <c r="V70" s="335">
        <f>'REGIÃO 12 - HISTÓRICO'!AB30</f>
        <v>0</v>
      </c>
      <c r="W70" s="335">
        <f>'REGIÃO 12 - HISTÓRICO'!AD30</f>
        <v>0</v>
      </c>
      <c r="X70" s="335">
        <f>'REGIÃO 12 - HISTÓRICO'!AF30</f>
        <v>0</v>
      </c>
      <c r="Y70" s="335"/>
      <c r="Z70" s="335"/>
      <c r="AA70" s="335" t="str">
        <f>IF($Z70="","",COUNTIFS($H$4:$H$217,$Z70,$B$4:$B$217,$Z$1))</f>
        <v/>
      </c>
      <c r="AB70" s="335" t="str">
        <f>IF($Z70="","",SUMIFS($I$4:$I$217,$H$4:$H$217,$Z70,$B$4:$B$217,$Z$1))</f>
        <v/>
      </c>
      <c r="AC70" s="335" t="str">
        <f>IF($Z70="","",$AB70-ROW()/1000000)</f>
        <v/>
      </c>
      <c r="AD70" s="335" t="str">
        <f>IFERROR(RANK($AC70,$AC$4:$AC$217),"")</f>
        <v/>
      </c>
      <c r="AE70" s="335"/>
      <c r="AF70" s="335" t="str">
        <f>$B70</f>
        <v>R12</v>
      </c>
      <c r="AG70" s="335" t="str">
        <f>$C70&amp;"."&amp;TEXT($D70,"0000")</f>
        <v>009.2025.0091</v>
      </c>
      <c r="AH70" s="335">
        <f>IF($B70="",-1,IF(OR($Z$1="?*",$B70=$Z$1),$I70,-1))</f>
        <v>116002.57</v>
      </c>
      <c r="AI70" s="335">
        <f>IF($AH70&lt;0,"",$AH70-ROW()/1000000)</f>
        <v>116002.56993000001</v>
      </c>
      <c r="AJ70" s="335">
        <f>IFERROR(RANK($AI70,$AI$4:$AI$217),"")</f>
        <v>18</v>
      </c>
    </row>
    <row r="71" spans="2:36" x14ac:dyDescent="0.3">
      <c r="B71" s="335" t="str">
        <f>IF(OR('REGIÃO 12 - RESUMO'!E31="",'REGIÃO 12 - RESUMO'!E31=0),"",'REGIÃO 12 - RESUMO'!C31)</f>
        <v>R12</v>
      </c>
      <c r="C71" s="335" t="str">
        <f>'REGIÃO 12 - RESUMO'!D31</f>
        <v>009.2025</v>
      </c>
      <c r="D71" s="81">
        <f>'REGIÃO 12 - RESUMO'!E31</f>
        <v>92</v>
      </c>
      <c r="E71" s="80" t="str">
        <f>'REGIÃO 12 - RESUMO'!F31</f>
        <v>Junho</v>
      </c>
      <c r="F71" s="82">
        <f>'REGIÃO 12 - RESUMO'!H31</f>
        <v>225</v>
      </c>
      <c r="G71" s="335" t="str">
        <f>'REGIÃO 12 - RESUMO'!I31</f>
        <v>RODOVIA TO-280 - TRECHO NATIVIDADE - ALMAS</v>
      </c>
      <c r="H71" s="80" t="str">
        <f>'REGIÃO 12 - RESUMO'!J31</f>
        <v>Tapa-Buraco CAE</v>
      </c>
      <c r="I71" s="335">
        <f>'REGIÃO 12 - RESUMO'!K31</f>
        <v>205865.44</v>
      </c>
      <c r="J71" s="335">
        <f>'REGIÃO 12 - HISTÓRICO'!F31</f>
        <v>205034.30000000002</v>
      </c>
      <c r="K71" s="335">
        <f>'REGIÃO 12 - HISTÓRICO'!G31</f>
        <v>831.13999999998487</v>
      </c>
      <c r="L71" s="335" t="str">
        <f>IF(OR('REGIÃO 12 - RESUMO'!L31="",'REGIÃO 12 - RESUMO'!L31=0),"",'REGIÃO 12 - RESUMO'!L31)</f>
        <v>Concluída</v>
      </c>
      <c r="M71" s="335">
        <f>'REGIÃO 12 - HISTÓRICO'!J31</f>
        <v>0</v>
      </c>
      <c r="N71" s="335">
        <f>'REGIÃO 12 - HISTÓRICO'!L31</f>
        <v>0</v>
      </c>
      <c r="O71" s="335">
        <f>'REGIÃO 12 - HISTÓRICO'!N31</f>
        <v>0</v>
      </c>
      <c r="P71" s="335">
        <f>'REGIÃO 12 - HISTÓRICO'!P31</f>
        <v>0</v>
      </c>
      <c r="Q71" s="335">
        <f>'REGIÃO 12 - HISTÓRICO'!R31</f>
        <v>0</v>
      </c>
      <c r="R71" s="335">
        <f>'REGIÃO 12 - HISTÓRICO'!T31</f>
        <v>185797.07</v>
      </c>
      <c r="S71" s="335">
        <f>'REGIÃO 12 - HISTÓRICO'!V31</f>
        <v>19237.23</v>
      </c>
      <c r="T71" s="335">
        <f>'REGIÃO 12 - HISTÓRICO'!X31</f>
        <v>0</v>
      </c>
      <c r="U71" s="335">
        <f>'REGIÃO 12 - HISTÓRICO'!Z31</f>
        <v>0</v>
      </c>
      <c r="V71" s="335">
        <f>'REGIÃO 12 - HISTÓRICO'!AB31</f>
        <v>0</v>
      </c>
      <c r="W71" s="335">
        <f>'REGIÃO 12 - HISTÓRICO'!AD31</f>
        <v>0</v>
      </c>
      <c r="X71" s="335">
        <f>'REGIÃO 12 - HISTÓRICO'!AF31</f>
        <v>0</v>
      </c>
      <c r="Y71" s="335"/>
      <c r="Z71" s="335"/>
      <c r="AA71" s="335" t="str">
        <f>IF($Z71="","",COUNTIFS($H$4:$H$217,$Z71,$B$4:$B$217,$Z$1))</f>
        <v/>
      </c>
      <c r="AB71" s="335" t="str">
        <f>IF($Z71="","",SUMIFS($I$4:$I$217,$H$4:$H$217,$Z71,$B$4:$B$217,$Z$1))</f>
        <v/>
      </c>
      <c r="AC71" s="335" t="str">
        <f>IF($Z71="","",$AB71-ROW()/1000000)</f>
        <v/>
      </c>
      <c r="AD71" s="335" t="str">
        <f>IFERROR(RANK($AC71,$AC$4:$AC$217),"")</f>
        <v/>
      </c>
      <c r="AE71" s="335"/>
      <c r="AF71" s="335" t="str">
        <f>$B71</f>
        <v>R12</v>
      </c>
      <c r="AG71" s="335" t="str">
        <f>$C71&amp;"."&amp;TEXT($D71,"0000")</f>
        <v>009.2025.0092</v>
      </c>
      <c r="AH71" s="335">
        <f>IF($B71="",-1,IF(OR($Z$1="?*",$B71=$Z$1),$I71,-1))</f>
        <v>205865.44</v>
      </c>
      <c r="AI71" s="335">
        <f>IF($AH71&lt;0,"",$AH71-ROW()/1000000)</f>
        <v>205865.43992900001</v>
      </c>
      <c r="AJ71" s="335">
        <f>IFERROR(RANK($AI71,$AI$4:$AI$217),"")</f>
        <v>13</v>
      </c>
    </row>
    <row r="72" spans="2:36" x14ac:dyDescent="0.3">
      <c r="B72" s="335" t="str">
        <f>IF(OR('REGIÃO 12 - RESUMO'!E32="",'REGIÃO 12 - RESUMO'!E32=0),"",'REGIÃO 12 - RESUMO'!C32)</f>
        <v>R12</v>
      </c>
      <c r="C72" s="335" t="str">
        <f>'REGIÃO 12 - RESUMO'!D32</f>
        <v>009.2025</v>
      </c>
      <c r="D72" s="81">
        <f>'REGIÃO 12 - RESUMO'!E32</f>
        <v>93</v>
      </c>
      <c r="E72" s="80" t="str">
        <f>'REGIÃO 12 - RESUMO'!F32</f>
        <v>Junho</v>
      </c>
      <c r="F72" s="82">
        <f>'REGIÃO 12 - RESUMO'!H32</f>
        <v>228</v>
      </c>
      <c r="G72" s="335" t="str">
        <f>'REGIÃO 12 - RESUMO'!I32</f>
        <v>RODOVIA TO-296 - TRECHO SÃO SALVADOR DO TOCANTINS - PARANÃ</v>
      </c>
      <c r="H72" s="80" t="str">
        <f>'REGIÃO 12 - RESUMO'!J32</f>
        <v>Roçada</v>
      </c>
      <c r="I72" s="335">
        <f>'REGIÃO 12 - RESUMO'!K32</f>
        <v>16594.349999999999</v>
      </c>
      <c r="J72" s="335">
        <f>'REGIÃO 12 - HISTÓRICO'!F32</f>
        <v>16594.349999999999</v>
      </c>
      <c r="K72" s="335">
        <f>'REGIÃO 12 - HISTÓRICO'!G32</f>
        <v>0</v>
      </c>
      <c r="L72" s="335" t="str">
        <f>IF(OR('REGIÃO 12 - RESUMO'!L32="",'REGIÃO 12 - RESUMO'!L32=0),"",'REGIÃO 12 - RESUMO'!L32)</f>
        <v>Concluída</v>
      </c>
      <c r="M72" s="335">
        <f>'REGIÃO 12 - HISTÓRICO'!J32</f>
        <v>0</v>
      </c>
      <c r="N72" s="335">
        <f>'REGIÃO 12 - HISTÓRICO'!L32</f>
        <v>0</v>
      </c>
      <c r="O72" s="335">
        <f>'REGIÃO 12 - HISTÓRICO'!N32</f>
        <v>0</v>
      </c>
      <c r="P72" s="335">
        <f>'REGIÃO 12 - HISTÓRICO'!P32</f>
        <v>0</v>
      </c>
      <c r="Q72" s="335">
        <f>'REGIÃO 12 - HISTÓRICO'!R32</f>
        <v>0</v>
      </c>
      <c r="R72" s="335">
        <f>'REGIÃO 12 - HISTÓRICO'!T32</f>
        <v>16594.349999999999</v>
      </c>
      <c r="S72" s="335">
        <f>'REGIÃO 12 - HISTÓRICO'!V32</f>
        <v>0</v>
      </c>
      <c r="T72" s="335">
        <f>'REGIÃO 12 - HISTÓRICO'!X32</f>
        <v>0</v>
      </c>
      <c r="U72" s="335">
        <f>'REGIÃO 12 - HISTÓRICO'!Z32</f>
        <v>0</v>
      </c>
      <c r="V72" s="335">
        <f>'REGIÃO 12 - HISTÓRICO'!AB32</f>
        <v>0</v>
      </c>
      <c r="W72" s="335">
        <f>'REGIÃO 12 - HISTÓRICO'!AD32</f>
        <v>0</v>
      </c>
      <c r="X72" s="335">
        <f>'REGIÃO 12 - HISTÓRICO'!AF32</f>
        <v>0</v>
      </c>
      <c r="Y72" s="335"/>
      <c r="Z72" s="335"/>
      <c r="AA72" s="335" t="str">
        <f>IF($Z72="","",COUNTIFS($H$4:$H$217,$Z72,$B$4:$B$217,$Z$1))</f>
        <v/>
      </c>
      <c r="AB72" s="335" t="str">
        <f>IF($Z72="","",SUMIFS($I$4:$I$217,$H$4:$H$217,$Z72,$B$4:$B$217,$Z$1))</f>
        <v/>
      </c>
      <c r="AC72" s="335" t="str">
        <f>IF($Z72="","",$AB72-ROW()/1000000)</f>
        <v/>
      </c>
      <c r="AD72" s="335" t="str">
        <f>IFERROR(RANK($AC72,$AC$4:$AC$217),"")</f>
        <v/>
      </c>
      <c r="AE72" s="335"/>
      <c r="AF72" s="335" t="str">
        <f>$B72</f>
        <v>R12</v>
      </c>
      <c r="AG72" s="335" t="str">
        <f>$C72&amp;"."&amp;TEXT($D72,"0000")</f>
        <v>009.2025.0093</v>
      </c>
      <c r="AH72" s="335">
        <f>IF($B72="",-1,IF(OR($Z$1="?*",$B72=$Z$1),$I72,-1))</f>
        <v>16594.349999999999</v>
      </c>
      <c r="AI72" s="335">
        <f>IF($AH72&lt;0,"",$AH72-ROW()/1000000)</f>
        <v>16594.349928</v>
      </c>
      <c r="AJ72" s="335">
        <f>IFERROR(RANK($AI72,$AI$4:$AI$217),"")</f>
        <v>45</v>
      </c>
    </row>
    <row r="73" spans="2:36" x14ac:dyDescent="0.3">
      <c r="B73" s="335" t="str">
        <f>IF(OR('REGIÃO 12 - RESUMO'!E33="",'REGIÃO 12 - RESUMO'!E33=0),"",'REGIÃO 12 - RESUMO'!C33)</f>
        <v>R12</v>
      </c>
      <c r="C73" s="335" t="str">
        <f>'REGIÃO 12 - RESUMO'!D33</f>
        <v>009.2025</v>
      </c>
      <c r="D73" s="81">
        <f>'REGIÃO 12 - RESUMO'!E33</f>
        <v>94</v>
      </c>
      <c r="E73" s="80" t="str">
        <f>'REGIÃO 12 - RESUMO'!F33</f>
        <v>Junho</v>
      </c>
      <c r="F73" s="82">
        <f>'REGIÃO 12 - RESUMO'!H33</f>
        <v>233</v>
      </c>
      <c r="G73" s="335" t="str">
        <f>'REGIÃO 12 - RESUMO'!I33</f>
        <v>RODOVIA TO-373 - TRECHO ALVORADA - ENTR. BR-242</v>
      </c>
      <c r="H73" s="80" t="str">
        <f>'REGIÃO 12 - RESUMO'!J33</f>
        <v>Tapa-Buraco PMF</v>
      </c>
      <c r="I73" s="335">
        <f>'REGIÃO 12 - RESUMO'!K33</f>
        <v>150080.57</v>
      </c>
      <c r="J73" s="335">
        <f>'REGIÃO 12 - HISTÓRICO'!F33</f>
        <v>142326.91999999998</v>
      </c>
      <c r="K73" s="335">
        <f>'REGIÃO 12 - HISTÓRICO'!G33</f>
        <v>7753.6500000000233</v>
      </c>
      <c r="L73" s="335" t="str">
        <f>IF(OR('REGIÃO 12 - RESUMO'!L33="",'REGIÃO 12 - RESUMO'!L33=0),"",'REGIÃO 12 - RESUMO'!L33)</f>
        <v>Concluída</v>
      </c>
      <c r="M73" s="335">
        <f>'REGIÃO 12 - HISTÓRICO'!J33</f>
        <v>0</v>
      </c>
      <c r="N73" s="335">
        <f>'REGIÃO 12 - HISTÓRICO'!L33</f>
        <v>0</v>
      </c>
      <c r="O73" s="335">
        <f>'REGIÃO 12 - HISTÓRICO'!N33</f>
        <v>0</v>
      </c>
      <c r="P73" s="335">
        <f>'REGIÃO 12 - HISTÓRICO'!P33</f>
        <v>0</v>
      </c>
      <c r="Q73" s="335">
        <f>'REGIÃO 12 - HISTÓRICO'!R33</f>
        <v>0</v>
      </c>
      <c r="R73" s="335">
        <f>'REGIÃO 12 - HISTÓRICO'!T33</f>
        <v>65338.18</v>
      </c>
      <c r="S73" s="335">
        <f>'REGIÃO 12 - HISTÓRICO'!V33</f>
        <v>53494.25</v>
      </c>
      <c r="T73" s="335">
        <f>'REGIÃO 12 - HISTÓRICO'!X33</f>
        <v>23494.49</v>
      </c>
      <c r="U73" s="335">
        <f>'REGIÃO 12 - HISTÓRICO'!Z33</f>
        <v>0</v>
      </c>
      <c r="V73" s="335">
        <f>'REGIÃO 12 - HISTÓRICO'!AB33</f>
        <v>0</v>
      </c>
      <c r="W73" s="335">
        <f>'REGIÃO 12 - HISTÓRICO'!AD33</f>
        <v>0</v>
      </c>
      <c r="X73" s="335">
        <f>'REGIÃO 12 - HISTÓRICO'!AF33</f>
        <v>0</v>
      </c>
      <c r="Y73" s="335"/>
      <c r="Z73" s="335"/>
      <c r="AA73" s="335" t="str">
        <f>IF($Z73="","",COUNTIFS($H$4:$H$217,$Z73,$B$4:$B$217,$Z$1))</f>
        <v/>
      </c>
      <c r="AB73" s="335" t="str">
        <f>IF($Z73="","",SUMIFS($I$4:$I$217,$H$4:$H$217,$Z73,$B$4:$B$217,$Z$1))</f>
        <v/>
      </c>
      <c r="AC73" s="335" t="str">
        <f>IF($Z73="","",$AB73-ROW()/1000000)</f>
        <v/>
      </c>
      <c r="AD73" s="335" t="str">
        <f>IFERROR(RANK($AC73,$AC$4:$AC$217),"")</f>
        <v/>
      </c>
      <c r="AE73" s="335"/>
      <c r="AF73" s="335" t="str">
        <f>$B73</f>
        <v>R12</v>
      </c>
      <c r="AG73" s="335" t="str">
        <f>$C73&amp;"."&amp;TEXT($D73,"0000")</f>
        <v>009.2025.0094</v>
      </c>
      <c r="AH73" s="335">
        <f>IF($B73="",-1,IF(OR($Z$1="?*",$B73=$Z$1),$I73,-1))</f>
        <v>150080.57</v>
      </c>
      <c r="AI73" s="335">
        <f>IF($AH73&lt;0,"",$AH73-ROW()/1000000)</f>
        <v>150080.569927</v>
      </c>
      <c r="AJ73" s="335">
        <f>IFERROR(RANK($AI73,$AI$4:$AI$217),"")</f>
        <v>16</v>
      </c>
    </row>
    <row r="74" spans="2:36" x14ac:dyDescent="0.3">
      <c r="B74" s="335" t="str">
        <f>IF(OR('REGIÃO 12 - RESUMO'!E34="",'REGIÃO 12 - RESUMO'!E34=0),"",'REGIÃO 12 - RESUMO'!C34)</f>
        <v>R12</v>
      </c>
      <c r="C74" s="335" t="str">
        <f>'REGIÃO 12 - RESUMO'!D34</f>
        <v>009.2025</v>
      </c>
      <c r="D74" s="81">
        <f>'REGIÃO 12 - RESUMO'!E34</f>
        <v>95</v>
      </c>
      <c r="E74" s="80" t="str">
        <f>'REGIÃO 12 - RESUMO'!F34</f>
        <v>Junho</v>
      </c>
      <c r="F74" s="82">
        <f>'REGIÃO 12 - RESUMO'!H34</f>
        <v>243</v>
      </c>
      <c r="G74" s="335" t="str">
        <f>'REGIÃO 12 - RESUMO'!I34</f>
        <v>RODOVIA TO-498 - TRECHO JAÚ DO TOCANTINS - ENTR. TO-373 (SANTA CRUZ)</v>
      </c>
      <c r="H74" s="80" t="str">
        <f>'REGIÃO 12 - RESUMO'!J34</f>
        <v>Tapa-Buraco PMF</v>
      </c>
      <c r="I74" s="335">
        <f>'REGIÃO 12 - RESUMO'!K34</f>
        <v>61911.775000000001</v>
      </c>
      <c r="J74" s="335">
        <f>'REGIÃO 12 - HISTÓRICO'!F34</f>
        <v>56391.090000000004</v>
      </c>
      <c r="K74" s="335">
        <f>'REGIÃO 12 - HISTÓRICO'!G34</f>
        <v>5520.6849999999977</v>
      </c>
      <c r="L74" s="335" t="str">
        <f>IF(OR('REGIÃO 12 - RESUMO'!L34="",'REGIÃO 12 - RESUMO'!L34=0),"",'REGIÃO 12 - RESUMO'!L34)</f>
        <v>Concluída</v>
      </c>
      <c r="M74" s="335">
        <f>'REGIÃO 12 - HISTÓRICO'!J34</f>
        <v>0</v>
      </c>
      <c r="N74" s="335">
        <f>'REGIÃO 12 - HISTÓRICO'!L34</f>
        <v>0</v>
      </c>
      <c r="O74" s="335">
        <f>'REGIÃO 12 - HISTÓRICO'!N34</f>
        <v>0</v>
      </c>
      <c r="P74" s="335">
        <f>'REGIÃO 12 - HISTÓRICO'!P34</f>
        <v>0</v>
      </c>
      <c r="Q74" s="335">
        <f>'REGIÃO 12 - HISTÓRICO'!R34</f>
        <v>0</v>
      </c>
      <c r="R74" s="335">
        <f>'REGIÃO 12 - HISTÓRICO'!T34</f>
        <v>0</v>
      </c>
      <c r="S74" s="335">
        <f>'REGIÃO 12 - HISTÓRICO'!V34</f>
        <v>11995.83</v>
      </c>
      <c r="T74" s="335">
        <f>'REGIÃO 12 - HISTÓRICO'!X34</f>
        <v>44395.26</v>
      </c>
      <c r="U74" s="335">
        <f>'REGIÃO 12 - HISTÓRICO'!Z34</f>
        <v>0</v>
      </c>
      <c r="V74" s="335">
        <f>'REGIÃO 12 - HISTÓRICO'!AB34</f>
        <v>0</v>
      </c>
      <c r="W74" s="335">
        <f>'REGIÃO 12 - HISTÓRICO'!AD34</f>
        <v>0</v>
      </c>
      <c r="X74" s="335">
        <f>'REGIÃO 12 - HISTÓRICO'!AF34</f>
        <v>0</v>
      </c>
      <c r="Y74" s="335"/>
      <c r="Z74" s="335"/>
      <c r="AA74" s="335" t="str">
        <f>IF($Z74="","",COUNTIFS($H$4:$H$217,$Z74,$B$4:$B$217,$Z$1))</f>
        <v/>
      </c>
      <c r="AB74" s="335" t="str">
        <f>IF($Z74="","",SUMIFS($I$4:$I$217,$H$4:$H$217,$Z74,$B$4:$B$217,$Z$1))</f>
        <v/>
      </c>
      <c r="AC74" s="335" t="str">
        <f>IF($Z74="","",$AB74-ROW()/1000000)</f>
        <v/>
      </c>
      <c r="AD74" s="335" t="str">
        <f>IFERROR(RANK($AC74,$AC$4:$AC$217),"")</f>
        <v/>
      </c>
      <c r="AE74" s="335"/>
      <c r="AF74" s="335" t="str">
        <f>$B74</f>
        <v>R12</v>
      </c>
      <c r="AG74" s="335" t="str">
        <f>$C74&amp;"."&amp;TEXT($D74,"0000")</f>
        <v>009.2025.0095</v>
      </c>
      <c r="AH74" s="335">
        <f>IF($B74="",-1,IF(OR($Z$1="?*",$B74=$Z$1),$I74,-1))</f>
        <v>61911.775000000001</v>
      </c>
      <c r="AI74" s="335">
        <f>IF($AH74&lt;0,"",$AH74-ROW()/1000000)</f>
        <v>61911.774925999998</v>
      </c>
      <c r="AJ74" s="335">
        <f>IFERROR(RANK($AI74,$AI$4:$AI$217),"")</f>
        <v>30</v>
      </c>
    </row>
    <row r="75" spans="2:36" x14ac:dyDescent="0.3">
      <c r="B75" s="335" t="str">
        <f>IF(OR('REGIÃO 12 - RESUMO'!E35="",'REGIÃO 12 - RESUMO'!E35=0),"",'REGIÃO 12 - RESUMO'!C35)</f>
        <v>R12</v>
      </c>
      <c r="C75" s="335" t="str">
        <f>'REGIÃO 12 - RESUMO'!D35</f>
        <v>009.2025</v>
      </c>
      <c r="D75" s="81">
        <f>'REGIÃO 12 - RESUMO'!E35</f>
        <v>96</v>
      </c>
      <c r="E75" s="80" t="str">
        <f>'REGIÃO 12 - RESUMO'!F35</f>
        <v>Julho</v>
      </c>
      <c r="F75" s="82">
        <f>'REGIÃO 12 - RESUMO'!H35</f>
        <v>244</v>
      </c>
      <c r="G75" s="335" t="str">
        <f>'REGIÃO 12 - RESUMO'!I35</f>
        <v>RODOVIA TO-498 - TRECHO JAÚ DO TOCANTINS - ENTR. TO-387</v>
      </c>
      <c r="H75" s="80" t="str">
        <f>'REGIÃO 12 - RESUMO'!J35</f>
        <v>Tapa-Buraco PMF</v>
      </c>
      <c r="I75" s="335">
        <f>'REGIÃO 12 - RESUMO'!K35</f>
        <v>79783.75</v>
      </c>
      <c r="J75" s="335">
        <f>'REGIÃO 12 - HISTÓRICO'!F35</f>
        <v>64745.67</v>
      </c>
      <c r="K75" s="335">
        <f>'REGIÃO 12 - HISTÓRICO'!G35</f>
        <v>15038.080000000002</v>
      </c>
      <c r="L75" s="335" t="str">
        <f>IF(OR('REGIÃO 12 - RESUMO'!L35="",'REGIÃO 12 - RESUMO'!L35=0),"",'REGIÃO 12 - RESUMO'!L35)</f>
        <v>Concluída</v>
      </c>
      <c r="M75" s="335">
        <f>'REGIÃO 12 - HISTÓRICO'!J35</f>
        <v>0</v>
      </c>
      <c r="N75" s="335">
        <f>'REGIÃO 12 - HISTÓRICO'!L35</f>
        <v>0</v>
      </c>
      <c r="O75" s="335">
        <f>'REGIÃO 12 - HISTÓRICO'!N35</f>
        <v>0</v>
      </c>
      <c r="P75" s="335">
        <f>'REGIÃO 12 - HISTÓRICO'!P35</f>
        <v>0</v>
      </c>
      <c r="Q75" s="335">
        <f>'REGIÃO 12 - HISTÓRICO'!R35</f>
        <v>0</v>
      </c>
      <c r="R75" s="335">
        <f>'REGIÃO 12 - HISTÓRICO'!T35</f>
        <v>0</v>
      </c>
      <c r="S75" s="335">
        <f>'REGIÃO 12 - HISTÓRICO'!V35</f>
        <v>19975.509999999998</v>
      </c>
      <c r="T75" s="335">
        <f>'REGIÃO 12 - HISTÓRICO'!X35</f>
        <v>44770.16</v>
      </c>
      <c r="U75" s="335">
        <f>'REGIÃO 12 - HISTÓRICO'!Z35</f>
        <v>0</v>
      </c>
      <c r="V75" s="335">
        <f>'REGIÃO 12 - HISTÓRICO'!AB35</f>
        <v>0</v>
      </c>
      <c r="W75" s="335">
        <f>'REGIÃO 12 - HISTÓRICO'!AD35</f>
        <v>0</v>
      </c>
      <c r="X75" s="335">
        <f>'REGIÃO 12 - HISTÓRICO'!AF35</f>
        <v>0</v>
      </c>
      <c r="Y75" s="335"/>
      <c r="Z75" s="335"/>
      <c r="AA75" s="335" t="str">
        <f>IF($Z75="","",COUNTIFS($H$4:$H$217,$Z75,$B$4:$B$217,$Z$1))</f>
        <v/>
      </c>
      <c r="AB75" s="335" t="str">
        <f>IF($Z75="","",SUMIFS($I$4:$I$217,$H$4:$H$217,$Z75,$B$4:$B$217,$Z$1))</f>
        <v/>
      </c>
      <c r="AC75" s="335" t="str">
        <f>IF($Z75="","",$AB75-ROW()/1000000)</f>
        <v/>
      </c>
      <c r="AD75" s="335" t="str">
        <f>IFERROR(RANK($AC75,$AC$4:$AC$217),"")</f>
        <v/>
      </c>
      <c r="AE75" s="335"/>
      <c r="AF75" s="335" t="str">
        <f>$B75</f>
        <v>R12</v>
      </c>
      <c r="AG75" s="335" t="str">
        <f>$C75&amp;"."&amp;TEXT($D75,"0000")</f>
        <v>009.2025.0096</v>
      </c>
      <c r="AH75" s="335">
        <f>IF($B75="",-1,IF(OR($Z$1="?*",$B75=$Z$1),$I75,-1))</f>
        <v>79783.75</v>
      </c>
      <c r="AI75" s="335">
        <f>IF($AH75&lt;0,"",$AH75-ROW()/1000000)</f>
        <v>79783.749924999996</v>
      </c>
      <c r="AJ75" s="335">
        <f>IFERROR(RANK($AI75,$AI$4:$AI$217),"")</f>
        <v>24</v>
      </c>
    </row>
    <row r="76" spans="2:36" x14ac:dyDescent="0.3">
      <c r="B76" s="335" t="str">
        <f>IF(OR('REGIÃO 12 - RESUMO'!E36="",'REGIÃO 12 - RESUMO'!E36=0),"",'REGIÃO 12 - RESUMO'!C36)</f>
        <v>R12</v>
      </c>
      <c r="C76" s="335" t="str">
        <f>'REGIÃO 12 - RESUMO'!D36</f>
        <v>009.2025</v>
      </c>
      <c r="D76" s="81">
        <f>'REGIÃO 12 - RESUMO'!E36</f>
        <v>97</v>
      </c>
      <c r="E76" s="80" t="str">
        <f>'REGIÃO 12 - RESUMO'!F36</f>
        <v>Junho</v>
      </c>
      <c r="F76" s="82">
        <f>'REGIÃO 12 - RESUMO'!H36</f>
        <v>241</v>
      </c>
      <c r="G76" s="335" t="str">
        <f>'REGIÃO 12 - RESUMO'!I36</f>
        <v>RODOVIA TO-491 - TRECHO ENTR. BR-242 - ENTR. TO-296 (POVOADO RETIRO)</v>
      </c>
      <c r="H76" s="80" t="str">
        <f>'REGIÃO 12 - RESUMO'!J36</f>
        <v>Terraplenagem / Reconformação da plataforma / Recomposição do revestimento primário</v>
      </c>
      <c r="I76" s="335">
        <f>'REGIÃO 12 - RESUMO'!K36</f>
        <v>674926.63</v>
      </c>
      <c r="J76" s="335">
        <f>'REGIÃO 12 - HISTÓRICO'!F36</f>
        <v>674023.65</v>
      </c>
      <c r="K76" s="335">
        <f>'REGIÃO 12 - HISTÓRICO'!G36</f>
        <v>902.97999999998137</v>
      </c>
      <c r="L76" s="335" t="str">
        <f>IF(OR('REGIÃO 12 - RESUMO'!L36="",'REGIÃO 12 - RESUMO'!L36=0),"",'REGIÃO 12 - RESUMO'!L36)</f>
        <v>Concluída</v>
      </c>
      <c r="M76" s="335">
        <f>'REGIÃO 12 - HISTÓRICO'!J36</f>
        <v>0</v>
      </c>
      <c r="N76" s="335">
        <f>'REGIÃO 12 - HISTÓRICO'!L36</f>
        <v>0</v>
      </c>
      <c r="O76" s="335">
        <f>'REGIÃO 12 - HISTÓRICO'!N36</f>
        <v>0</v>
      </c>
      <c r="P76" s="335">
        <f>'REGIÃO 12 - HISTÓRICO'!P36</f>
        <v>0</v>
      </c>
      <c r="Q76" s="335">
        <f>'REGIÃO 12 - HISTÓRICO'!R36</f>
        <v>0</v>
      </c>
      <c r="R76" s="335">
        <f>'REGIÃO 12 - HISTÓRICO'!T36</f>
        <v>674023.65</v>
      </c>
      <c r="S76" s="335">
        <f>'REGIÃO 12 - HISTÓRICO'!V36</f>
        <v>0</v>
      </c>
      <c r="T76" s="335">
        <f>'REGIÃO 12 - HISTÓRICO'!X36</f>
        <v>0</v>
      </c>
      <c r="U76" s="335">
        <f>'REGIÃO 12 - HISTÓRICO'!Z36</f>
        <v>0</v>
      </c>
      <c r="V76" s="335">
        <f>'REGIÃO 12 - HISTÓRICO'!AB36</f>
        <v>0</v>
      </c>
      <c r="W76" s="335">
        <f>'REGIÃO 12 - HISTÓRICO'!AD36</f>
        <v>0</v>
      </c>
      <c r="X76" s="335">
        <f>'REGIÃO 12 - HISTÓRICO'!AF36</f>
        <v>0</v>
      </c>
      <c r="Y76" s="335"/>
      <c r="Z76" s="335"/>
      <c r="AA76" s="335" t="str">
        <f>IF($Z76="","",COUNTIFS($H$4:$H$217,$Z76,$B$4:$B$217,$Z$1))</f>
        <v/>
      </c>
      <c r="AB76" s="335" t="str">
        <f>IF($Z76="","",SUMIFS($I$4:$I$217,$H$4:$H$217,$Z76,$B$4:$B$217,$Z$1))</f>
        <v/>
      </c>
      <c r="AC76" s="335" t="str">
        <f>IF($Z76="","",$AB76-ROW()/1000000)</f>
        <v/>
      </c>
      <c r="AD76" s="335" t="str">
        <f>IFERROR(RANK($AC76,$AC$4:$AC$217),"")</f>
        <v/>
      </c>
      <c r="AE76" s="335"/>
      <c r="AF76" s="335" t="str">
        <f>$B76</f>
        <v>R12</v>
      </c>
      <c r="AG76" s="335" t="str">
        <f>$C76&amp;"."&amp;TEXT($D76,"0000")</f>
        <v>009.2025.0097</v>
      </c>
      <c r="AH76" s="335">
        <f>IF($B76="",-1,IF(OR($Z$1="?*",$B76=$Z$1),$I76,-1))</f>
        <v>674926.63</v>
      </c>
      <c r="AI76" s="335">
        <f>IF($AH76&lt;0,"",$AH76-ROW()/1000000)</f>
        <v>674926.62992400001</v>
      </c>
      <c r="AJ76" s="335">
        <f>IFERROR(RANK($AI76,$AI$4:$AI$217),"")</f>
        <v>3</v>
      </c>
    </row>
    <row r="77" spans="2:36" x14ac:dyDescent="0.3">
      <c r="B77" s="335" t="str">
        <f>IF(OR('REGIÃO 12 - RESUMO'!E37="",'REGIÃO 12 - RESUMO'!E37=0),"",'REGIÃO 12 - RESUMO'!C37)</f>
        <v>R12</v>
      </c>
      <c r="C77" s="335" t="str">
        <f>'REGIÃO 12 - RESUMO'!D37</f>
        <v>009.2025</v>
      </c>
      <c r="D77" s="81">
        <f>'REGIÃO 12 - RESUMO'!E37</f>
        <v>98</v>
      </c>
      <c r="E77" s="80" t="str">
        <f>'REGIÃO 12 - RESUMO'!F37</f>
        <v>Agosto</v>
      </c>
      <c r="F77" s="82">
        <f>'REGIÃO 12 - RESUMO'!H37</f>
        <v>242</v>
      </c>
      <c r="G77" s="335" t="str">
        <f>'REGIÃO 12 - RESUMO'!I37</f>
        <v>RODOVIA TO-495 - TRECHO DIVISA TO-GO - LOURENÇO BORGES - ENTR. TO-296</v>
      </c>
      <c r="H77" s="80" t="str">
        <f>'REGIÃO 12 - RESUMO'!J37</f>
        <v>Reconformação da plataforma</v>
      </c>
      <c r="I77" s="335">
        <f>'REGIÃO 12 - RESUMO'!K37</f>
        <v>26754.1</v>
      </c>
      <c r="J77" s="335">
        <f>'REGIÃO 12 - HISTÓRICO'!F37</f>
        <v>26754.1</v>
      </c>
      <c r="K77" s="335">
        <f>'REGIÃO 12 - HISTÓRICO'!G37</f>
        <v>0</v>
      </c>
      <c r="L77" s="335" t="str">
        <f>IF(OR('REGIÃO 12 - RESUMO'!L37="",'REGIÃO 12 - RESUMO'!L37=0),"",'REGIÃO 12 - RESUMO'!L37)</f>
        <v>Concluída</v>
      </c>
      <c r="M77" s="335">
        <f>'REGIÃO 12 - HISTÓRICO'!J37</f>
        <v>0</v>
      </c>
      <c r="N77" s="335">
        <f>'REGIÃO 12 - HISTÓRICO'!L37</f>
        <v>0</v>
      </c>
      <c r="O77" s="335">
        <f>'REGIÃO 12 - HISTÓRICO'!N37</f>
        <v>0</v>
      </c>
      <c r="P77" s="335">
        <f>'REGIÃO 12 - HISTÓRICO'!P37</f>
        <v>0</v>
      </c>
      <c r="Q77" s="335">
        <f>'REGIÃO 12 - HISTÓRICO'!R37</f>
        <v>0</v>
      </c>
      <c r="R77" s="335">
        <f>'REGIÃO 12 - HISTÓRICO'!T37</f>
        <v>0</v>
      </c>
      <c r="S77" s="335">
        <f>'REGIÃO 12 - HISTÓRICO'!V37</f>
        <v>0</v>
      </c>
      <c r="T77" s="335">
        <f>'REGIÃO 12 - HISTÓRICO'!X37</f>
        <v>26754.1</v>
      </c>
      <c r="U77" s="335">
        <f>'REGIÃO 12 - HISTÓRICO'!Z37</f>
        <v>0</v>
      </c>
      <c r="V77" s="335">
        <f>'REGIÃO 12 - HISTÓRICO'!AB37</f>
        <v>0</v>
      </c>
      <c r="W77" s="335">
        <f>'REGIÃO 12 - HISTÓRICO'!AD37</f>
        <v>0</v>
      </c>
      <c r="X77" s="335">
        <f>'REGIÃO 12 - HISTÓRICO'!AF37</f>
        <v>0</v>
      </c>
      <c r="Y77" s="335"/>
      <c r="Z77" s="335"/>
      <c r="AA77" s="335" t="str">
        <f>IF($Z77="","",COUNTIFS($H$4:$H$217,$Z77,$B$4:$B$217,$Z$1))</f>
        <v/>
      </c>
      <c r="AB77" s="335" t="str">
        <f>IF($Z77="","",SUMIFS($I$4:$I$217,$H$4:$H$217,$Z77,$B$4:$B$217,$Z$1))</f>
        <v/>
      </c>
      <c r="AC77" s="335" t="str">
        <f>IF($Z77="","",$AB77-ROW()/1000000)</f>
        <v/>
      </c>
      <c r="AD77" s="335" t="str">
        <f>IFERROR(RANK($AC77,$AC$4:$AC$217),"")</f>
        <v/>
      </c>
      <c r="AE77" s="335"/>
      <c r="AF77" s="335" t="str">
        <f>$B77</f>
        <v>R12</v>
      </c>
      <c r="AG77" s="335" t="str">
        <f>$C77&amp;"."&amp;TEXT($D77,"0000")</f>
        <v>009.2025.0098</v>
      </c>
      <c r="AH77" s="335">
        <f>IF($B77="",-1,IF(OR($Z$1="?*",$B77=$Z$1),$I77,-1))</f>
        <v>26754.1</v>
      </c>
      <c r="AI77" s="335">
        <f>IF($AH77&lt;0,"",$AH77-ROW()/1000000)</f>
        <v>26754.099922999998</v>
      </c>
      <c r="AJ77" s="335">
        <f>IFERROR(RANK($AI77,$AI$4:$AI$217),"")</f>
        <v>42</v>
      </c>
    </row>
    <row r="78" spans="2:36" x14ac:dyDescent="0.3">
      <c r="B78" s="335" t="str">
        <f>IF(OR('REGIÃO 12 - RESUMO'!E38="",'REGIÃO 12 - RESUMO'!E38=0),"",'REGIÃO 12 - RESUMO'!C38)</f>
        <v>R12</v>
      </c>
      <c r="C78" s="335" t="str">
        <f>'REGIÃO 12 - RESUMO'!D38</f>
        <v>009.2025</v>
      </c>
      <c r="D78" s="81">
        <f>'REGIÃO 12 - RESUMO'!E38</f>
        <v>99</v>
      </c>
      <c r="E78" s="80" t="str">
        <f>'REGIÃO 12 - RESUMO'!F38</f>
        <v>Julho</v>
      </c>
      <c r="F78" s="82">
        <f>'REGIÃO 12 - RESUMO'!H38</f>
        <v>224</v>
      </c>
      <c r="G78" s="335" t="str">
        <f>'REGIÃO 12 - RESUMO'!I38</f>
        <v>RODOVIA TO-141 - TRECHO PALMEIRÓPOLIS - DIVISA TO-GO</v>
      </c>
      <c r="H78" s="80" t="str">
        <f>'REGIÃO 12 - RESUMO'!J38</f>
        <v>Roçada / Tapa-Buraco PMF / Remendo profundo</v>
      </c>
      <c r="I78" s="335">
        <f>'REGIÃO 12 - RESUMO'!K38</f>
        <v>69999.89</v>
      </c>
      <c r="J78" s="335">
        <f>'REGIÃO 12 - HISTÓRICO'!F38</f>
        <v>68354.64</v>
      </c>
      <c r="K78" s="335">
        <f>'REGIÃO 12 - HISTÓRICO'!G38</f>
        <v>1645.25</v>
      </c>
      <c r="L78" s="335" t="str">
        <f>IF(OR('REGIÃO 12 - RESUMO'!L38="",'REGIÃO 12 - RESUMO'!L38=0),"",'REGIÃO 12 - RESUMO'!L38)</f>
        <v>Em andamento</v>
      </c>
      <c r="M78" s="335">
        <f>'REGIÃO 12 - HISTÓRICO'!J38</f>
        <v>0</v>
      </c>
      <c r="N78" s="335">
        <f>'REGIÃO 12 - HISTÓRICO'!L38</f>
        <v>0</v>
      </c>
      <c r="O78" s="335">
        <f>'REGIÃO 12 - HISTÓRICO'!N38</f>
        <v>0</v>
      </c>
      <c r="P78" s="335">
        <f>'REGIÃO 12 - HISTÓRICO'!P38</f>
        <v>0</v>
      </c>
      <c r="Q78" s="335">
        <f>'REGIÃO 12 - HISTÓRICO'!R38</f>
        <v>0</v>
      </c>
      <c r="R78" s="335">
        <f>'REGIÃO 12 - HISTÓRICO'!T38</f>
        <v>0</v>
      </c>
      <c r="S78" s="335">
        <f>'REGIÃO 12 - HISTÓRICO'!V38</f>
        <v>47516.41</v>
      </c>
      <c r="T78" s="335">
        <f>'REGIÃO 12 - HISTÓRICO'!X38</f>
        <v>20838.23</v>
      </c>
      <c r="U78" s="335">
        <f>'REGIÃO 12 - HISTÓRICO'!Z38</f>
        <v>0</v>
      </c>
      <c r="V78" s="335">
        <f>'REGIÃO 12 - HISTÓRICO'!AB38</f>
        <v>0</v>
      </c>
      <c r="W78" s="335">
        <f>'REGIÃO 12 - HISTÓRICO'!AD38</f>
        <v>0</v>
      </c>
      <c r="X78" s="335">
        <f>'REGIÃO 12 - HISTÓRICO'!AF38</f>
        <v>0</v>
      </c>
      <c r="Y78" s="335"/>
      <c r="Z78" s="335"/>
      <c r="AA78" s="335" t="str">
        <f>IF($Z78="","",COUNTIFS($H$4:$H$217,$Z78,$B$4:$B$217,$Z$1))</f>
        <v/>
      </c>
      <c r="AB78" s="335" t="str">
        <f>IF($Z78="","",SUMIFS($I$4:$I$217,$H$4:$H$217,$Z78,$B$4:$B$217,$Z$1))</f>
        <v/>
      </c>
      <c r="AC78" s="335" t="str">
        <f>IF($Z78="","",$AB78-ROW()/1000000)</f>
        <v/>
      </c>
      <c r="AD78" s="335" t="str">
        <f>IFERROR(RANK($AC78,$AC$4:$AC$217),"")</f>
        <v/>
      </c>
      <c r="AE78" s="335"/>
      <c r="AF78" s="335" t="str">
        <f>$B78</f>
        <v>R12</v>
      </c>
      <c r="AG78" s="335" t="str">
        <f>$C78&amp;"."&amp;TEXT($D78,"0000")</f>
        <v>009.2025.0099</v>
      </c>
      <c r="AH78" s="335">
        <f>IF($B78="",-1,IF(OR($Z$1="?*",$B78=$Z$1),$I78,-1))</f>
        <v>69999.89</v>
      </c>
      <c r="AI78" s="335">
        <f>IF($AH78&lt;0,"",$AH78-ROW()/1000000)</f>
        <v>69999.889922000002</v>
      </c>
      <c r="AJ78" s="335">
        <f>IFERROR(RANK($AI78,$AI$4:$AI$217),"")</f>
        <v>28</v>
      </c>
    </row>
    <row r="79" spans="2:36" x14ac:dyDescent="0.3">
      <c r="B79" s="335" t="str">
        <f>IF(OR('REGIÃO 12 - RESUMO'!E39="",'REGIÃO 12 - RESUMO'!E39=0),"",'REGIÃO 12 - RESUMO'!C39)</f>
        <v>R12</v>
      </c>
      <c r="C79" s="335" t="str">
        <f>'REGIÃO 12 - RESUMO'!D39</f>
        <v>009.2025</v>
      </c>
      <c r="D79" s="81">
        <f>'REGIÃO 12 - RESUMO'!E39</f>
        <v>100</v>
      </c>
      <c r="E79" s="80" t="str">
        <f>'REGIÃO 12 - RESUMO'!F39</f>
        <v>Julho</v>
      </c>
      <c r="F79" s="82">
        <f>'REGIÃO 12 - RESUMO'!H39</f>
        <v>234</v>
      </c>
      <c r="G79" s="335" t="str">
        <f>'REGIÃO 12 - RESUMO'!I39</f>
        <v>RODOVIA TO-387 - TRECHO PALMEIRÓPOLIS - SÃO SALVADOR DO TOCANTINS</v>
      </c>
      <c r="H79" s="80" t="str">
        <f>'REGIÃO 12 - RESUMO'!J39</f>
        <v>Roçada</v>
      </c>
      <c r="I79" s="335">
        <f>'REGIÃO 12 - RESUMO'!K39</f>
        <v>12558.11</v>
      </c>
      <c r="J79" s="335">
        <f>'REGIÃO 12 - HISTÓRICO'!F39</f>
        <v>12558.11</v>
      </c>
      <c r="K79" s="335">
        <f>'REGIÃO 12 - HISTÓRICO'!G39</f>
        <v>0</v>
      </c>
      <c r="L79" s="335" t="str">
        <f>IF(OR('REGIÃO 12 - RESUMO'!L39="",'REGIÃO 12 - RESUMO'!L39=0),"",'REGIÃO 12 - RESUMO'!L39)</f>
        <v>Concluída</v>
      </c>
      <c r="M79" s="335">
        <f>'REGIÃO 12 - HISTÓRICO'!J39</f>
        <v>0</v>
      </c>
      <c r="N79" s="335">
        <f>'REGIÃO 12 - HISTÓRICO'!L39</f>
        <v>0</v>
      </c>
      <c r="O79" s="335">
        <f>'REGIÃO 12 - HISTÓRICO'!N39</f>
        <v>0</v>
      </c>
      <c r="P79" s="335">
        <f>'REGIÃO 12 - HISTÓRICO'!P39</f>
        <v>0</v>
      </c>
      <c r="Q79" s="335">
        <f>'REGIÃO 12 - HISTÓRICO'!R39</f>
        <v>0</v>
      </c>
      <c r="R79" s="335">
        <f>'REGIÃO 12 - HISTÓRICO'!T39</f>
        <v>0</v>
      </c>
      <c r="S79" s="335">
        <f>'REGIÃO 12 - HISTÓRICO'!V39</f>
        <v>12558.11</v>
      </c>
      <c r="T79" s="335">
        <f>'REGIÃO 12 - HISTÓRICO'!X39</f>
        <v>0</v>
      </c>
      <c r="U79" s="335">
        <f>'REGIÃO 12 - HISTÓRICO'!Z39</f>
        <v>0</v>
      </c>
      <c r="V79" s="335">
        <f>'REGIÃO 12 - HISTÓRICO'!AB39</f>
        <v>0</v>
      </c>
      <c r="W79" s="335">
        <f>'REGIÃO 12 - HISTÓRICO'!AD39</f>
        <v>0</v>
      </c>
      <c r="X79" s="335">
        <f>'REGIÃO 12 - HISTÓRICO'!AF39</f>
        <v>0</v>
      </c>
      <c r="Y79" s="335"/>
      <c r="Z79" s="335"/>
      <c r="AA79" s="335" t="str">
        <f>IF($Z79="","",COUNTIFS($H$4:$H$217,$Z79,$B$4:$B$217,$Z$1))</f>
        <v/>
      </c>
      <c r="AB79" s="335" t="str">
        <f>IF($Z79="","",SUMIFS($I$4:$I$217,$H$4:$H$217,$Z79,$B$4:$B$217,$Z$1))</f>
        <v/>
      </c>
      <c r="AC79" s="335" t="str">
        <f>IF($Z79="","",$AB79-ROW()/1000000)</f>
        <v/>
      </c>
      <c r="AD79" s="335" t="str">
        <f>IFERROR(RANK($AC79,$AC$4:$AC$217),"")</f>
        <v/>
      </c>
      <c r="AE79" s="335"/>
      <c r="AF79" s="335" t="str">
        <f>$B79</f>
        <v>R12</v>
      </c>
      <c r="AG79" s="335" t="str">
        <f>$C79&amp;"."&amp;TEXT($D79,"0000")</f>
        <v>009.2025.0100</v>
      </c>
      <c r="AH79" s="335">
        <f>IF($B79="",-1,IF(OR($Z$1="?*",$B79=$Z$1),$I79,-1))</f>
        <v>12558.11</v>
      </c>
      <c r="AI79" s="335">
        <f>IF($AH79&lt;0,"",$AH79-ROW()/1000000)</f>
        <v>12558.109921000001</v>
      </c>
      <c r="AJ79" s="335">
        <f>IFERROR(RANK($AI79,$AI$4:$AI$217),"")</f>
        <v>50</v>
      </c>
    </row>
    <row r="80" spans="2:36" x14ac:dyDescent="0.3">
      <c r="B80" s="335" t="str">
        <f>IF(OR('REGIÃO 12 - RESUMO'!E40="",'REGIÃO 12 - RESUMO'!E40=0),"",'REGIÃO 12 - RESUMO'!C40)</f>
        <v>R12</v>
      </c>
      <c r="C80" s="335" t="str">
        <f>'REGIÃO 12 - RESUMO'!D40</f>
        <v>009.2025</v>
      </c>
      <c r="D80" s="81">
        <f>'REGIÃO 12 - RESUMO'!E40</f>
        <v>101</v>
      </c>
      <c r="E80" s="80" t="str">
        <f>'REGIÃO 12 - RESUMO'!F40</f>
        <v>Julho</v>
      </c>
      <c r="F80" s="82">
        <f>'REGIÃO 12 - RESUMO'!H40</f>
        <v>235</v>
      </c>
      <c r="G80" s="335" t="str">
        <f>'REGIÃO 12 - RESUMO'!I40</f>
        <v>RODOVIA TO-387 - TRECHO PALMEIRÓPOLIS - DIVISA TO-GO</v>
      </c>
      <c r="H80" s="80" t="str">
        <f>'REGIÃO 12 - RESUMO'!J40</f>
        <v>Roçada / Tapa-Buraco PMF / Remendo profundo</v>
      </c>
      <c r="I80" s="335">
        <f>'REGIÃO 12 - RESUMO'!K40</f>
        <v>84263.47</v>
      </c>
      <c r="J80" s="335">
        <f>'REGIÃO 12 - HISTÓRICO'!F40</f>
        <v>68818.760000000009</v>
      </c>
      <c r="K80" s="335">
        <f>'REGIÃO 12 - HISTÓRICO'!G40</f>
        <v>15444.709999999992</v>
      </c>
      <c r="L80" s="335" t="str">
        <f>IF(OR('REGIÃO 12 - RESUMO'!L40="",'REGIÃO 12 - RESUMO'!L40=0),"",'REGIÃO 12 - RESUMO'!L40)</f>
        <v>Concluída</v>
      </c>
      <c r="M80" s="335">
        <f>'REGIÃO 12 - HISTÓRICO'!J40</f>
        <v>0</v>
      </c>
      <c r="N80" s="335">
        <f>'REGIÃO 12 - HISTÓRICO'!L40</f>
        <v>0</v>
      </c>
      <c r="O80" s="335">
        <f>'REGIÃO 12 - HISTÓRICO'!N40</f>
        <v>0</v>
      </c>
      <c r="P80" s="335">
        <f>'REGIÃO 12 - HISTÓRICO'!P40</f>
        <v>0</v>
      </c>
      <c r="Q80" s="335">
        <f>'REGIÃO 12 - HISTÓRICO'!R40</f>
        <v>0</v>
      </c>
      <c r="R80" s="335">
        <f>'REGIÃO 12 - HISTÓRICO'!T40</f>
        <v>0</v>
      </c>
      <c r="S80" s="335">
        <f>'REGIÃO 12 - HISTÓRICO'!V40</f>
        <v>33435.82</v>
      </c>
      <c r="T80" s="335">
        <f>'REGIÃO 12 - HISTÓRICO'!X40</f>
        <v>35382.94</v>
      </c>
      <c r="U80" s="335">
        <f>'REGIÃO 12 - HISTÓRICO'!Z40</f>
        <v>0</v>
      </c>
      <c r="V80" s="335">
        <f>'REGIÃO 12 - HISTÓRICO'!AB40</f>
        <v>0</v>
      </c>
      <c r="W80" s="335">
        <f>'REGIÃO 12 - HISTÓRICO'!AD40</f>
        <v>0</v>
      </c>
      <c r="X80" s="335">
        <f>'REGIÃO 12 - HISTÓRICO'!AF40</f>
        <v>0</v>
      </c>
      <c r="Y80" s="335"/>
      <c r="Z80" s="335"/>
      <c r="AA80" s="335" t="str">
        <f>IF($Z80="","",COUNTIFS($H$4:$H$217,$Z80,$B$4:$B$217,$Z$1))</f>
        <v/>
      </c>
      <c r="AB80" s="335" t="str">
        <f>IF($Z80="","",SUMIFS($I$4:$I$217,$H$4:$H$217,$Z80,$B$4:$B$217,$Z$1))</f>
        <v/>
      </c>
      <c r="AC80" s="335" t="str">
        <f>IF($Z80="","",$AB80-ROW()/1000000)</f>
        <v/>
      </c>
      <c r="AD80" s="335" t="str">
        <f>IFERROR(RANK($AC80,$AC$4:$AC$217),"")</f>
        <v/>
      </c>
      <c r="AE80" s="335"/>
      <c r="AF80" s="335" t="str">
        <f>$B80</f>
        <v>R12</v>
      </c>
      <c r="AG80" s="335" t="str">
        <f>$C80&amp;"."&amp;TEXT($D80,"0000")</f>
        <v>009.2025.0101</v>
      </c>
      <c r="AH80" s="335">
        <f>IF($B80="",-1,IF(OR($Z$1="?*",$B80=$Z$1),$I80,-1))</f>
        <v>84263.47</v>
      </c>
      <c r="AI80" s="335">
        <f>IF($AH80&lt;0,"",$AH80-ROW()/1000000)</f>
        <v>84263.469920000003</v>
      </c>
      <c r="AJ80" s="335">
        <f>IFERROR(RANK($AI80,$AI$4:$AI$217),"")</f>
        <v>22</v>
      </c>
    </row>
    <row r="81" spans="2:36" x14ac:dyDescent="0.3">
      <c r="B81" s="335" t="str">
        <f>IF(OR('REGIÃO 12 - RESUMO'!E41="",'REGIÃO 12 - RESUMO'!E41=0),"",'REGIÃO 12 - RESUMO'!C41)</f>
        <v>R12</v>
      </c>
      <c r="C81" s="335" t="str">
        <f>'REGIÃO 12 - RESUMO'!D41</f>
        <v>009.2025</v>
      </c>
      <c r="D81" s="81">
        <f>'REGIÃO 12 - RESUMO'!E41</f>
        <v>102</v>
      </c>
      <c r="E81" s="80" t="str">
        <f>'REGIÃO 12 - RESUMO'!F41</f>
        <v>Julho</v>
      </c>
      <c r="F81" s="82">
        <f>'REGIÃO 12 - RESUMO'!H41</f>
        <v>238</v>
      </c>
      <c r="G81" s="335" t="str">
        <f>'REGIÃO 12 - RESUMO'!I41</f>
        <v>RODOVIA TO-482 - TRECHO: ENTR. TO-280 (SÃO VALÉRIO DE NATIVIDADE) / ENTR. TO-458</v>
      </c>
      <c r="H81" s="80" t="str">
        <f>'REGIÃO 12 - RESUMO'!J41</f>
        <v>Terraplenagem / Reconformação da plataforma / Recomposição do revestimento primário</v>
      </c>
      <c r="I81" s="335">
        <f>'REGIÃO 12 - RESUMO'!K41</f>
        <v>1847366.52</v>
      </c>
      <c r="J81" s="335">
        <f>'REGIÃO 12 - HISTÓRICO'!F41</f>
        <v>1846599.89</v>
      </c>
      <c r="K81" s="335">
        <f>'REGIÃO 12 - HISTÓRICO'!G41</f>
        <v>766.63000000012107</v>
      </c>
      <c r="L81" s="335" t="str">
        <f>IF(OR('REGIÃO 12 - RESUMO'!L41="",'REGIÃO 12 - RESUMO'!L41=0),"",'REGIÃO 12 - RESUMO'!L41)</f>
        <v>Concluída</v>
      </c>
      <c r="M81" s="335">
        <f>'REGIÃO 12 - HISTÓRICO'!J41</f>
        <v>0</v>
      </c>
      <c r="N81" s="335">
        <f>'REGIÃO 12 - HISTÓRICO'!L41</f>
        <v>0</v>
      </c>
      <c r="O81" s="335">
        <f>'REGIÃO 12 - HISTÓRICO'!N41</f>
        <v>0</v>
      </c>
      <c r="P81" s="335">
        <f>'REGIÃO 12 - HISTÓRICO'!P41</f>
        <v>0</v>
      </c>
      <c r="Q81" s="335">
        <f>'REGIÃO 12 - HISTÓRICO'!R41</f>
        <v>0</v>
      </c>
      <c r="R81" s="335">
        <f>'REGIÃO 12 - HISTÓRICO'!T41</f>
        <v>0</v>
      </c>
      <c r="S81" s="335">
        <f>'REGIÃO 12 - HISTÓRICO'!V41</f>
        <v>1846599.89</v>
      </c>
      <c r="T81" s="335">
        <f>'REGIÃO 12 - HISTÓRICO'!X41</f>
        <v>0</v>
      </c>
      <c r="U81" s="335">
        <f>'REGIÃO 12 - HISTÓRICO'!Z41</f>
        <v>0</v>
      </c>
      <c r="V81" s="335">
        <f>'REGIÃO 12 - HISTÓRICO'!AB41</f>
        <v>0</v>
      </c>
      <c r="W81" s="335">
        <f>'REGIÃO 12 - HISTÓRICO'!AD41</f>
        <v>0</v>
      </c>
      <c r="X81" s="335">
        <f>'REGIÃO 12 - HISTÓRICO'!AF41</f>
        <v>0</v>
      </c>
      <c r="Y81" s="335"/>
      <c r="Z81" s="335"/>
      <c r="AA81" s="335" t="str">
        <f>IF($Z81="","",COUNTIFS($H$4:$H$217,$Z81,$B$4:$B$217,$Z$1))</f>
        <v/>
      </c>
      <c r="AB81" s="335" t="str">
        <f>IF($Z81="","",SUMIFS($I$4:$I$217,$H$4:$H$217,$Z81,$B$4:$B$217,$Z$1))</f>
        <v/>
      </c>
      <c r="AC81" s="335" t="str">
        <f>IF($Z81="","",$AB81-ROW()/1000000)</f>
        <v/>
      </c>
      <c r="AD81" s="335" t="str">
        <f>IFERROR(RANK($AC81,$AC$4:$AC$217),"")</f>
        <v/>
      </c>
      <c r="AE81" s="335"/>
      <c r="AF81" s="335" t="str">
        <f>$B81</f>
        <v>R12</v>
      </c>
      <c r="AG81" s="335" t="str">
        <f>$C81&amp;"."&amp;TEXT($D81,"0000")</f>
        <v>009.2025.0102</v>
      </c>
      <c r="AH81" s="335">
        <f>IF($B81="",-1,IF(OR($Z$1="?*",$B81=$Z$1),$I81,-1))</f>
        <v>1847366.52</v>
      </c>
      <c r="AI81" s="335">
        <f>IF($AH81&lt;0,"",$AH81-ROW()/1000000)</f>
        <v>1847366.5199190001</v>
      </c>
      <c r="AJ81" s="335">
        <f>IFERROR(RANK($AI81,$AI$4:$AI$217),"")</f>
        <v>1</v>
      </c>
    </row>
    <row r="82" spans="2:36" x14ac:dyDescent="0.3">
      <c r="B82" s="335" t="str">
        <f>IF(OR('REGIÃO 12 - RESUMO'!E42="",'REGIÃO 12 - RESUMO'!E42=0),"",'REGIÃO 12 - RESUMO'!C42)</f>
        <v>R12</v>
      </c>
      <c r="C82" s="335" t="str">
        <f>'REGIÃO 12 - RESUMO'!D42</f>
        <v>009.2025</v>
      </c>
      <c r="D82" s="81">
        <f>'REGIÃO 12 - RESUMO'!E42</f>
        <v>103</v>
      </c>
      <c r="E82" s="80" t="str">
        <f>'REGIÃO 12 - RESUMO'!F42</f>
        <v>Julho</v>
      </c>
      <c r="F82" s="82">
        <f>'REGIÃO 12 - RESUMO'!H42</f>
        <v>225</v>
      </c>
      <c r="G82" s="335" t="str">
        <f>'REGIÃO 12 - RESUMO'!I42</f>
        <v>RODOVIA TO-280 - TRECHO NATIVIDADE - ALMAS</v>
      </c>
      <c r="H82" s="80" t="str">
        <f>'REGIÃO 12 - RESUMO'!J42</f>
        <v>Tapa-Buraco PMF</v>
      </c>
      <c r="I82" s="335">
        <f>'REGIÃO 12 - RESUMO'!K42</f>
        <v>168629.48</v>
      </c>
      <c r="J82" s="335">
        <f>'REGIÃO 12 - HISTÓRICO'!F42</f>
        <v>138068.39000000001</v>
      </c>
      <c r="K82" s="335">
        <f>'REGIÃO 12 - HISTÓRICO'!G42</f>
        <v>30561.089999999997</v>
      </c>
      <c r="L82" s="335" t="str">
        <f>IF(OR('REGIÃO 12 - RESUMO'!L42="",'REGIÃO 12 - RESUMO'!L42=0),"",'REGIÃO 12 - RESUMO'!L42)</f>
        <v>Concluída</v>
      </c>
      <c r="M82" s="335">
        <f>'REGIÃO 12 - HISTÓRICO'!J42</f>
        <v>0</v>
      </c>
      <c r="N82" s="335">
        <f>'REGIÃO 12 - HISTÓRICO'!L42</f>
        <v>0</v>
      </c>
      <c r="O82" s="335">
        <f>'REGIÃO 12 - HISTÓRICO'!N42</f>
        <v>0</v>
      </c>
      <c r="P82" s="335">
        <f>'REGIÃO 12 - HISTÓRICO'!P42</f>
        <v>0</v>
      </c>
      <c r="Q82" s="335">
        <f>'REGIÃO 12 - HISTÓRICO'!R42</f>
        <v>0</v>
      </c>
      <c r="R82" s="335">
        <f>'REGIÃO 12 - HISTÓRICO'!T42</f>
        <v>0</v>
      </c>
      <c r="S82" s="335">
        <f>'REGIÃO 12 - HISTÓRICO'!V42</f>
        <v>114438.05</v>
      </c>
      <c r="T82" s="335">
        <f>'REGIÃO 12 - HISTÓRICO'!X42</f>
        <v>23630.34</v>
      </c>
      <c r="U82" s="335">
        <f>'REGIÃO 12 - HISTÓRICO'!Z42</f>
        <v>0</v>
      </c>
      <c r="V82" s="335">
        <f>'REGIÃO 12 - HISTÓRICO'!AB42</f>
        <v>0</v>
      </c>
      <c r="W82" s="335">
        <f>'REGIÃO 12 - HISTÓRICO'!AD42</f>
        <v>0</v>
      </c>
      <c r="X82" s="335">
        <f>'REGIÃO 12 - HISTÓRICO'!AF42</f>
        <v>0</v>
      </c>
      <c r="Y82" s="335"/>
      <c r="Z82" s="335"/>
      <c r="AA82" s="335" t="str">
        <f>IF($Z82="","",COUNTIFS($H$4:$H$217,$Z82,$B$4:$B$217,$Z$1))</f>
        <v/>
      </c>
      <c r="AB82" s="335" t="str">
        <f>IF($Z82="","",SUMIFS($I$4:$I$217,$H$4:$H$217,$Z82,$B$4:$B$217,$Z$1))</f>
        <v/>
      </c>
      <c r="AC82" s="335" t="str">
        <f>IF($Z82="","",$AB82-ROW()/1000000)</f>
        <v/>
      </c>
      <c r="AD82" s="335" t="str">
        <f>IFERROR(RANK($AC82,$AC$4:$AC$217),"")</f>
        <v/>
      </c>
      <c r="AE82" s="335"/>
      <c r="AF82" s="335" t="str">
        <f>$B82</f>
        <v>R12</v>
      </c>
      <c r="AG82" s="335" t="str">
        <f>$C82&amp;"."&amp;TEXT($D82,"0000")</f>
        <v>009.2025.0103</v>
      </c>
      <c r="AH82" s="335">
        <f>IF($B82="",-1,IF(OR($Z$1="?*",$B82=$Z$1),$I82,-1))</f>
        <v>168629.48</v>
      </c>
      <c r="AI82" s="335">
        <f>IF($AH82&lt;0,"",$AH82-ROW()/1000000)</f>
        <v>168629.479918</v>
      </c>
      <c r="AJ82" s="335">
        <f>IFERROR(RANK($AI82,$AI$4:$AI$217),"")</f>
        <v>15</v>
      </c>
    </row>
    <row r="83" spans="2:36" x14ac:dyDescent="0.3">
      <c r="B83" s="335" t="str">
        <f>IF(OR('REGIÃO 12 - RESUMO'!E43="",'REGIÃO 12 - RESUMO'!E43=0),"",'REGIÃO 12 - RESUMO'!C43)</f>
        <v>R12</v>
      </c>
      <c r="C83" s="335" t="str">
        <f>'REGIÃO 12 - RESUMO'!D43</f>
        <v>009.2025</v>
      </c>
      <c r="D83" s="81">
        <f>'REGIÃO 12 - RESUMO'!E43</f>
        <v>104</v>
      </c>
      <c r="E83" s="80" t="str">
        <f>'REGIÃO 12 - RESUMO'!F43</f>
        <v>Agosto</v>
      </c>
      <c r="F83" s="82">
        <f>'REGIÃO 12 - RESUMO'!H43</f>
        <v>227</v>
      </c>
      <c r="G83" s="335" t="str">
        <f>'REGIÃO 12 - RESUMO'!I43</f>
        <v>RODOVIA TO-280 - TRECHO ENTR. BR-242 - SÃO VALÉRIO DE NATIVIDADE</v>
      </c>
      <c r="H83" s="80" t="str">
        <f>'REGIÃO 12 - RESUMO'!J43</f>
        <v xml:space="preserve"> Roçada / Caiação de EDS e pontes</v>
      </c>
      <c r="I83" s="335">
        <f>'REGIÃO 12 - RESUMO'!K43</f>
        <v>16764.61</v>
      </c>
      <c r="J83" s="335">
        <f>'REGIÃO 12 - HISTÓRICO'!F43</f>
        <v>16763.349999999999</v>
      </c>
      <c r="K83" s="335">
        <f>'REGIÃO 12 - HISTÓRICO'!G43</f>
        <v>1.2600000000020373</v>
      </c>
      <c r="L83" s="335" t="str">
        <f>IF(OR('REGIÃO 12 - RESUMO'!L43="",'REGIÃO 12 - RESUMO'!L43=0),"",'REGIÃO 12 - RESUMO'!L43)</f>
        <v>Concluída</v>
      </c>
      <c r="M83" s="335">
        <f>'REGIÃO 12 - HISTÓRICO'!J43</f>
        <v>0</v>
      </c>
      <c r="N83" s="335">
        <f>'REGIÃO 12 - HISTÓRICO'!L43</f>
        <v>0</v>
      </c>
      <c r="O83" s="335">
        <f>'REGIÃO 12 - HISTÓRICO'!N43</f>
        <v>0</v>
      </c>
      <c r="P83" s="335">
        <f>'REGIÃO 12 - HISTÓRICO'!P43</f>
        <v>0</v>
      </c>
      <c r="Q83" s="335">
        <f>'REGIÃO 12 - HISTÓRICO'!R43</f>
        <v>0</v>
      </c>
      <c r="R83" s="335">
        <f>'REGIÃO 12 - HISTÓRICO'!T43</f>
        <v>0</v>
      </c>
      <c r="S83" s="335">
        <f>'REGIÃO 12 - HISTÓRICO'!V43</f>
        <v>0</v>
      </c>
      <c r="T83" s="335">
        <f>'REGIÃO 12 - HISTÓRICO'!X43</f>
        <v>16763.349999999999</v>
      </c>
      <c r="U83" s="335">
        <f>'REGIÃO 12 - HISTÓRICO'!Z43</f>
        <v>0</v>
      </c>
      <c r="V83" s="335">
        <f>'REGIÃO 12 - HISTÓRICO'!AB43</f>
        <v>0</v>
      </c>
      <c r="W83" s="335">
        <f>'REGIÃO 12 - HISTÓRICO'!AD43</f>
        <v>0</v>
      </c>
      <c r="X83" s="335">
        <f>'REGIÃO 12 - HISTÓRICO'!AF43</f>
        <v>0</v>
      </c>
      <c r="Y83" s="335"/>
      <c r="Z83" s="335"/>
      <c r="AA83" s="335" t="str">
        <f>IF($Z83="","",COUNTIFS($H$4:$H$217,$Z83,$B$4:$B$217,$Z$1))</f>
        <v/>
      </c>
      <c r="AB83" s="335" t="str">
        <f>IF($Z83="","",SUMIFS($I$4:$I$217,$H$4:$H$217,$Z83,$B$4:$B$217,$Z$1))</f>
        <v/>
      </c>
      <c r="AC83" s="335" t="str">
        <f>IF($Z83="","",$AB83-ROW()/1000000)</f>
        <v/>
      </c>
      <c r="AD83" s="335" t="str">
        <f>IFERROR(RANK($AC83,$AC$4:$AC$217),"")</f>
        <v/>
      </c>
      <c r="AE83" s="335"/>
      <c r="AF83" s="335" t="str">
        <f>$B83</f>
        <v>R12</v>
      </c>
      <c r="AG83" s="335" t="str">
        <f>$C83&amp;"."&amp;TEXT($D83,"0000")</f>
        <v>009.2025.0104</v>
      </c>
      <c r="AH83" s="335">
        <f>IF($B83="",-1,IF(OR($Z$1="?*",$B83=$Z$1),$I83,-1))</f>
        <v>16764.61</v>
      </c>
      <c r="AI83" s="335">
        <f>IF($AH83&lt;0,"",$AH83-ROW()/1000000)</f>
        <v>16764.609917000002</v>
      </c>
      <c r="AJ83" s="335">
        <f>IFERROR(RANK($AI83,$AI$4:$AI$217),"")</f>
        <v>44</v>
      </c>
    </row>
    <row r="84" spans="2:36" x14ac:dyDescent="0.3">
      <c r="B84" s="335" t="str">
        <f>IF(OR('REGIÃO 12 - RESUMO'!E44="",'REGIÃO 12 - RESUMO'!E44=0),"",'REGIÃO 12 - RESUMO'!C44)</f>
        <v>R12</v>
      </c>
      <c r="C84" s="335" t="str">
        <f>'REGIÃO 12 - RESUMO'!D44</f>
        <v>009.2025</v>
      </c>
      <c r="D84" s="81">
        <f>'REGIÃO 12 - RESUMO'!E44</f>
        <v>105</v>
      </c>
      <c r="E84" s="80" t="str">
        <f>'REGIÃO 12 - RESUMO'!F44</f>
        <v>Agosto</v>
      </c>
      <c r="F84" s="82">
        <f>'REGIÃO 12 - RESUMO'!H44</f>
        <v>225</v>
      </c>
      <c r="G84" s="335" t="str">
        <f>'REGIÃO 12 - RESUMO'!I44</f>
        <v>RODOVIA TO-280 - TRECHO NATIVIDADE - ALMAS</v>
      </c>
      <c r="H84" s="80" t="str">
        <f>'REGIÃO 12 - RESUMO'!J44</f>
        <v>Roçada</v>
      </c>
      <c r="I84" s="335">
        <f>'REGIÃO 12 - RESUMO'!K44</f>
        <v>29400.94</v>
      </c>
      <c r="J84" s="335">
        <f>'REGIÃO 12 - HISTÓRICO'!F44</f>
        <v>29400.47</v>
      </c>
      <c r="K84" s="335">
        <f>'REGIÃO 12 - HISTÓRICO'!G44</f>
        <v>0.46999999999752617</v>
      </c>
      <c r="L84" s="335" t="str">
        <f>IF(OR('REGIÃO 12 - RESUMO'!L44="",'REGIÃO 12 - RESUMO'!L44=0),"",'REGIÃO 12 - RESUMO'!L44)</f>
        <v>Concluída</v>
      </c>
      <c r="M84" s="335">
        <f>'REGIÃO 12 - HISTÓRICO'!J44</f>
        <v>0</v>
      </c>
      <c r="N84" s="335">
        <f>'REGIÃO 12 - HISTÓRICO'!L44</f>
        <v>0</v>
      </c>
      <c r="O84" s="335">
        <f>'REGIÃO 12 - HISTÓRICO'!N44</f>
        <v>0</v>
      </c>
      <c r="P84" s="335">
        <f>'REGIÃO 12 - HISTÓRICO'!P44</f>
        <v>0</v>
      </c>
      <c r="Q84" s="335">
        <f>'REGIÃO 12 - HISTÓRICO'!R44</f>
        <v>0</v>
      </c>
      <c r="R84" s="335">
        <f>'REGIÃO 12 - HISTÓRICO'!T44</f>
        <v>0</v>
      </c>
      <c r="S84" s="335">
        <f>'REGIÃO 12 - HISTÓRICO'!V44</f>
        <v>0</v>
      </c>
      <c r="T84" s="335">
        <f>'REGIÃO 12 - HISTÓRICO'!X44</f>
        <v>29400.47</v>
      </c>
      <c r="U84" s="335">
        <f>'REGIÃO 12 - HISTÓRICO'!Z44</f>
        <v>0</v>
      </c>
      <c r="V84" s="335">
        <f>'REGIÃO 12 - HISTÓRICO'!AB44</f>
        <v>0</v>
      </c>
      <c r="W84" s="335">
        <f>'REGIÃO 12 - HISTÓRICO'!AD44</f>
        <v>0</v>
      </c>
      <c r="X84" s="335">
        <f>'REGIÃO 12 - HISTÓRICO'!AF44</f>
        <v>0</v>
      </c>
      <c r="Y84" s="335"/>
      <c r="Z84" s="335"/>
      <c r="AA84" s="335" t="str">
        <f>IF($Z84="","",COUNTIFS($H$4:$H$217,$Z84,$B$4:$B$217,$Z$1))</f>
        <v/>
      </c>
      <c r="AB84" s="335" t="str">
        <f>IF($Z84="","",SUMIFS($I$4:$I$217,$H$4:$H$217,$Z84,$B$4:$B$217,$Z$1))</f>
        <v/>
      </c>
      <c r="AC84" s="335" t="str">
        <f>IF($Z84="","",$AB84-ROW()/1000000)</f>
        <v/>
      </c>
      <c r="AD84" s="335" t="str">
        <f>IFERROR(RANK($AC84,$AC$4:$AC$217),"")</f>
        <v/>
      </c>
      <c r="AE84" s="335"/>
      <c r="AF84" s="335" t="str">
        <f>$B84</f>
        <v>R12</v>
      </c>
      <c r="AG84" s="335" t="str">
        <f>$C84&amp;"."&amp;TEXT($D84,"0000")</f>
        <v>009.2025.0105</v>
      </c>
      <c r="AH84" s="335">
        <f>IF($B84="",-1,IF(OR($Z$1="?*",$B84=$Z$1),$I84,-1))</f>
        <v>29400.94</v>
      </c>
      <c r="AI84" s="335">
        <f>IF($AH84&lt;0,"",$AH84-ROW()/1000000)</f>
        <v>29400.939915999999</v>
      </c>
      <c r="AJ84" s="335">
        <f>IFERROR(RANK($AI84,$AI$4:$AI$217),"")</f>
        <v>39</v>
      </c>
    </row>
    <row r="85" spans="2:36" x14ac:dyDescent="0.3">
      <c r="B85" s="335" t="str">
        <f>IF(OR('REGIÃO 12 - RESUMO'!E45="",'REGIÃO 12 - RESUMO'!E45=0),"",'REGIÃO 12 - RESUMO'!C45)</f>
        <v>R12</v>
      </c>
      <c r="C85" s="335" t="str">
        <f>'REGIÃO 12 - RESUMO'!D45</f>
        <v>009.2025</v>
      </c>
      <c r="D85" s="81">
        <f>'REGIÃO 12 - RESUMO'!E45</f>
        <v>106</v>
      </c>
      <c r="E85" s="80" t="str">
        <f>'REGIÃO 12 - RESUMO'!F45</f>
        <v>Agosto</v>
      </c>
      <c r="F85" s="82">
        <f>'REGIÃO 12 - RESUMO'!H45</f>
        <v>226</v>
      </c>
      <c r="G85" s="335" t="str">
        <f>'REGIÃO 12 - RESUMO'!I45</f>
        <v>RODOVIA TO-280 - TRECHO SÃO VALÉRIO DE NATIVIDADE - NATIVIDADE</v>
      </c>
      <c r="H85" s="80" t="str">
        <f>'REGIÃO 12 - RESUMO'!J45</f>
        <v>Roçada</v>
      </c>
      <c r="I85" s="335">
        <f>'REGIÃO 12 - RESUMO'!K45</f>
        <v>22005.58</v>
      </c>
      <c r="J85" s="335">
        <f>'REGIÃO 12 - HISTÓRICO'!F45</f>
        <v>22005.58</v>
      </c>
      <c r="K85" s="335">
        <f>'REGIÃO 12 - HISTÓRICO'!G45</f>
        <v>0</v>
      </c>
      <c r="L85" s="335" t="str">
        <f>IF(OR('REGIÃO 12 - RESUMO'!L45="",'REGIÃO 12 - RESUMO'!L45=0),"",'REGIÃO 12 - RESUMO'!L45)</f>
        <v>Concluída</v>
      </c>
      <c r="M85" s="335">
        <f>'REGIÃO 12 - HISTÓRICO'!J45</f>
        <v>0</v>
      </c>
      <c r="N85" s="335">
        <f>'REGIÃO 12 - HISTÓRICO'!L45</f>
        <v>0</v>
      </c>
      <c r="O85" s="335">
        <f>'REGIÃO 12 - HISTÓRICO'!N45</f>
        <v>0</v>
      </c>
      <c r="P85" s="335">
        <f>'REGIÃO 12 - HISTÓRICO'!P45</f>
        <v>0</v>
      </c>
      <c r="Q85" s="335">
        <f>'REGIÃO 12 - HISTÓRICO'!R45</f>
        <v>0</v>
      </c>
      <c r="R85" s="335">
        <f>'REGIÃO 12 - HISTÓRICO'!T45</f>
        <v>0</v>
      </c>
      <c r="S85" s="335">
        <f>'REGIÃO 12 - HISTÓRICO'!V45</f>
        <v>0</v>
      </c>
      <c r="T85" s="335">
        <f>'REGIÃO 12 - HISTÓRICO'!X45</f>
        <v>22005.58</v>
      </c>
      <c r="U85" s="335">
        <f>'REGIÃO 12 - HISTÓRICO'!Z45</f>
        <v>0</v>
      </c>
      <c r="V85" s="335">
        <f>'REGIÃO 12 - HISTÓRICO'!AB45</f>
        <v>0</v>
      </c>
      <c r="W85" s="335">
        <f>'REGIÃO 12 - HISTÓRICO'!AD45</f>
        <v>0</v>
      </c>
      <c r="X85" s="335">
        <f>'REGIÃO 12 - HISTÓRICO'!AF45</f>
        <v>0</v>
      </c>
      <c r="Y85" s="335"/>
      <c r="Z85" s="335"/>
      <c r="AA85" s="335" t="str">
        <f>IF($Z85="","",COUNTIFS($H$4:$H$217,$Z85,$B$4:$B$217,$Z$1))</f>
        <v/>
      </c>
      <c r="AB85" s="335" t="str">
        <f>IF($Z85="","",SUMIFS($I$4:$I$217,$H$4:$H$217,$Z85,$B$4:$B$217,$Z$1))</f>
        <v/>
      </c>
      <c r="AC85" s="335" t="str">
        <f>IF($Z85="","",$AB85-ROW()/1000000)</f>
        <v/>
      </c>
      <c r="AD85" s="335" t="str">
        <f>IFERROR(RANK($AC85,$AC$4:$AC$217),"")</f>
        <v/>
      </c>
      <c r="AE85" s="335"/>
      <c r="AF85" s="335" t="str">
        <f>$B85</f>
        <v>R12</v>
      </c>
      <c r="AG85" s="335" t="str">
        <f>$C85&amp;"."&amp;TEXT($D85,"0000")</f>
        <v>009.2025.0106</v>
      </c>
      <c r="AH85" s="335">
        <f>IF($B85="",-1,IF(OR($Z$1="?*",$B85=$Z$1),$I85,-1))</f>
        <v>22005.58</v>
      </c>
      <c r="AI85" s="335">
        <f>IF($AH85&lt;0,"",$AH85-ROW()/1000000)</f>
        <v>22005.579915000002</v>
      </c>
      <c r="AJ85" s="335">
        <f>IFERROR(RANK($AI85,$AI$4:$AI$217),"")</f>
        <v>43</v>
      </c>
    </row>
    <row r="86" spans="2:36" x14ac:dyDescent="0.3">
      <c r="B86" s="335" t="str">
        <f>IF(OR('REGIÃO 12 - RESUMO'!E46="",'REGIÃO 12 - RESUMO'!E46=0),"",'REGIÃO 12 - RESUMO'!C46)</f>
        <v>R12</v>
      </c>
      <c r="C86" s="335" t="str">
        <f>'REGIÃO 12 - RESUMO'!D46</f>
        <v>009.2025</v>
      </c>
      <c r="D86" s="81">
        <f>'REGIÃO 12 - RESUMO'!E46</f>
        <v>107</v>
      </c>
      <c r="E86" s="80" t="str">
        <f>'REGIÃO 12 - RESUMO'!F46</f>
        <v>Agosto</v>
      </c>
      <c r="F86" s="82">
        <f>'REGIÃO 12 - RESUMO'!H46</f>
        <v>232</v>
      </c>
      <c r="G86" s="335" t="str">
        <f>'REGIÃO 12 - RESUMO'!I46</f>
        <v>RODOVIA TO-373 - TRECHO ENTR. TO-365 (BALSA) - SÃO MIGUEL - LAGOA DO ROMÃO -ENTR. TO-280</v>
      </c>
      <c r="H86" s="80" t="str">
        <f>'REGIÃO 12 - RESUMO'!J46</f>
        <v>Reconformação da plataforma</v>
      </c>
      <c r="I86" s="335">
        <f>'REGIÃO 12 - RESUMO'!K46</f>
        <v>108635.52</v>
      </c>
      <c r="J86" s="335">
        <f>'REGIÃO 12 - HISTÓRICO'!F46</f>
        <v>108635.52</v>
      </c>
      <c r="K86" s="335">
        <f>'REGIÃO 12 - HISTÓRICO'!G46</f>
        <v>0</v>
      </c>
      <c r="L86" s="335" t="str">
        <f>IF(OR('REGIÃO 12 - RESUMO'!L46="",'REGIÃO 12 - RESUMO'!L46=0),"",'REGIÃO 12 - RESUMO'!L46)</f>
        <v>Concluída</v>
      </c>
      <c r="M86" s="335">
        <f>'REGIÃO 12 - HISTÓRICO'!J46</f>
        <v>0</v>
      </c>
      <c r="N86" s="335">
        <f>'REGIÃO 12 - HISTÓRICO'!L46</f>
        <v>0</v>
      </c>
      <c r="O86" s="335">
        <f>'REGIÃO 12 - HISTÓRICO'!N46</f>
        <v>0</v>
      </c>
      <c r="P86" s="335">
        <f>'REGIÃO 12 - HISTÓRICO'!P46</f>
        <v>0</v>
      </c>
      <c r="Q86" s="335">
        <f>'REGIÃO 12 - HISTÓRICO'!R46</f>
        <v>0</v>
      </c>
      <c r="R86" s="335">
        <f>'REGIÃO 12 - HISTÓRICO'!T46</f>
        <v>0</v>
      </c>
      <c r="S86" s="335">
        <f>'REGIÃO 12 - HISTÓRICO'!V46</f>
        <v>0</v>
      </c>
      <c r="T86" s="335">
        <f>'REGIÃO 12 - HISTÓRICO'!X46</f>
        <v>108635.52</v>
      </c>
      <c r="U86" s="335">
        <f>'REGIÃO 12 - HISTÓRICO'!Z46</f>
        <v>0</v>
      </c>
      <c r="V86" s="335">
        <f>'REGIÃO 12 - HISTÓRICO'!AB46</f>
        <v>0</v>
      </c>
      <c r="W86" s="335">
        <f>'REGIÃO 12 - HISTÓRICO'!AD46</f>
        <v>0</v>
      </c>
      <c r="X86" s="335">
        <f>'REGIÃO 12 - HISTÓRICO'!AF46</f>
        <v>0</v>
      </c>
      <c r="Y86" s="335"/>
      <c r="Z86" s="335"/>
      <c r="AA86" s="335" t="str">
        <f>IF($Z86="","",COUNTIFS($H$4:$H$217,$Z86,$B$4:$B$217,$Z$1))</f>
        <v/>
      </c>
      <c r="AB86" s="335" t="str">
        <f>IF($Z86="","",SUMIFS($I$4:$I$217,$H$4:$H$217,$Z86,$B$4:$B$217,$Z$1))</f>
        <v/>
      </c>
      <c r="AC86" s="335" t="str">
        <f>IF($Z86="","",$AB86-ROW()/1000000)</f>
        <v/>
      </c>
      <c r="AD86" s="335" t="str">
        <f>IFERROR(RANK($AC86,$AC$4:$AC$217),"")</f>
        <v/>
      </c>
      <c r="AE86" s="335"/>
      <c r="AF86" s="335" t="str">
        <f>$B86</f>
        <v>R12</v>
      </c>
      <c r="AG86" s="335" t="str">
        <f>$C86&amp;"."&amp;TEXT($D86,"0000")</f>
        <v>009.2025.0107</v>
      </c>
      <c r="AH86" s="335">
        <f>IF($B86="",-1,IF(OR($Z$1="?*",$B86=$Z$1),$I86,-1))</f>
        <v>108635.52</v>
      </c>
      <c r="AI86" s="335">
        <f>IF($AH86&lt;0,"",$AH86-ROW()/1000000)</f>
        <v>108635.519914</v>
      </c>
      <c r="AJ86" s="335">
        <f>IFERROR(RANK($AI86,$AI$4:$AI$217),"")</f>
        <v>19</v>
      </c>
    </row>
    <row r="87" spans="2:36" x14ac:dyDescent="0.3">
      <c r="B87" s="335" t="str">
        <f>IF(OR('REGIÃO 12 - RESUMO'!E47="",'REGIÃO 12 - RESUMO'!E47=0),"",'REGIÃO 12 - RESUMO'!C47)</f>
        <v>R12</v>
      </c>
      <c r="C87" s="335" t="str">
        <f>'REGIÃO 12 - RESUMO'!D47</f>
        <v>009.2025</v>
      </c>
      <c r="D87" s="81">
        <f>'REGIÃO 12 - RESUMO'!E47</f>
        <v>108</v>
      </c>
      <c r="E87" s="80" t="str">
        <f>'REGIÃO 12 - RESUMO'!F47</f>
        <v>Agosto</v>
      </c>
      <c r="F87" s="82">
        <f>'REGIÃO 12 - RESUMO'!H47</f>
        <v>237</v>
      </c>
      <c r="G87" s="335" t="str">
        <f>'REGIÃO 12 - RESUMO'!I47</f>
        <v>RODOVIA TO-479 - TRECHO PEIXE - POVOADO LAGOA DO ROMÃO (ENTR. TO-373)</v>
      </c>
      <c r="H87" s="80" t="str">
        <f>'REGIÃO 12 - RESUMO'!J47</f>
        <v>Reconformação da plataforma</v>
      </c>
      <c r="I87" s="335">
        <f>'REGIÃO 12 - RESUMO'!K47</f>
        <v>32452.15</v>
      </c>
      <c r="J87" s="335">
        <f>'REGIÃO 12 - HISTÓRICO'!F47</f>
        <v>32452.15</v>
      </c>
      <c r="K87" s="335">
        <f>'REGIÃO 12 - HISTÓRICO'!G47</f>
        <v>0</v>
      </c>
      <c r="L87" s="335" t="str">
        <f>IF(OR('REGIÃO 12 - RESUMO'!L47="",'REGIÃO 12 - RESUMO'!L47=0),"",'REGIÃO 12 - RESUMO'!L47)</f>
        <v>Concluída</v>
      </c>
      <c r="M87" s="335">
        <f>'REGIÃO 12 - HISTÓRICO'!J47</f>
        <v>0</v>
      </c>
      <c r="N87" s="335">
        <f>'REGIÃO 12 - HISTÓRICO'!L47</f>
        <v>0</v>
      </c>
      <c r="O87" s="335">
        <f>'REGIÃO 12 - HISTÓRICO'!N47</f>
        <v>0</v>
      </c>
      <c r="P87" s="335">
        <f>'REGIÃO 12 - HISTÓRICO'!P47</f>
        <v>0</v>
      </c>
      <c r="Q87" s="335">
        <f>'REGIÃO 12 - HISTÓRICO'!R47</f>
        <v>0</v>
      </c>
      <c r="R87" s="335">
        <f>'REGIÃO 12 - HISTÓRICO'!T47</f>
        <v>0</v>
      </c>
      <c r="S87" s="335">
        <f>'REGIÃO 12 - HISTÓRICO'!V47</f>
        <v>0</v>
      </c>
      <c r="T87" s="335">
        <f>'REGIÃO 12 - HISTÓRICO'!X47</f>
        <v>32452.15</v>
      </c>
      <c r="U87" s="335">
        <f>'REGIÃO 12 - HISTÓRICO'!Z47</f>
        <v>0</v>
      </c>
      <c r="V87" s="335">
        <f>'REGIÃO 12 - HISTÓRICO'!AB47</f>
        <v>0</v>
      </c>
      <c r="W87" s="335">
        <f>'REGIÃO 12 - HISTÓRICO'!AD47</f>
        <v>0</v>
      </c>
      <c r="X87" s="335">
        <f>'REGIÃO 12 - HISTÓRICO'!AF47</f>
        <v>0</v>
      </c>
      <c r="Y87" s="335"/>
      <c r="Z87" s="335"/>
      <c r="AA87" s="335" t="str">
        <f>IF($Z87="","",COUNTIFS($H$4:$H$217,$Z87,$B$4:$B$217,$Z$1))</f>
        <v/>
      </c>
      <c r="AB87" s="335" t="str">
        <f>IF($Z87="","",SUMIFS($I$4:$I$217,$H$4:$H$217,$Z87,$B$4:$B$217,$Z$1))</f>
        <v/>
      </c>
      <c r="AC87" s="335" t="str">
        <f>IF($Z87="","",$AB87-ROW()/1000000)</f>
        <v/>
      </c>
      <c r="AD87" s="335" t="str">
        <f>IFERROR(RANK($AC87,$AC$4:$AC$217),"")</f>
        <v/>
      </c>
      <c r="AE87" s="335"/>
      <c r="AF87" s="335" t="str">
        <f>$B87</f>
        <v>R12</v>
      </c>
      <c r="AG87" s="335" t="str">
        <f>$C87&amp;"."&amp;TEXT($D87,"0000")</f>
        <v>009.2025.0108</v>
      </c>
      <c r="AH87" s="335">
        <f>IF($B87="",-1,IF(OR($Z$1="?*",$B87=$Z$1),$I87,-1))</f>
        <v>32452.15</v>
      </c>
      <c r="AI87" s="335">
        <f>IF($AH87&lt;0,"",$AH87-ROW()/1000000)</f>
        <v>32452.149913000001</v>
      </c>
      <c r="AJ87" s="335">
        <f>IFERROR(RANK($AI87,$AI$4:$AI$217),"")</f>
        <v>38</v>
      </c>
    </row>
    <row r="88" spans="2:36" x14ac:dyDescent="0.3">
      <c r="B88" s="335" t="str">
        <f>IF(OR('REGIÃO 12 - RESUMO'!E48="",'REGIÃO 12 - RESUMO'!E48=0),"",'REGIÃO 12 - RESUMO'!C48)</f>
        <v>R12</v>
      </c>
      <c r="C88" s="335" t="str">
        <f>'REGIÃO 12 - RESUMO'!D48</f>
        <v>009.2025</v>
      </c>
      <c r="D88" s="81">
        <f>'REGIÃO 12 - RESUMO'!E48</f>
        <v>109</v>
      </c>
      <c r="E88" s="80" t="str">
        <f>'REGIÃO 12 - RESUMO'!F48</f>
        <v>Agosto</v>
      </c>
      <c r="F88" s="82">
        <f>'REGIÃO 12 - RESUMO'!H48</f>
        <v>233</v>
      </c>
      <c r="G88" s="335" t="str">
        <f>'REGIÃO 12 - RESUMO'!I48</f>
        <v>RODOVIA TO-373 - TRECHO ALVORADA - ENTR. BR-242</v>
      </c>
      <c r="H88" s="80" t="str">
        <f>'REGIÃO 12 - RESUMO'!J48</f>
        <v>Roçada</v>
      </c>
      <c r="I88" s="335">
        <f>'REGIÃO 12 - RESUMO'!K48</f>
        <v>29068.799999999999</v>
      </c>
      <c r="J88" s="335">
        <f>'REGIÃO 12 - HISTÓRICO'!F48</f>
        <v>29068.639999999999</v>
      </c>
      <c r="K88" s="335">
        <f>'REGIÃO 12 - HISTÓRICO'!G48</f>
        <v>0.15999999999985448</v>
      </c>
      <c r="L88" s="335" t="str">
        <f>IF(OR('REGIÃO 12 - RESUMO'!L48="",'REGIÃO 12 - RESUMO'!L48=0),"",'REGIÃO 12 - RESUMO'!L48)</f>
        <v>Concluída</v>
      </c>
      <c r="M88" s="335">
        <f>'REGIÃO 12 - HISTÓRICO'!J48</f>
        <v>0</v>
      </c>
      <c r="N88" s="335">
        <f>'REGIÃO 12 - HISTÓRICO'!L48</f>
        <v>0</v>
      </c>
      <c r="O88" s="335">
        <f>'REGIÃO 12 - HISTÓRICO'!N48</f>
        <v>0</v>
      </c>
      <c r="P88" s="335">
        <f>'REGIÃO 12 - HISTÓRICO'!P48</f>
        <v>0</v>
      </c>
      <c r="Q88" s="335">
        <f>'REGIÃO 12 - HISTÓRICO'!R48</f>
        <v>0</v>
      </c>
      <c r="R88" s="335">
        <f>'REGIÃO 12 - HISTÓRICO'!T48</f>
        <v>0</v>
      </c>
      <c r="S88" s="335">
        <f>'REGIÃO 12 - HISTÓRICO'!V48</f>
        <v>0</v>
      </c>
      <c r="T88" s="335">
        <f>'REGIÃO 12 - HISTÓRICO'!X48</f>
        <v>29068.639999999999</v>
      </c>
      <c r="U88" s="335">
        <f>'REGIÃO 12 - HISTÓRICO'!Z48</f>
        <v>0</v>
      </c>
      <c r="V88" s="335">
        <f>'REGIÃO 12 - HISTÓRICO'!AB48</f>
        <v>0</v>
      </c>
      <c r="W88" s="335">
        <f>'REGIÃO 12 - HISTÓRICO'!AD48</f>
        <v>0</v>
      </c>
      <c r="X88" s="335">
        <f>'REGIÃO 12 - HISTÓRICO'!AF48</f>
        <v>0</v>
      </c>
      <c r="Y88" s="335"/>
      <c r="Z88" s="335"/>
      <c r="AA88" s="335" t="str">
        <f>IF($Z88="","",COUNTIFS($H$4:$H$217,$Z88,$B$4:$B$217,$Z$1))</f>
        <v/>
      </c>
      <c r="AB88" s="335" t="str">
        <f>IF($Z88="","",SUMIFS($I$4:$I$217,$H$4:$H$217,$Z88,$B$4:$B$217,$Z$1))</f>
        <v/>
      </c>
      <c r="AC88" s="335" t="str">
        <f>IF($Z88="","",$AB88-ROW()/1000000)</f>
        <v/>
      </c>
      <c r="AD88" s="335" t="str">
        <f>IFERROR(RANK($AC88,$AC$4:$AC$217),"")</f>
        <v/>
      </c>
      <c r="AE88" s="335"/>
      <c r="AF88" s="335" t="str">
        <f>$B88</f>
        <v>R12</v>
      </c>
      <c r="AG88" s="335" t="str">
        <f>$C88&amp;"."&amp;TEXT($D88,"0000")</f>
        <v>009.2025.0109</v>
      </c>
      <c r="AH88" s="335">
        <f>IF($B88="",-1,IF(OR($Z$1="?*",$B88=$Z$1),$I88,-1))</f>
        <v>29068.799999999999</v>
      </c>
      <c r="AI88" s="335">
        <f>IF($AH88&lt;0,"",$AH88-ROW()/1000000)</f>
        <v>29068.799911999999</v>
      </c>
      <c r="AJ88" s="335">
        <f>IFERROR(RANK($AI88,$AI$4:$AI$217),"")</f>
        <v>40</v>
      </c>
    </row>
    <row r="89" spans="2:36" x14ac:dyDescent="0.3">
      <c r="B89" s="335" t="str">
        <f>IF(OR('REGIÃO 12 - RESUMO'!E49="",'REGIÃO 12 - RESUMO'!E49=0),"",'REGIÃO 12 - RESUMO'!C49)</f>
        <v>R12</v>
      </c>
      <c r="C89" s="335" t="str">
        <f>'REGIÃO 12 - RESUMO'!D49</f>
        <v>009.2025</v>
      </c>
      <c r="D89" s="81">
        <f>'REGIÃO 12 - RESUMO'!E49</f>
        <v>110</v>
      </c>
      <c r="E89" s="80" t="str">
        <f>'REGIÃO 12 - RESUMO'!F49</f>
        <v>Outubro</v>
      </c>
      <c r="F89" s="82">
        <f>'REGIÃO 12 - RESUMO'!H49</f>
        <v>229</v>
      </c>
      <c r="G89" s="335" t="str">
        <f>'REGIÃO 12 - RESUMO'!I49</f>
        <v>RODOVIA TO-296 - TRECHO JAÚ DO TOCANTINS - SÃO SALVADOR DO TOCANTINS</v>
      </c>
      <c r="H89" s="80" t="str">
        <f>'REGIÃO 12 - RESUMO'!J49</f>
        <v>Serviços em pontes de madeira sem reaproveitamento</v>
      </c>
      <c r="I89" s="335">
        <f>'REGIÃO 12 - RESUMO'!K49</f>
        <v>44770.43</v>
      </c>
      <c r="J89" s="335">
        <f>'REGIÃO 12 - HISTÓRICO'!F49</f>
        <v>0</v>
      </c>
      <c r="K89" s="335">
        <f>'REGIÃO 12 - HISTÓRICO'!G49</f>
        <v>44770.43</v>
      </c>
      <c r="L89" s="335" t="str">
        <f>IF(OR('REGIÃO 12 - RESUMO'!L49="",'REGIÃO 12 - RESUMO'!L49=0),"",'REGIÃO 12 - RESUMO'!L49)</f>
        <v>Em elaboração</v>
      </c>
      <c r="M89" s="335">
        <f>'REGIÃO 12 - HISTÓRICO'!J49</f>
        <v>0</v>
      </c>
      <c r="N89" s="335">
        <f>'REGIÃO 12 - HISTÓRICO'!L49</f>
        <v>0</v>
      </c>
      <c r="O89" s="335">
        <f>'REGIÃO 12 - HISTÓRICO'!N49</f>
        <v>0</v>
      </c>
      <c r="P89" s="335">
        <f>'REGIÃO 12 - HISTÓRICO'!P49</f>
        <v>0</v>
      </c>
      <c r="Q89" s="335">
        <f>'REGIÃO 12 - HISTÓRICO'!R49</f>
        <v>0</v>
      </c>
      <c r="R89" s="335">
        <f>'REGIÃO 12 - HISTÓRICO'!T49</f>
        <v>0</v>
      </c>
      <c r="S89" s="335">
        <f>'REGIÃO 12 - HISTÓRICO'!V49</f>
        <v>0</v>
      </c>
      <c r="T89" s="335">
        <f>'REGIÃO 12 - HISTÓRICO'!X49</f>
        <v>0</v>
      </c>
      <c r="U89" s="335">
        <f>'REGIÃO 12 - HISTÓRICO'!Z49</f>
        <v>0</v>
      </c>
      <c r="V89" s="335">
        <f>'REGIÃO 12 - HISTÓRICO'!AB49</f>
        <v>0</v>
      </c>
      <c r="W89" s="335">
        <f>'REGIÃO 12 - HISTÓRICO'!AD49</f>
        <v>0</v>
      </c>
      <c r="X89" s="335">
        <f>'REGIÃO 12 - HISTÓRICO'!AF49</f>
        <v>0</v>
      </c>
      <c r="Y89" s="335"/>
      <c r="Z89" s="335"/>
      <c r="AA89" s="335" t="str">
        <f>IF($Z89="","",COUNTIFS($H$4:$H$217,$Z89,$B$4:$B$217,$Z$1))</f>
        <v/>
      </c>
      <c r="AB89" s="335" t="str">
        <f>IF($Z89="","",SUMIFS($I$4:$I$217,$H$4:$H$217,$Z89,$B$4:$B$217,$Z$1))</f>
        <v/>
      </c>
      <c r="AC89" s="335" t="str">
        <f>IF($Z89="","",$AB89-ROW()/1000000)</f>
        <v/>
      </c>
      <c r="AD89" s="335" t="str">
        <f>IFERROR(RANK($AC89,$AC$4:$AC$217),"")</f>
        <v/>
      </c>
      <c r="AE89" s="335"/>
      <c r="AF89" s="335" t="str">
        <f>$B89</f>
        <v>R12</v>
      </c>
      <c r="AG89" s="335" t="str">
        <f>$C89&amp;"."&amp;TEXT($D89,"0000")</f>
        <v>009.2025.0110</v>
      </c>
      <c r="AH89" s="335">
        <f>IF($B89="",-1,IF(OR($Z$1="?*",$B89=$Z$1),$I89,-1))</f>
        <v>44770.43</v>
      </c>
      <c r="AI89" s="335">
        <f>IF($AH89&lt;0,"",$AH89-ROW()/1000000)</f>
        <v>44770.429910999999</v>
      </c>
      <c r="AJ89" s="335">
        <f>IFERROR(RANK($AI89,$AI$4:$AI$217),"")</f>
        <v>34</v>
      </c>
    </row>
    <row r="90" spans="2:36" x14ac:dyDescent="0.3">
      <c r="B90" s="335" t="str">
        <f>IF(OR('REGIÃO 12 - RESUMO'!E50="",'REGIÃO 12 - RESUMO'!E50=0),"",'REGIÃO 12 - RESUMO'!C50)</f>
        <v>R12</v>
      </c>
      <c r="C90" s="335" t="str">
        <f>'REGIÃO 12 - RESUMO'!D50</f>
        <v>009.2025</v>
      </c>
      <c r="D90" s="81">
        <f>'REGIÃO 12 - RESUMO'!E50</f>
        <v>111</v>
      </c>
      <c r="E90" s="80" t="str">
        <f>'REGIÃO 12 - RESUMO'!F50</f>
        <v>Setembro</v>
      </c>
      <c r="F90" s="82">
        <f>'REGIÃO 12 - RESUMO'!H50</f>
        <v>243</v>
      </c>
      <c r="G90" s="335" t="str">
        <f>'REGIÃO 12 - RESUMO'!I50</f>
        <v>RODOVIA TO-498 - TRECHO JAÚ DO TOCANTINS - ENTR. TO-373 (SANTA CRUZ)</v>
      </c>
      <c r="H90" s="80" t="str">
        <f>'REGIÃO 12 - RESUMO'!J50</f>
        <v>Roçada</v>
      </c>
      <c r="I90" s="335">
        <f>'REGIÃO 12 - RESUMO'!K50</f>
        <v>13059.73</v>
      </c>
      <c r="J90" s="335">
        <f>'REGIÃO 12 - HISTÓRICO'!F50</f>
        <v>0</v>
      </c>
      <c r="K90" s="335">
        <f>'REGIÃO 12 - HISTÓRICO'!G50</f>
        <v>13059.73</v>
      </c>
      <c r="L90" s="335" t="str">
        <f>IF(OR('REGIÃO 12 - RESUMO'!L50="",'REGIÃO 12 - RESUMO'!L50=0),"",'REGIÃO 12 - RESUMO'!L50)</f>
        <v>Em elaboração</v>
      </c>
      <c r="M90" s="335">
        <f>'REGIÃO 12 - HISTÓRICO'!J50</f>
        <v>0</v>
      </c>
      <c r="N90" s="335">
        <f>'REGIÃO 12 - HISTÓRICO'!L50</f>
        <v>0</v>
      </c>
      <c r="O90" s="335">
        <f>'REGIÃO 12 - HISTÓRICO'!N50</f>
        <v>0</v>
      </c>
      <c r="P90" s="335">
        <f>'REGIÃO 12 - HISTÓRICO'!P50</f>
        <v>0</v>
      </c>
      <c r="Q90" s="335">
        <f>'REGIÃO 12 - HISTÓRICO'!R50</f>
        <v>0</v>
      </c>
      <c r="R90" s="335">
        <f>'REGIÃO 12 - HISTÓRICO'!T50</f>
        <v>0</v>
      </c>
      <c r="S90" s="335">
        <f>'REGIÃO 12 - HISTÓRICO'!V50</f>
        <v>0</v>
      </c>
      <c r="T90" s="335">
        <f>'REGIÃO 12 - HISTÓRICO'!X50</f>
        <v>0</v>
      </c>
      <c r="U90" s="335">
        <f>'REGIÃO 12 - HISTÓRICO'!Z50</f>
        <v>0</v>
      </c>
      <c r="V90" s="335">
        <f>'REGIÃO 12 - HISTÓRICO'!AB50</f>
        <v>0</v>
      </c>
      <c r="W90" s="335">
        <f>'REGIÃO 12 - HISTÓRICO'!AD50</f>
        <v>0</v>
      </c>
      <c r="X90" s="335">
        <f>'REGIÃO 12 - HISTÓRICO'!AF50</f>
        <v>0</v>
      </c>
      <c r="Y90" s="335"/>
      <c r="Z90" s="335"/>
      <c r="AA90" s="335" t="str">
        <f>IF($Z90="","",COUNTIFS($H$4:$H$217,$Z90,$B$4:$B$217,$Z$1))</f>
        <v/>
      </c>
      <c r="AB90" s="335" t="str">
        <f>IF($Z90="","",SUMIFS($I$4:$I$217,$H$4:$H$217,$Z90,$B$4:$B$217,$Z$1))</f>
        <v/>
      </c>
      <c r="AC90" s="335" t="str">
        <f>IF($Z90="","",$AB90-ROW()/1000000)</f>
        <v/>
      </c>
      <c r="AD90" s="335" t="str">
        <f>IFERROR(RANK($AC90,$AC$4:$AC$217),"")</f>
        <v/>
      </c>
      <c r="AE90" s="335"/>
      <c r="AF90" s="335" t="str">
        <f>$B90</f>
        <v>R12</v>
      </c>
      <c r="AG90" s="335" t="str">
        <f>$C90&amp;"."&amp;TEXT($D90,"0000")</f>
        <v>009.2025.0111</v>
      </c>
      <c r="AH90" s="335">
        <f>IF($B90="",-1,IF(OR($Z$1="?*",$B90=$Z$1),$I90,-1))</f>
        <v>13059.73</v>
      </c>
      <c r="AI90" s="335">
        <f>IF($AH90&lt;0,"",$AH90-ROW()/1000000)</f>
        <v>13059.72991</v>
      </c>
      <c r="AJ90" s="335">
        <f>IFERROR(RANK($AI90,$AI$4:$AI$217),"")</f>
        <v>49</v>
      </c>
    </row>
    <row r="91" spans="2:36" x14ac:dyDescent="0.3">
      <c r="B91" s="335" t="str">
        <f>IF(OR('REGIÃO 12 - RESUMO'!E51="",'REGIÃO 12 - RESUMO'!E51=0),"",'REGIÃO 12 - RESUMO'!C51)</f>
        <v>R12</v>
      </c>
      <c r="C91" s="335" t="str">
        <f>'REGIÃO 12 - RESUMO'!D51</f>
        <v>009.2025</v>
      </c>
      <c r="D91" s="81">
        <f>'REGIÃO 12 - RESUMO'!E51</f>
        <v>112</v>
      </c>
      <c r="E91" s="80" t="str">
        <f>'REGIÃO 12 - RESUMO'!F51</f>
        <v>Setembro</v>
      </c>
      <c r="F91" s="82">
        <f>'REGIÃO 12 - RESUMO'!H51</f>
        <v>233</v>
      </c>
      <c r="G91" s="335" t="str">
        <f>'REGIÃO 12 - RESUMO'!I51</f>
        <v>RODOVIA TO-373 - TRECHO ALVORADA - ENTR. BR-242</v>
      </c>
      <c r="H91" s="80" t="str">
        <f>'REGIÃO 12 - RESUMO'!J51</f>
        <v xml:space="preserve"> Roçada / Caiação de EDS e pontes</v>
      </c>
      <c r="I91" s="335">
        <f>'REGIÃO 12 - RESUMO'!K51</f>
        <v>7335.76</v>
      </c>
      <c r="J91" s="335">
        <f>'REGIÃO 12 - HISTÓRICO'!F51</f>
        <v>0</v>
      </c>
      <c r="K91" s="335">
        <f>'REGIÃO 12 - HISTÓRICO'!G51</f>
        <v>7335.76</v>
      </c>
      <c r="L91" s="335" t="str">
        <f>IF(OR('REGIÃO 12 - RESUMO'!L51="",'REGIÃO 12 - RESUMO'!L51=0),"",'REGIÃO 12 - RESUMO'!L51)</f>
        <v>Em elaboração</v>
      </c>
      <c r="M91" s="335">
        <f>'REGIÃO 12 - HISTÓRICO'!J51</f>
        <v>0</v>
      </c>
      <c r="N91" s="335">
        <f>'REGIÃO 12 - HISTÓRICO'!L51</f>
        <v>0</v>
      </c>
      <c r="O91" s="335">
        <f>'REGIÃO 12 - HISTÓRICO'!N51</f>
        <v>0</v>
      </c>
      <c r="P91" s="335">
        <f>'REGIÃO 12 - HISTÓRICO'!P51</f>
        <v>0</v>
      </c>
      <c r="Q91" s="335">
        <f>'REGIÃO 12 - HISTÓRICO'!R51</f>
        <v>0</v>
      </c>
      <c r="R91" s="335">
        <f>'REGIÃO 12 - HISTÓRICO'!T51</f>
        <v>0</v>
      </c>
      <c r="S91" s="335">
        <f>'REGIÃO 12 - HISTÓRICO'!V51</f>
        <v>0</v>
      </c>
      <c r="T91" s="335">
        <f>'REGIÃO 12 - HISTÓRICO'!X51</f>
        <v>0</v>
      </c>
      <c r="U91" s="335">
        <f>'REGIÃO 12 - HISTÓRICO'!Z51</f>
        <v>0</v>
      </c>
      <c r="V91" s="335">
        <f>'REGIÃO 12 - HISTÓRICO'!AB51</f>
        <v>0</v>
      </c>
      <c r="W91" s="335">
        <f>'REGIÃO 12 - HISTÓRICO'!AD51</f>
        <v>0</v>
      </c>
      <c r="X91" s="335">
        <f>'REGIÃO 12 - HISTÓRICO'!AF51</f>
        <v>0</v>
      </c>
      <c r="Y91" s="335"/>
      <c r="Z91" s="335"/>
      <c r="AA91" s="335" t="str">
        <f>IF($Z91="","",COUNTIFS($H$4:$H$217,$Z91,$B$4:$B$217,$Z$1))</f>
        <v/>
      </c>
      <c r="AB91" s="335" t="str">
        <f>IF($Z91="","",SUMIFS($I$4:$I$217,$H$4:$H$217,$Z91,$B$4:$B$217,$Z$1))</f>
        <v/>
      </c>
      <c r="AC91" s="335" t="str">
        <f>IF($Z91="","",$AB91-ROW()/1000000)</f>
        <v/>
      </c>
      <c r="AD91" s="335" t="str">
        <f>IFERROR(RANK($AC91,$AC$4:$AC$217),"")</f>
        <v/>
      </c>
      <c r="AE91" s="335"/>
      <c r="AF91" s="335" t="str">
        <f>$B91</f>
        <v>R12</v>
      </c>
      <c r="AG91" s="335" t="str">
        <f>$C91&amp;"."&amp;TEXT($D91,"0000")</f>
        <v>009.2025.0112</v>
      </c>
      <c r="AH91" s="335">
        <f>IF($B91="",-1,IF(OR($Z$1="?*",$B91=$Z$1),$I91,-1))</f>
        <v>7335.76</v>
      </c>
      <c r="AI91" s="335">
        <f>IF($AH91&lt;0,"",$AH91-ROW()/1000000)</f>
        <v>7335.7599090000003</v>
      </c>
      <c r="AJ91" s="335">
        <f>IFERROR(RANK($AI91,$AI$4:$AI$217),"")</f>
        <v>52</v>
      </c>
    </row>
    <row r="92" spans="2:36" x14ac:dyDescent="0.3">
      <c r="B92" s="335" t="str">
        <f>IF(OR('REGIÃO 12 - RESUMO'!E52="",'REGIÃO 12 - RESUMO'!E52=0),"",'REGIÃO 12 - RESUMO'!C52)</f>
        <v>R12</v>
      </c>
      <c r="C92" s="335" t="str">
        <f>'REGIÃO 12 - RESUMO'!D52</f>
        <v>009.2025</v>
      </c>
      <c r="D92" s="81">
        <f>'REGIÃO 12 - RESUMO'!E52</f>
        <v>113</v>
      </c>
      <c r="E92" s="80" t="str">
        <f>'REGIÃO 12 - RESUMO'!F52</f>
        <v>Setembro</v>
      </c>
      <c r="F92" s="82">
        <f>'REGIÃO 12 - RESUMO'!H52</f>
        <v>244</v>
      </c>
      <c r="G92" s="335" t="str">
        <f>'REGIÃO 12 - RESUMO'!I52</f>
        <v>RODOVIA TO-498 - TRECHO JAÚ DO TOCANTINS - ENTR. TO-387</v>
      </c>
      <c r="H92" s="80" t="str">
        <f>'REGIÃO 12 - RESUMO'!J52</f>
        <v>Roçada</v>
      </c>
      <c r="I92" s="335">
        <f>'REGIÃO 12 - RESUMO'!K52</f>
        <v>15187.11</v>
      </c>
      <c r="J92" s="335">
        <f>'REGIÃO 12 - HISTÓRICO'!F52</f>
        <v>0</v>
      </c>
      <c r="K92" s="335">
        <f>'REGIÃO 12 - HISTÓRICO'!G52</f>
        <v>15187.11</v>
      </c>
      <c r="L92" s="335" t="str">
        <f>IF(OR('REGIÃO 12 - RESUMO'!L52="",'REGIÃO 12 - RESUMO'!L52=0),"",'REGIÃO 12 - RESUMO'!L52)</f>
        <v>Em elaboração</v>
      </c>
      <c r="M92" s="335">
        <f>'REGIÃO 12 - HISTÓRICO'!J52</f>
        <v>0</v>
      </c>
      <c r="N92" s="335">
        <f>'REGIÃO 12 - HISTÓRICO'!L52</f>
        <v>0</v>
      </c>
      <c r="O92" s="335">
        <f>'REGIÃO 12 - HISTÓRICO'!N52</f>
        <v>0</v>
      </c>
      <c r="P92" s="335">
        <f>'REGIÃO 12 - HISTÓRICO'!P52</f>
        <v>0</v>
      </c>
      <c r="Q92" s="335">
        <f>'REGIÃO 12 - HISTÓRICO'!R52</f>
        <v>0</v>
      </c>
      <c r="R92" s="335">
        <f>'REGIÃO 12 - HISTÓRICO'!T52</f>
        <v>0</v>
      </c>
      <c r="S92" s="335">
        <f>'REGIÃO 12 - HISTÓRICO'!V52</f>
        <v>0</v>
      </c>
      <c r="T92" s="335">
        <f>'REGIÃO 12 - HISTÓRICO'!X52</f>
        <v>0</v>
      </c>
      <c r="U92" s="335">
        <f>'REGIÃO 12 - HISTÓRICO'!Z52</f>
        <v>0</v>
      </c>
      <c r="V92" s="335">
        <f>'REGIÃO 12 - HISTÓRICO'!AB52</f>
        <v>0</v>
      </c>
      <c r="W92" s="335">
        <f>'REGIÃO 12 - HISTÓRICO'!AD52</f>
        <v>0</v>
      </c>
      <c r="X92" s="335">
        <f>'REGIÃO 12 - HISTÓRICO'!AF52</f>
        <v>0</v>
      </c>
      <c r="Y92" s="335"/>
      <c r="Z92" s="335"/>
      <c r="AA92" s="335" t="str">
        <f>IF($Z92="","",COUNTIFS($H$4:$H$217,$Z92,$B$4:$B$217,$Z$1))</f>
        <v/>
      </c>
      <c r="AB92" s="335" t="str">
        <f>IF($Z92="","",SUMIFS($I$4:$I$217,$H$4:$H$217,$Z92,$B$4:$B$217,$Z$1))</f>
        <v/>
      </c>
      <c r="AC92" s="335" t="str">
        <f>IF($Z92="","",$AB92-ROW()/1000000)</f>
        <v/>
      </c>
      <c r="AD92" s="335" t="str">
        <f>IFERROR(RANK($AC92,$AC$4:$AC$217),"")</f>
        <v/>
      </c>
      <c r="AE92" s="335"/>
      <c r="AF92" s="335" t="str">
        <f>$B92</f>
        <v>R12</v>
      </c>
      <c r="AG92" s="335" t="str">
        <f>$C92&amp;"."&amp;TEXT($D92,"0000")</f>
        <v>009.2025.0113</v>
      </c>
      <c r="AH92" s="335">
        <f>IF($B92="",-1,IF(OR($Z$1="?*",$B92=$Z$1),$I92,-1))</f>
        <v>15187.11</v>
      </c>
      <c r="AI92" s="335">
        <f>IF($AH92&lt;0,"",$AH92-ROW()/1000000)</f>
        <v>15187.109908</v>
      </c>
      <c r="AJ92" s="335">
        <f>IFERROR(RANK($AI92,$AI$4:$AI$217),"")</f>
        <v>48</v>
      </c>
    </row>
    <row r="93" spans="2:36" x14ac:dyDescent="0.3">
      <c r="B93" s="335" t="str">
        <f>IF(OR('REGIÃO 12 - RESUMO'!E53="",'REGIÃO 12 - RESUMO'!E53=0),"",'REGIÃO 12 - RESUMO'!C53)</f>
        <v>R12</v>
      </c>
      <c r="C93" s="335" t="str">
        <f>'REGIÃO 12 - RESUMO'!D53</f>
        <v>009.2025</v>
      </c>
      <c r="D93" s="81">
        <f>'REGIÃO 12 - RESUMO'!E53</f>
        <v>114</v>
      </c>
      <c r="E93" s="80" t="str">
        <f>'REGIÃO 12 - RESUMO'!F53</f>
        <v>Setembro</v>
      </c>
      <c r="F93" s="82">
        <f>'REGIÃO 12 - RESUMO'!H53</f>
        <v>236</v>
      </c>
      <c r="G93" s="335" t="str">
        <f>'REGIÃO 12 - RESUMO'!I53</f>
        <v>RODOVIA TO-458 - TRECHO ENTR. TO-365 (IPUEIRAS) - ENTR. BR-010</v>
      </c>
      <c r="H93" s="80" t="str">
        <f>'REGIÃO 12 - RESUMO'!J53</f>
        <v>Reconformação da plataforma</v>
      </c>
      <c r="I93" s="335">
        <f>'REGIÃO 12 - RESUMO'!K53</f>
        <v>42221.21</v>
      </c>
      <c r="J93" s="335">
        <f>'REGIÃO 12 - HISTÓRICO'!F53</f>
        <v>0</v>
      </c>
      <c r="K93" s="335">
        <f>'REGIÃO 12 - HISTÓRICO'!G53</f>
        <v>42221.21</v>
      </c>
      <c r="L93" s="335" t="str">
        <f>IF(OR('REGIÃO 12 - RESUMO'!L53="",'REGIÃO 12 - RESUMO'!L53=0),"",'REGIÃO 12 - RESUMO'!L53)</f>
        <v>Em elaboração</v>
      </c>
      <c r="M93" s="335">
        <f>'REGIÃO 12 - HISTÓRICO'!J53</f>
        <v>0</v>
      </c>
      <c r="N93" s="335">
        <f>'REGIÃO 12 - HISTÓRICO'!L53</f>
        <v>0</v>
      </c>
      <c r="O93" s="335">
        <f>'REGIÃO 12 - HISTÓRICO'!N53</f>
        <v>0</v>
      </c>
      <c r="P93" s="335">
        <f>'REGIÃO 12 - HISTÓRICO'!P53</f>
        <v>0</v>
      </c>
      <c r="Q93" s="335">
        <f>'REGIÃO 12 - HISTÓRICO'!R53</f>
        <v>0</v>
      </c>
      <c r="R93" s="335">
        <f>'REGIÃO 12 - HISTÓRICO'!T53</f>
        <v>0</v>
      </c>
      <c r="S93" s="335">
        <f>'REGIÃO 12 - HISTÓRICO'!V53</f>
        <v>0</v>
      </c>
      <c r="T93" s="335">
        <f>'REGIÃO 12 - HISTÓRICO'!X53</f>
        <v>0</v>
      </c>
      <c r="U93" s="335">
        <f>'REGIÃO 12 - HISTÓRICO'!Z53</f>
        <v>0</v>
      </c>
      <c r="V93" s="335">
        <f>'REGIÃO 12 - HISTÓRICO'!AB53</f>
        <v>0</v>
      </c>
      <c r="W93" s="335">
        <f>'REGIÃO 12 - HISTÓRICO'!AD53</f>
        <v>0</v>
      </c>
      <c r="X93" s="335">
        <f>'REGIÃO 12 - HISTÓRICO'!AF53</f>
        <v>0</v>
      </c>
      <c r="Y93" s="335"/>
      <c r="Z93" s="335"/>
      <c r="AA93" s="335" t="str">
        <f>IF($Z93="","",COUNTIFS($H$4:$H$217,$Z93,$B$4:$B$217,$Z$1))</f>
        <v/>
      </c>
      <c r="AB93" s="335" t="str">
        <f>IF($Z93="","",SUMIFS($I$4:$I$217,$H$4:$H$217,$Z93,$B$4:$B$217,$Z$1))</f>
        <v/>
      </c>
      <c r="AC93" s="335" t="str">
        <f>IF($Z93="","",$AB93-ROW()/1000000)</f>
        <v/>
      </c>
      <c r="AD93" s="335" t="str">
        <f>IFERROR(RANK($AC93,$AC$4:$AC$217),"")</f>
        <v/>
      </c>
      <c r="AE93" s="335"/>
      <c r="AF93" s="335" t="str">
        <f>$B93</f>
        <v>R12</v>
      </c>
      <c r="AG93" s="335" t="str">
        <f>$C93&amp;"."&amp;TEXT($D93,"0000")</f>
        <v>009.2025.0114</v>
      </c>
      <c r="AH93" s="335">
        <f>IF($B93="",-1,IF(OR($Z$1="?*",$B93=$Z$1),$I93,-1))</f>
        <v>42221.21</v>
      </c>
      <c r="AI93" s="335">
        <f>IF($AH93&lt;0,"",$AH93-ROW()/1000000)</f>
        <v>42221.209906999997</v>
      </c>
      <c r="AJ93" s="335">
        <f>IFERROR(RANK($AI93,$AI$4:$AI$217),"")</f>
        <v>36</v>
      </c>
    </row>
    <row r="94" spans="2:36" x14ac:dyDescent="0.3">
      <c r="B94" s="335" t="str">
        <f>IF(OR('REGIÃO 12 - RESUMO'!E54="",'REGIÃO 12 - RESUMO'!E54=0),"",'REGIÃO 12 - RESUMO'!C54)</f>
        <v>R12</v>
      </c>
      <c r="C94" s="335" t="str">
        <f>'REGIÃO 12 - RESUMO'!D54</f>
        <v>009.2025</v>
      </c>
      <c r="D94" s="81">
        <f>'REGIÃO 12 - RESUMO'!E54</f>
        <v>115</v>
      </c>
      <c r="E94" s="80" t="str">
        <f>'REGIÃO 12 - RESUMO'!F54</f>
        <v>Setembro</v>
      </c>
      <c r="F94" s="82">
        <f>'REGIÃO 12 - RESUMO'!H54</f>
        <v>244</v>
      </c>
      <c r="G94" s="335" t="str">
        <f>'REGIÃO 12 - RESUMO'!I54</f>
        <v>RODOVIA TO-498 - TRECHO JAÚ DO TOCANTINS - ENTR. TO-387</v>
      </c>
      <c r="H94" s="80" t="str">
        <f>'REGIÃO 12 - RESUMO'!J54</f>
        <v>Tapa-Buraco CAE / Execução de Contenção</v>
      </c>
      <c r="I94" s="335">
        <f>'REGIÃO 12 - RESUMO'!K54</f>
        <v>205865.44</v>
      </c>
      <c r="J94" s="335">
        <f>'REGIÃO 12 - HISTÓRICO'!F54</f>
        <v>0</v>
      </c>
      <c r="K94" s="335">
        <f>'REGIÃO 12 - HISTÓRICO'!G54</f>
        <v>205865.44</v>
      </c>
      <c r="L94" s="335" t="str">
        <f>IF(OR('REGIÃO 12 - RESUMO'!L54="",'REGIÃO 12 - RESUMO'!L54=0),"",'REGIÃO 12 - RESUMO'!L54)</f>
        <v>Em elaboração</v>
      </c>
      <c r="M94" s="335">
        <f>'REGIÃO 12 - HISTÓRICO'!J54</f>
        <v>0</v>
      </c>
      <c r="N94" s="335">
        <f>'REGIÃO 12 - HISTÓRICO'!L54</f>
        <v>0</v>
      </c>
      <c r="O94" s="335">
        <f>'REGIÃO 12 - HISTÓRICO'!N54</f>
        <v>0</v>
      </c>
      <c r="P94" s="335">
        <f>'REGIÃO 12 - HISTÓRICO'!P54</f>
        <v>0</v>
      </c>
      <c r="Q94" s="335">
        <f>'REGIÃO 12 - HISTÓRICO'!R54</f>
        <v>0</v>
      </c>
      <c r="R94" s="335">
        <f>'REGIÃO 12 - HISTÓRICO'!T54</f>
        <v>0</v>
      </c>
      <c r="S94" s="335">
        <f>'REGIÃO 12 - HISTÓRICO'!V54</f>
        <v>0</v>
      </c>
      <c r="T94" s="335">
        <f>'REGIÃO 12 - HISTÓRICO'!X54</f>
        <v>0</v>
      </c>
      <c r="U94" s="335">
        <f>'REGIÃO 12 - HISTÓRICO'!Z54</f>
        <v>0</v>
      </c>
      <c r="V94" s="335">
        <f>'REGIÃO 12 - HISTÓRICO'!AB54</f>
        <v>0</v>
      </c>
      <c r="W94" s="335">
        <f>'REGIÃO 12 - HISTÓRICO'!AD54</f>
        <v>0</v>
      </c>
      <c r="X94" s="335">
        <f>'REGIÃO 12 - HISTÓRICO'!AF54</f>
        <v>0</v>
      </c>
      <c r="Y94" s="335"/>
      <c r="Z94" s="335"/>
      <c r="AA94" s="335" t="str">
        <f>IF($Z94="","",COUNTIFS($H$4:$H$217,$Z94,$B$4:$B$217,$Z$1))</f>
        <v/>
      </c>
      <c r="AB94" s="335" t="str">
        <f>IF($Z94="","",SUMIFS($I$4:$I$217,$H$4:$H$217,$Z94,$B$4:$B$217,$Z$1))</f>
        <v/>
      </c>
      <c r="AC94" s="335" t="str">
        <f>IF($Z94="","",$AB94-ROW()/1000000)</f>
        <v/>
      </c>
      <c r="AD94" s="335" t="str">
        <f>IFERROR(RANK($AC94,$AC$4:$AC$217),"")</f>
        <v/>
      </c>
      <c r="AE94" s="335"/>
      <c r="AF94" s="335" t="str">
        <f>$B94</f>
        <v>R12</v>
      </c>
      <c r="AG94" s="335" t="str">
        <f>$C94&amp;"."&amp;TEXT($D94,"0000")</f>
        <v>009.2025.0115</v>
      </c>
      <c r="AH94" s="335">
        <f>IF($B94="",-1,IF(OR($Z$1="?*",$B94=$Z$1),$I94,-1))</f>
        <v>205865.44</v>
      </c>
      <c r="AI94" s="335">
        <f>IF($AH94&lt;0,"",$AH94-ROW()/1000000)</f>
        <v>205865.43990600001</v>
      </c>
      <c r="AJ94" s="335">
        <f>IFERROR(RANK($AI94,$AI$4:$AI$217),"")</f>
        <v>14</v>
      </c>
    </row>
    <row r="95" spans="2:36" x14ac:dyDescent="0.3">
      <c r="B95" s="335" t="str">
        <f>IF(OR('REGIÃO 12 - RESUMO'!E55="",'REGIÃO 12 - RESUMO'!E55=0),"",'REGIÃO 12 - RESUMO'!C55)</f>
        <v>R12</v>
      </c>
      <c r="C95" s="335" t="str">
        <f>'REGIÃO 12 - RESUMO'!D55</f>
        <v>009.2025</v>
      </c>
      <c r="D95" s="81">
        <f>'REGIÃO 12 - RESUMO'!E55</f>
        <v>116</v>
      </c>
      <c r="E95" s="80" t="str">
        <f>'REGIÃO 12 - RESUMO'!F55</f>
        <v>Setembro</v>
      </c>
      <c r="F95" s="82">
        <f>'REGIÃO 12 - RESUMO'!H55</f>
        <v>231</v>
      </c>
      <c r="G95" s="335" t="str">
        <f>'REGIÃO 12 - RESUMO'!I55</f>
        <v>RODOVIA TO-365 - TRECHO IPUEIRAS - SILVANÓPOLIS</v>
      </c>
      <c r="H95" s="80" t="str">
        <f>'REGIÃO 12 - RESUMO'!J55</f>
        <v>Reconformação da plataforma</v>
      </c>
      <c r="I95" s="335">
        <f>'REGIÃO 12 - RESUMO'!K55</f>
        <v>43963.44</v>
      </c>
      <c r="J95" s="335">
        <f>'REGIÃO 12 - HISTÓRICO'!F55</f>
        <v>0</v>
      </c>
      <c r="K95" s="335">
        <f>'REGIÃO 12 - HISTÓRICO'!G55</f>
        <v>43963.44</v>
      </c>
      <c r="L95" s="335" t="str">
        <f>IF(OR('REGIÃO 12 - RESUMO'!L55="",'REGIÃO 12 - RESUMO'!L55=0),"",'REGIÃO 12 - RESUMO'!L55)</f>
        <v>Em elaboração</v>
      </c>
      <c r="M95" s="335">
        <f>'REGIÃO 12 - HISTÓRICO'!J55</f>
        <v>0</v>
      </c>
      <c r="N95" s="335">
        <f>'REGIÃO 12 - HISTÓRICO'!L55</f>
        <v>0</v>
      </c>
      <c r="O95" s="335">
        <f>'REGIÃO 12 - HISTÓRICO'!N55</f>
        <v>0</v>
      </c>
      <c r="P95" s="335">
        <f>'REGIÃO 12 - HISTÓRICO'!P55</f>
        <v>0</v>
      </c>
      <c r="Q95" s="335">
        <f>'REGIÃO 12 - HISTÓRICO'!R55</f>
        <v>0</v>
      </c>
      <c r="R95" s="335">
        <f>'REGIÃO 12 - HISTÓRICO'!T55</f>
        <v>0</v>
      </c>
      <c r="S95" s="335">
        <f>'REGIÃO 12 - HISTÓRICO'!V55</f>
        <v>0</v>
      </c>
      <c r="T95" s="335">
        <f>'REGIÃO 12 - HISTÓRICO'!X55</f>
        <v>0</v>
      </c>
      <c r="U95" s="335">
        <f>'REGIÃO 12 - HISTÓRICO'!Z55</f>
        <v>0</v>
      </c>
      <c r="V95" s="335">
        <f>'REGIÃO 12 - HISTÓRICO'!AB55</f>
        <v>0</v>
      </c>
      <c r="W95" s="335">
        <f>'REGIÃO 12 - HISTÓRICO'!AD55</f>
        <v>0</v>
      </c>
      <c r="X95" s="335">
        <f>'REGIÃO 12 - HISTÓRICO'!AF55</f>
        <v>0</v>
      </c>
      <c r="Y95" s="335"/>
      <c r="Z95" s="335"/>
      <c r="AA95" s="335" t="str">
        <f>IF($Z95="","",COUNTIFS($H$4:$H$217,$Z95,$B$4:$B$217,$Z$1))</f>
        <v/>
      </c>
      <c r="AB95" s="335" t="str">
        <f>IF($Z95="","",SUMIFS($I$4:$I$217,$H$4:$H$217,$Z95,$B$4:$B$217,$Z$1))</f>
        <v/>
      </c>
      <c r="AC95" s="335" t="str">
        <f>IF($Z95="","",$AB95-ROW()/1000000)</f>
        <v/>
      </c>
      <c r="AD95" s="335" t="str">
        <f>IFERROR(RANK($AC95,$AC$4:$AC$217),"")</f>
        <v/>
      </c>
      <c r="AE95" s="335"/>
      <c r="AF95" s="335" t="str">
        <f>$B95</f>
        <v>R12</v>
      </c>
      <c r="AG95" s="335" t="str">
        <f>$C95&amp;"."&amp;TEXT($D95,"0000")</f>
        <v>009.2025.0116</v>
      </c>
      <c r="AH95" s="335">
        <f>IF($B95="",-1,IF(OR($Z$1="?*",$B95=$Z$1),$I95,-1))</f>
        <v>43963.44</v>
      </c>
      <c r="AI95" s="335">
        <f>IF($AH95&lt;0,"",$AH95-ROW()/1000000)</f>
        <v>43963.439904999999</v>
      </c>
      <c r="AJ95" s="335">
        <f>IFERROR(RANK($AI95,$AI$4:$AI$217),"")</f>
        <v>35</v>
      </c>
    </row>
    <row r="96" spans="2:36" x14ac:dyDescent="0.3">
      <c r="B96" s="335" t="str">
        <f>IF(OR('REGIÃO 12 - RESUMO'!E56="",'REGIÃO 12 - RESUMO'!E56=0),"",'REGIÃO 12 - RESUMO'!C56)</f>
        <v>R12</v>
      </c>
      <c r="C96" s="335" t="str">
        <f>'REGIÃO 12 - RESUMO'!D56</f>
        <v>009.2025</v>
      </c>
      <c r="D96" s="81">
        <f>'REGIÃO 12 - RESUMO'!E56</f>
        <v>117</v>
      </c>
      <c r="E96" s="80" t="str">
        <f>'REGIÃO 12 - RESUMO'!F56</f>
        <v>Outubro</v>
      </c>
      <c r="F96" s="82">
        <f>'REGIÃO 12 - RESUMO'!H56</f>
        <v>238</v>
      </c>
      <c r="G96" s="335" t="str">
        <f>'REGIÃO 12 - RESUMO'!I56</f>
        <v>RODOVIA TO-482 - TRECHO: ENTR. TO-280 (SÃO VALÉRIO DE NATIVIDADE) / ENTR. TO-458</v>
      </c>
      <c r="H96" s="80" t="str">
        <f>'REGIÃO 12 - RESUMO'!J56</f>
        <v>SERVIÇOS MANUTENÇÃO</v>
      </c>
      <c r="I96" s="335">
        <f>'REGIÃO 12 - RESUMO'!K56</f>
        <v>0</v>
      </c>
      <c r="J96" s="335">
        <f>'REGIÃO 12 - HISTÓRICO'!F56</f>
        <v>0</v>
      </c>
      <c r="K96" s="335">
        <f>'REGIÃO 12 - HISTÓRICO'!G56</f>
        <v>0</v>
      </c>
      <c r="L96" s="335" t="str">
        <f>IF(OR('REGIÃO 12 - RESUMO'!L56="",'REGIÃO 12 - RESUMO'!L56=0),"",'REGIÃO 12 - RESUMO'!L56)</f>
        <v>-</v>
      </c>
      <c r="M96" s="335">
        <f>'REGIÃO 12 - HISTÓRICO'!J56</f>
        <v>0</v>
      </c>
      <c r="N96" s="335">
        <f>'REGIÃO 12 - HISTÓRICO'!L56</f>
        <v>0</v>
      </c>
      <c r="O96" s="335">
        <f>'REGIÃO 12 - HISTÓRICO'!N56</f>
        <v>0</v>
      </c>
      <c r="P96" s="335">
        <f>'REGIÃO 12 - HISTÓRICO'!P56</f>
        <v>0</v>
      </c>
      <c r="Q96" s="335">
        <f>'REGIÃO 12 - HISTÓRICO'!R56</f>
        <v>0</v>
      </c>
      <c r="R96" s="335">
        <f>'REGIÃO 12 - HISTÓRICO'!T56</f>
        <v>0</v>
      </c>
      <c r="S96" s="335">
        <f>'REGIÃO 12 - HISTÓRICO'!V56</f>
        <v>0</v>
      </c>
      <c r="T96" s="335">
        <f>'REGIÃO 12 - HISTÓRICO'!X56</f>
        <v>0</v>
      </c>
      <c r="U96" s="335">
        <f>'REGIÃO 12 - HISTÓRICO'!Z56</f>
        <v>0</v>
      </c>
      <c r="V96" s="335">
        <f>'REGIÃO 12 - HISTÓRICO'!AB56</f>
        <v>0</v>
      </c>
      <c r="W96" s="335">
        <f>'REGIÃO 12 - HISTÓRICO'!AD56</f>
        <v>0</v>
      </c>
      <c r="X96" s="335">
        <f>'REGIÃO 12 - HISTÓRICO'!AF56</f>
        <v>0</v>
      </c>
      <c r="Y96" s="335"/>
      <c r="Z96" s="335"/>
      <c r="AA96" s="335" t="str">
        <f>IF($Z96="","",COUNTIFS($H$4:$H$217,$Z96,$B$4:$B$217,$Z$1))</f>
        <v/>
      </c>
      <c r="AB96" s="335" t="str">
        <f>IF($Z96="","",SUMIFS($I$4:$I$217,$H$4:$H$217,$Z96,$B$4:$B$217,$Z$1))</f>
        <v/>
      </c>
      <c r="AC96" s="335" t="str">
        <f>IF($Z96="","",$AB96-ROW()/1000000)</f>
        <v/>
      </c>
      <c r="AD96" s="335" t="str">
        <f>IFERROR(RANK($AC96,$AC$4:$AC$217),"")</f>
        <v/>
      </c>
      <c r="AE96" s="335"/>
      <c r="AF96" s="335" t="str">
        <f>$B96</f>
        <v>R12</v>
      </c>
      <c r="AG96" s="335" t="str">
        <f>$C96&amp;"."&amp;TEXT($D96,"0000")</f>
        <v>009.2025.0117</v>
      </c>
      <c r="AH96" s="335">
        <f>IF($B96="",-1,IF(OR($Z$1="?*",$B96=$Z$1),$I96,-1))</f>
        <v>0</v>
      </c>
      <c r="AI96" s="335">
        <f>IF($AH96&lt;0,"",$AH96-ROW()/1000000)</f>
        <v>-9.6000000000000002E-5</v>
      </c>
      <c r="AJ96" s="335">
        <f>IFERROR(RANK($AI96,$AI$4:$AI$217),"")</f>
        <v>53</v>
      </c>
    </row>
    <row r="97" spans="2:36" x14ac:dyDescent="0.3">
      <c r="B97" s="335" t="str">
        <f>IF(OR('REGIÃO 12 - RESUMO'!E57="",'REGIÃO 12 - RESUMO'!E57=0),"",'REGIÃO 12 - RESUMO'!C57)</f>
        <v/>
      </c>
      <c r="C97" s="335" t="str">
        <f>'REGIÃO 12 - RESUMO'!D57</f>
        <v/>
      </c>
      <c r="D97" s="81">
        <f>'REGIÃO 12 - RESUMO'!E57</f>
        <v>0</v>
      </c>
      <c r="E97" s="80">
        <f>'REGIÃO 12 - RESUMO'!F57</f>
        <v>0</v>
      </c>
      <c r="F97" s="82">
        <f>'REGIÃO 12 - RESUMO'!H57</f>
        <v>0</v>
      </c>
      <c r="G97" s="335" t="str">
        <f>'REGIÃO 12 - RESUMO'!I57</f>
        <v/>
      </c>
      <c r="H97" s="80">
        <f>'REGIÃO 12 - RESUMO'!J57</f>
        <v>0</v>
      </c>
      <c r="I97" s="335">
        <f>'REGIÃO 12 - RESUMO'!K57</f>
        <v>0</v>
      </c>
      <c r="J97" s="335">
        <f>'REGIÃO 12 - HISTÓRICO'!F57</f>
        <v>0</v>
      </c>
      <c r="K97" s="335">
        <f>'REGIÃO 12 - HISTÓRICO'!G57</f>
        <v>0</v>
      </c>
      <c r="L97" s="335" t="str">
        <f>IF(OR('REGIÃO 12 - RESUMO'!L57="",'REGIÃO 12 - RESUMO'!L57=0),"",'REGIÃO 12 - RESUMO'!L57)</f>
        <v/>
      </c>
      <c r="M97" s="335">
        <f>'REGIÃO 12 - HISTÓRICO'!J57</f>
        <v>0</v>
      </c>
      <c r="N97" s="335">
        <f>'REGIÃO 12 - HISTÓRICO'!L57</f>
        <v>0</v>
      </c>
      <c r="O97" s="335">
        <f>'REGIÃO 12 - HISTÓRICO'!N57</f>
        <v>0</v>
      </c>
      <c r="P97" s="335">
        <f>'REGIÃO 12 - HISTÓRICO'!P57</f>
        <v>0</v>
      </c>
      <c r="Q97" s="335">
        <f>'REGIÃO 12 - HISTÓRICO'!R57</f>
        <v>0</v>
      </c>
      <c r="R97" s="335">
        <f>'REGIÃO 12 - HISTÓRICO'!T57</f>
        <v>0</v>
      </c>
      <c r="S97" s="335">
        <f>'REGIÃO 12 - HISTÓRICO'!V57</f>
        <v>0</v>
      </c>
      <c r="T97" s="335">
        <f>'REGIÃO 12 - HISTÓRICO'!X57</f>
        <v>0</v>
      </c>
      <c r="U97" s="335">
        <f>'REGIÃO 12 - HISTÓRICO'!Z57</f>
        <v>0</v>
      </c>
      <c r="V97" s="335">
        <f>'REGIÃO 12 - HISTÓRICO'!AB57</f>
        <v>0</v>
      </c>
      <c r="W97" s="335">
        <f>'REGIÃO 12 - HISTÓRICO'!AD57</f>
        <v>0</v>
      </c>
      <c r="X97" s="335">
        <f>'REGIÃO 12 - HISTÓRICO'!AF57</f>
        <v>0</v>
      </c>
      <c r="Y97" s="335"/>
      <c r="Z97" s="335"/>
      <c r="AA97" s="335" t="str">
        <f>IF($Z97="","",COUNTIFS($H$4:$H$217,$Z97,$B$4:$B$217,$Z$1))</f>
        <v/>
      </c>
      <c r="AB97" s="335" t="str">
        <f>IF($Z97="","",SUMIFS($I$4:$I$217,$H$4:$H$217,$Z97,$B$4:$B$217,$Z$1))</f>
        <v/>
      </c>
      <c r="AC97" s="335" t="str">
        <f>IF($Z97="","",$AB97-ROW()/1000000)</f>
        <v/>
      </c>
      <c r="AD97" s="335" t="str">
        <f>IFERROR(RANK($AC97,$AC$4:$AC$217),"")</f>
        <v/>
      </c>
      <c r="AE97" s="335"/>
      <c r="AF97" s="335" t="str">
        <f>$B97</f>
        <v/>
      </c>
      <c r="AG97" s="335" t="str">
        <f>$C97&amp;"."&amp;TEXT($D97,"0000")</f>
        <v>.0000</v>
      </c>
      <c r="AH97" s="335">
        <f>IF($B97="",-1,IF(OR($Z$1="?*",$B97=$Z$1),$I97,-1))</f>
        <v>-1</v>
      </c>
      <c r="AI97" s="335" t="str">
        <f>IF($AH97&lt;0,"",$AH97-ROW()/1000000)</f>
        <v/>
      </c>
      <c r="AJ97" s="335" t="str">
        <f>IFERROR(RANK($AI97,$AI$4:$AI$217),"")</f>
        <v/>
      </c>
    </row>
    <row r="98" spans="2:36" x14ac:dyDescent="0.3">
      <c r="B98" s="335" t="str">
        <f>IF(OR('REGIÃO 13 - RESUMO'!E4="",'REGIÃO 13 - RESUMO'!E4=0),"",'REGIÃO 13 - RESUMO'!C4)</f>
        <v>R13</v>
      </c>
      <c r="C98" s="335" t="str">
        <f>'REGIÃO 13 - RESUMO'!D4</f>
        <v>051.2024</v>
      </c>
      <c r="D98" s="81">
        <f>'REGIÃO 13 - RESUMO'!E4</f>
        <v>73</v>
      </c>
      <c r="E98" s="80" t="str">
        <f>'REGIÃO 13 - RESUMO'!F4</f>
        <v>Janeiro</v>
      </c>
      <c r="F98" s="82">
        <f>'REGIÃO 13 - RESUMO'!H4</f>
        <v>266</v>
      </c>
      <c r="G98" s="335" t="str">
        <f>'REGIÃO 13 - RESUMO'!I4</f>
        <v>RODOVIA TO-476 - TRECHO RIO DA CONCEIÇÃO - DIANÓPOLIS</v>
      </c>
      <c r="H98" s="80" t="str">
        <f>'REGIÃO 13 - RESUMO'!J4</f>
        <v>Roçada / Tapa-Buraco CAE</v>
      </c>
      <c r="I98" s="335">
        <f>'REGIÃO 13 - RESUMO'!K4</f>
        <v>98239.679999999993</v>
      </c>
      <c r="J98" s="335">
        <f>'REGIÃO 13 - HISTÓRICO'!F4</f>
        <v>82601.86</v>
      </c>
      <c r="K98" s="335">
        <f>'REGIÃO 13 - HISTÓRICO'!G4</f>
        <v>15637.819999999992</v>
      </c>
      <c r="L98" s="335" t="str">
        <f>IF(OR('REGIÃO 13 - RESUMO'!L4="",'REGIÃO 13 - RESUMO'!L4=0),"",'REGIÃO 13 - RESUMO'!L4)</f>
        <v>Concluída</v>
      </c>
      <c r="M98" s="335">
        <f>'REGIÃO 13 - HISTÓRICO'!J4</f>
        <v>14461.95</v>
      </c>
      <c r="N98" s="335">
        <f>'REGIÃO 13 - HISTÓRICO'!L4</f>
        <v>0</v>
      </c>
      <c r="O98" s="335">
        <f>'REGIÃO 13 - HISTÓRICO'!N4</f>
        <v>68139.91</v>
      </c>
      <c r="P98" s="335">
        <f>'REGIÃO 13 - HISTÓRICO'!P4</f>
        <v>0</v>
      </c>
      <c r="Q98" s="335">
        <f>'REGIÃO 13 - HISTÓRICO'!R4</f>
        <v>0</v>
      </c>
      <c r="R98" s="335">
        <f>'REGIÃO 13 - HISTÓRICO'!T4</f>
        <v>0</v>
      </c>
      <c r="S98" s="335">
        <f>'REGIÃO 13 - HISTÓRICO'!V4</f>
        <v>0</v>
      </c>
      <c r="T98" s="335">
        <f>'REGIÃO 13 - HISTÓRICO'!X4</f>
        <v>0</v>
      </c>
      <c r="U98" s="335">
        <f>'REGIÃO 13 - HISTÓRICO'!Z4</f>
        <v>0</v>
      </c>
      <c r="V98" s="335">
        <f>'REGIÃO 13 - HISTÓRICO'!AB4</f>
        <v>0</v>
      </c>
      <c r="W98" s="335">
        <f>'REGIÃO 13 - HISTÓRICO'!AD4</f>
        <v>0</v>
      </c>
      <c r="X98" s="335">
        <f>'REGIÃO 13 - HISTÓRICO'!AF4</f>
        <v>0</v>
      </c>
      <c r="Y98" s="335"/>
      <c r="Z98" s="335"/>
      <c r="AA98" s="335" t="str">
        <f>IF($Z98="","",COUNTIFS($H$4:$H$217,$Z98,$B$4:$B$217,$Z$1))</f>
        <v/>
      </c>
      <c r="AB98" s="335" t="str">
        <f>IF($Z98="","",SUMIFS($I$4:$I$217,$H$4:$H$217,$Z98,$B$4:$B$217,$Z$1))</f>
        <v/>
      </c>
      <c r="AC98" s="335" t="str">
        <f>IF($Z98="","",$AB98-ROW()/1000000)</f>
        <v/>
      </c>
      <c r="AD98" s="335" t="str">
        <f>IFERROR(RANK($AC98,$AC$4:$AC$217),"")</f>
        <v/>
      </c>
      <c r="AE98" s="335"/>
      <c r="AF98" s="335" t="str">
        <f>$B98</f>
        <v>R13</v>
      </c>
      <c r="AG98" s="335" t="str">
        <f>$C98&amp;"."&amp;TEXT($D98,"0000")</f>
        <v>051.2024.0073</v>
      </c>
      <c r="AH98" s="335">
        <f>IF($B98="",-1,IF(OR($Z$1="?*",$B98=$Z$1),$I98,-1))</f>
        <v>-1</v>
      </c>
      <c r="AI98" s="335" t="str">
        <f>IF($AH98&lt;0,"",$AH98-ROW()/1000000)</f>
        <v/>
      </c>
      <c r="AJ98" s="335" t="str">
        <f>IFERROR(RANK($AI98,$AI$4:$AI$217),"")</f>
        <v/>
      </c>
    </row>
    <row r="99" spans="2:36" x14ac:dyDescent="0.3">
      <c r="B99" s="335" t="str">
        <f>IF(OR('REGIÃO 13 - RESUMO'!E5="",'REGIÃO 13 - RESUMO'!E5=0),"",'REGIÃO 13 - RESUMO'!C5)</f>
        <v>R13</v>
      </c>
      <c r="C99" s="335" t="str">
        <f>'REGIÃO 13 - RESUMO'!D5</f>
        <v>051.2024</v>
      </c>
      <c r="D99" s="81">
        <f>'REGIÃO 13 - RESUMO'!E5</f>
        <v>74</v>
      </c>
      <c r="E99" s="80" t="str">
        <f>'REGIÃO 13 - RESUMO'!F5</f>
        <v>Janeiro</v>
      </c>
      <c r="F99" s="82">
        <f>'REGIÃO 13 - RESUMO'!H5</f>
        <v>246</v>
      </c>
      <c r="G99" s="335" t="str">
        <f>'REGIÃO 13 - RESUMO'!I5</f>
        <v>RODOVIA TO-040 - TRECHO ALMAS - PORTO ALEGRE DO TOCANTINS</v>
      </c>
      <c r="H99" s="80" t="str">
        <f>'REGIÃO 13 - RESUMO'!J5</f>
        <v>Roçada / Tapa-Buraco CAE</v>
      </c>
      <c r="I99" s="335">
        <f>'REGIÃO 13 - RESUMO'!K5</f>
        <v>329309.36</v>
      </c>
      <c r="J99" s="335">
        <f>'REGIÃO 13 - HISTÓRICO'!F5</f>
        <v>328999.46999999997</v>
      </c>
      <c r="K99" s="335">
        <f>'REGIÃO 13 - HISTÓRICO'!G5</f>
        <v>309.89000000001397</v>
      </c>
      <c r="L99" s="335" t="str">
        <f>IF(OR('REGIÃO 13 - RESUMO'!L5="",'REGIÃO 13 - RESUMO'!L5=0),"",'REGIÃO 13 - RESUMO'!L5)</f>
        <v>Concluída</v>
      </c>
      <c r="M99" s="335">
        <f>'REGIÃO 13 - HISTÓRICO'!J5</f>
        <v>197.02</v>
      </c>
      <c r="N99" s="335">
        <f>'REGIÃO 13 - HISTÓRICO'!L5</f>
        <v>317147.34999999998</v>
      </c>
      <c r="O99" s="335">
        <f>'REGIÃO 13 - HISTÓRICO'!N5</f>
        <v>11655.1</v>
      </c>
      <c r="P99" s="335">
        <f>'REGIÃO 13 - HISTÓRICO'!P5</f>
        <v>0</v>
      </c>
      <c r="Q99" s="335">
        <f>'REGIÃO 13 - HISTÓRICO'!R5</f>
        <v>0</v>
      </c>
      <c r="R99" s="335">
        <f>'REGIÃO 13 - HISTÓRICO'!T5</f>
        <v>0</v>
      </c>
      <c r="S99" s="335">
        <f>'REGIÃO 13 - HISTÓRICO'!V5</f>
        <v>0</v>
      </c>
      <c r="T99" s="335">
        <f>'REGIÃO 13 - HISTÓRICO'!X5</f>
        <v>0</v>
      </c>
      <c r="U99" s="335">
        <f>'REGIÃO 13 - HISTÓRICO'!Z5</f>
        <v>0</v>
      </c>
      <c r="V99" s="335">
        <f>'REGIÃO 13 - HISTÓRICO'!AB5</f>
        <v>0</v>
      </c>
      <c r="W99" s="335">
        <f>'REGIÃO 13 - HISTÓRICO'!AD5</f>
        <v>0</v>
      </c>
      <c r="X99" s="335">
        <f>'REGIÃO 13 - HISTÓRICO'!AF5</f>
        <v>0</v>
      </c>
      <c r="Y99" s="335"/>
      <c r="Z99" s="335"/>
      <c r="AA99" s="335" t="str">
        <f>IF($Z99="","",COUNTIFS($H$4:$H$217,$Z99,$B$4:$B$217,$Z$1))</f>
        <v/>
      </c>
      <c r="AB99" s="335" t="str">
        <f>IF($Z99="","",SUMIFS($I$4:$I$217,$H$4:$H$217,$Z99,$B$4:$B$217,$Z$1))</f>
        <v/>
      </c>
      <c r="AC99" s="335" t="str">
        <f>IF($Z99="","",$AB99-ROW()/1000000)</f>
        <v/>
      </c>
      <c r="AD99" s="335" t="str">
        <f>IFERROR(RANK($AC99,$AC$4:$AC$217),"")</f>
        <v/>
      </c>
      <c r="AE99" s="335"/>
      <c r="AF99" s="335" t="str">
        <f>$B99</f>
        <v>R13</v>
      </c>
      <c r="AG99" s="335" t="str">
        <f>$C99&amp;"."&amp;TEXT($D99,"0000")</f>
        <v>051.2024.0074</v>
      </c>
      <c r="AH99" s="335">
        <f>IF($B99="",-1,IF(OR($Z$1="?*",$B99=$Z$1),$I99,-1))</f>
        <v>-1</v>
      </c>
      <c r="AI99" s="335" t="str">
        <f>IF($AH99&lt;0,"",$AH99-ROW()/1000000)</f>
        <v/>
      </c>
      <c r="AJ99" s="335" t="str">
        <f>IFERROR(RANK($AI99,$AI$4:$AI$217),"")</f>
        <v/>
      </c>
    </row>
    <row r="100" spans="2:36" x14ac:dyDescent="0.3">
      <c r="B100" s="335" t="str">
        <f>IF(OR('REGIÃO 13 - RESUMO'!E6="",'REGIÃO 13 - RESUMO'!E6=0),"",'REGIÃO 13 - RESUMO'!C6)</f>
        <v>R13</v>
      </c>
      <c r="C100" s="335" t="str">
        <f>'REGIÃO 13 - RESUMO'!D6</f>
        <v>051.2024</v>
      </c>
      <c r="D100" s="81">
        <f>'REGIÃO 13 - RESUMO'!E6</f>
        <v>75</v>
      </c>
      <c r="E100" s="80" t="str">
        <f>'REGIÃO 13 - RESUMO'!F6</f>
        <v>Janeiro</v>
      </c>
      <c r="F100" s="82">
        <f>'REGIÃO 13 - RESUMO'!H6</f>
        <v>247</v>
      </c>
      <c r="G100" s="335" t="str">
        <f>'REGIÃO 13 - RESUMO'!I6</f>
        <v>RODOVIA TO-040 - TRECHO DIANÓPOLIS - NOVO JARDIM</v>
      </c>
      <c r="H100" s="80" t="str">
        <f>'REGIÃO 13 - RESUMO'!J6</f>
        <v>Roçada / Tapa-Buraco CAE</v>
      </c>
      <c r="I100" s="335">
        <f>'REGIÃO 13 - RESUMO'!K6</f>
        <v>140435.54</v>
      </c>
      <c r="J100" s="335">
        <f>'REGIÃO 13 - HISTÓRICO'!F6</f>
        <v>139709.41</v>
      </c>
      <c r="K100" s="335">
        <f>'REGIÃO 13 - HISTÓRICO'!G6</f>
        <v>726.13000000000466</v>
      </c>
      <c r="L100" s="335" t="str">
        <f>IF(OR('REGIÃO 13 - RESUMO'!L6="",'REGIÃO 13 - RESUMO'!L6=0),"",'REGIÃO 13 - RESUMO'!L6)</f>
        <v>Concluída</v>
      </c>
      <c r="M100" s="335">
        <f>'REGIÃO 13 - HISTÓRICO'!J6</f>
        <v>63035.519999999997</v>
      </c>
      <c r="N100" s="335">
        <f>'REGIÃO 13 - HISTÓRICO'!L6</f>
        <v>39736.42</v>
      </c>
      <c r="O100" s="335">
        <f>'REGIÃO 13 - HISTÓRICO'!N6</f>
        <v>36937.47</v>
      </c>
      <c r="P100" s="335">
        <f>'REGIÃO 13 - HISTÓRICO'!P6</f>
        <v>0</v>
      </c>
      <c r="Q100" s="335">
        <f>'REGIÃO 13 - HISTÓRICO'!R6</f>
        <v>0</v>
      </c>
      <c r="R100" s="335">
        <f>'REGIÃO 13 - HISTÓRICO'!T6</f>
        <v>0</v>
      </c>
      <c r="S100" s="335">
        <f>'REGIÃO 13 - HISTÓRICO'!V6</f>
        <v>0</v>
      </c>
      <c r="T100" s="335">
        <f>'REGIÃO 13 - HISTÓRICO'!X6</f>
        <v>0</v>
      </c>
      <c r="U100" s="335">
        <f>'REGIÃO 13 - HISTÓRICO'!Z6</f>
        <v>0</v>
      </c>
      <c r="V100" s="335">
        <f>'REGIÃO 13 - HISTÓRICO'!AB6</f>
        <v>0</v>
      </c>
      <c r="W100" s="335">
        <f>'REGIÃO 13 - HISTÓRICO'!AD6</f>
        <v>0</v>
      </c>
      <c r="X100" s="335">
        <f>'REGIÃO 13 - HISTÓRICO'!AF6</f>
        <v>0</v>
      </c>
      <c r="Y100" s="335"/>
      <c r="Z100" s="335"/>
      <c r="AA100" s="335" t="str">
        <f>IF($Z100="","",COUNTIFS($H$4:$H$217,$Z100,$B$4:$B$217,$Z$1))</f>
        <v/>
      </c>
      <c r="AB100" s="335" t="str">
        <f>IF($Z100="","",SUMIFS($I$4:$I$217,$H$4:$H$217,$Z100,$B$4:$B$217,$Z$1))</f>
        <v/>
      </c>
      <c r="AC100" s="335" t="str">
        <f>IF($Z100="","",$AB100-ROW()/1000000)</f>
        <v/>
      </c>
      <c r="AD100" s="335" t="str">
        <f>IFERROR(RANK($AC100,$AC$4:$AC$217),"")</f>
        <v/>
      </c>
      <c r="AE100" s="335"/>
      <c r="AF100" s="335" t="str">
        <f>$B100</f>
        <v>R13</v>
      </c>
      <c r="AG100" s="335" t="str">
        <f>$C100&amp;"."&amp;TEXT($D100,"0000")</f>
        <v>051.2024.0075</v>
      </c>
      <c r="AH100" s="335">
        <f>IF($B100="",-1,IF(OR($Z$1="?*",$B100=$Z$1),$I100,-1))</f>
        <v>-1</v>
      </c>
      <c r="AI100" s="335" t="str">
        <f>IF($AH100&lt;0,"",$AH100-ROW()/1000000)</f>
        <v/>
      </c>
      <c r="AJ100" s="335" t="str">
        <f>IFERROR(RANK($AI100,$AI$4:$AI$217),"")</f>
        <v/>
      </c>
    </row>
    <row r="101" spans="2:36" x14ac:dyDescent="0.3">
      <c r="B101" s="335" t="str">
        <f>IF(OR('REGIÃO 13 - RESUMO'!E7="",'REGIÃO 13 - RESUMO'!E7=0),"",'REGIÃO 13 - RESUMO'!C7)</f>
        <v>R13</v>
      </c>
      <c r="C101" s="335" t="str">
        <f>'REGIÃO 13 - RESUMO'!D7</f>
        <v>051.2024</v>
      </c>
      <c r="D101" s="81">
        <f>'REGIÃO 13 - RESUMO'!E7</f>
        <v>76</v>
      </c>
      <c r="E101" s="80" t="str">
        <f>'REGIÃO 13 - RESUMO'!F7</f>
        <v>Janeiro</v>
      </c>
      <c r="F101" s="82">
        <f>'REGIÃO 13 - RESUMO'!H7</f>
        <v>248</v>
      </c>
      <c r="G101" s="335" t="str">
        <f>'REGIÃO 13 - RESUMO'!I7</f>
        <v>RODOVIA TO-040 - TRECHO NOVO JARDIM - DIVISA TO-BA</v>
      </c>
      <c r="H101" s="80" t="str">
        <f>'REGIÃO 13 - RESUMO'!J7</f>
        <v>Roçada / Tapa-Buraco CAE</v>
      </c>
      <c r="I101" s="335">
        <f>'REGIÃO 13 - RESUMO'!K7</f>
        <v>157252.35</v>
      </c>
      <c r="J101" s="335">
        <f>'REGIÃO 13 - HISTÓRICO'!F7</f>
        <v>155888.88999999998</v>
      </c>
      <c r="K101" s="335">
        <f>'REGIÃO 13 - HISTÓRICO'!G7</f>
        <v>1363.460000000021</v>
      </c>
      <c r="L101" s="335" t="str">
        <f>IF(OR('REGIÃO 13 - RESUMO'!L7="",'REGIÃO 13 - RESUMO'!L7=0),"",'REGIÃO 13 - RESUMO'!L7)</f>
        <v>Concluída</v>
      </c>
      <c r="M101" s="335">
        <f>'REGIÃO 13 - HISTÓRICO'!J7</f>
        <v>196.18</v>
      </c>
      <c r="N101" s="335">
        <f>'REGIÃO 13 - HISTÓRICO'!L7</f>
        <v>0</v>
      </c>
      <c r="O101" s="335">
        <f>'REGIÃO 13 - HISTÓRICO'!N7</f>
        <v>155692.71</v>
      </c>
      <c r="P101" s="335">
        <f>'REGIÃO 13 - HISTÓRICO'!P7</f>
        <v>0</v>
      </c>
      <c r="Q101" s="335">
        <f>'REGIÃO 13 - HISTÓRICO'!R7</f>
        <v>0</v>
      </c>
      <c r="R101" s="335">
        <f>'REGIÃO 13 - HISTÓRICO'!T7</f>
        <v>0</v>
      </c>
      <c r="S101" s="335">
        <f>'REGIÃO 13 - HISTÓRICO'!V7</f>
        <v>0</v>
      </c>
      <c r="T101" s="335">
        <f>'REGIÃO 13 - HISTÓRICO'!X7</f>
        <v>0</v>
      </c>
      <c r="U101" s="335">
        <f>'REGIÃO 13 - HISTÓRICO'!Z7</f>
        <v>0</v>
      </c>
      <c r="V101" s="335">
        <f>'REGIÃO 13 - HISTÓRICO'!AB7</f>
        <v>0</v>
      </c>
      <c r="W101" s="335">
        <f>'REGIÃO 13 - HISTÓRICO'!AD7</f>
        <v>0</v>
      </c>
      <c r="X101" s="335">
        <f>'REGIÃO 13 - HISTÓRICO'!AF7</f>
        <v>0</v>
      </c>
      <c r="Y101" s="335"/>
      <c r="Z101" s="335"/>
      <c r="AA101" s="335" t="str">
        <f>IF($Z101="","",COUNTIFS($H$4:$H$217,$Z101,$B$4:$B$217,$Z$1))</f>
        <v/>
      </c>
      <c r="AB101" s="335" t="str">
        <f>IF($Z101="","",SUMIFS($I$4:$I$217,$H$4:$H$217,$Z101,$B$4:$B$217,$Z$1))</f>
        <v/>
      </c>
      <c r="AC101" s="335" t="str">
        <f>IF($Z101="","",$AB101-ROW()/1000000)</f>
        <v/>
      </c>
      <c r="AD101" s="335" t="str">
        <f>IFERROR(RANK($AC101,$AC$4:$AC$217),"")</f>
        <v/>
      </c>
      <c r="AE101" s="335"/>
      <c r="AF101" s="335" t="str">
        <f>$B101</f>
        <v>R13</v>
      </c>
      <c r="AG101" s="335" t="str">
        <f>$C101&amp;"."&amp;TEXT($D101,"0000")</f>
        <v>051.2024.0076</v>
      </c>
      <c r="AH101" s="335">
        <f>IF($B101="",-1,IF(OR($Z$1="?*",$B101=$Z$1),$I101,-1))</f>
        <v>-1</v>
      </c>
      <c r="AI101" s="335" t="str">
        <f>IF($AH101&lt;0,"",$AH101-ROW()/1000000)</f>
        <v/>
      </c>
      <c r="AJ101" s="335" t="str">
        <f>IFERROR(RANK($AI101,$AI$4:$AI$217),"")</f>
        <v/>
      </c>
    </row>
    <row r="102" spans="2:36" x14ac:dyDescent="0.3">
      <c r="B102" s="335" t="str">
        <f>IF(OR('REGIÃO 13 - RESUMO'!E8="",'REGIÃO 13 - RESUMO'!E8=0),"",'REGIÃO 13 - RESUMO'!C8)</f>
        <v>R13</v>
      </c>
      <c r="C102" s="335" t="str">
        <f>'REGIÃO 13 - RESUMO'!D8</f>
        <v>051.2024</v>
      </c>
      <c r="D102" s="81">
        <f>'REGIÃO 13 - RESUMO'!E8</f>
        <v>77</v>
      </c>
      <c r="E102" s="80" t="str">
        <f>'REGIÃO 13 - RESUMO'!F8</f>
        <v>Janeiro</v>
      </c>
      <c r="F102" s="82">
        <f>'REGIÃO 13 - RESUMO'!H8</f>
        <v>249</v>
      </c>
      <c r="G102" s="335" t="str">
        <f>'REGIÃO 13 - RESUMO'!I8</f>
        <v>RODOVIA TO-040 - TRECHO PORTO ALEGRE DO TOCANTINS - DIANÓPOLIS</v>
      </c>
      <c r="H102" s="80" t="str">
        <f>'REGIÃO 13 - RESUMO'!J8</f>
        <v>Roçada / Tapa-Buraco CAE</v>
      </c>
      <c r="I102" s="335">
        <f>'REGIÃO 13 - RESUMO'!K8</f>
        <v>1234328.1299999999</v>
      </c>
      <c r="J102" s="335">
        <f>'REGIÃO 13 - HISTÓRICO'!F8</f>
        <v>1210136.49</v>
      </c>
      <c r="K102" s="335">
        <f>'REGIÃO 13 - HISTÓRICO'!G8</f>
        <v>24191.639999999898</v>
      </c>
      <c r="L102" s="335" t="str">
        <f>IF(OR('REGIÃO 13 - RESUMO'!L8="",'REGIÃO 13 - RESUMO'!L8=0),"",'REGIÃO 13 - RESUMO'!L8)</f>
        <v>Concluída</v>
      </c>
      <c r="M102" s="335">
        <f>'REGIÃO 13 - HISTÓRICO'!J8</f>
        <v>886195.18</v>
      </c>
      <c r="N102" s="335">
        <f>'REGIÃO 13 - HISTÓRICO'!L8</f>
        <v>323941.31</v>
      </c>
      <c r="O102" s="335">
        <f>'REGIÃO 13 - HISTÓRICO'!N8</f>
        <v>0</v>
      </c>
      <c r="P102" s="335">
        <f>'REGIÃO 13 - HISTÓRICO'!P8</f>
        <v>0</v>
      </c>
      <c r="Q102" s="335">
        <f>'REGIÃO 13 - HISTÓRICO'!R8</f>
        <v>0</v>
      </c>
      <c r="R102" s="335">
        <f>'REGIÃO 13 - HISTÓRICO'!T8</f>
        <v>0</v>
      </c>
      <c r="S102" s="335">
        <f>'REGIÃO 13 - HISTÓRICO'!V8</f>
        <v>0</v>
      </c>
      <c r="T102" s="335">
        <f>'REGIÃO 13 - HISTÓRICO'!X8</f>
        <v>0</v>
      </c>
      <c r="U102" s="335">
        <f>'REGIÃO 13 - HISTÓRICO'!Z8</f>
        <v>0</v>
      </c>
      <c r="V102" s="335">
        <f>'REGIÃO 13 - HISTÓRICO'!AB8</f>
        <v>0</v>
      </c>
      <c r="W102" s="335">
        <f>'REGIÃO 13 - HISTÓRICO'!AD8</f>
        <v>0</v>
      </c>
      <c r="X102" s="335">
        <f>'REGIÃO 13 - HISTÓRICO'!AF8</f>
        <v>0</v>
      </c>
      <c r="Y102" s="335"/>
      <c r="Z102" s="335"/>
      <c r="AA102" s="335" t="str">
        <f>IF($Z102="","",COUNTIFS($H$4:$H$217,$Z102,$B$4:$B$217,$Z$1))</f>
        <v/>
      </c>
      <c r="AB102" s="335" t="str">
        <f>IF($Z102="","",SUMIFS($I$4:$I$217,$H$4:$H$217,$Z102,$B$4:$B$217,$Z$1))</f>
        <v/>
      </c>
      <c r="AC102" s="335" t="str">
        <f>IF($Z102="","",$AB102-ROW()/1000000)</f>
        <v/>
      </c>
      <c r="AD102" s="335" t="str">
        <f>IFERROR(RANK($AC102,$AC$4:$AC$217),"")</f>
        <v/>
      </c>
      <c r="AE102" s="335"/>
      <c r="AF102" s="335" t="str">
        <f>$B102</f>
        <v>R13</v>
      </c>
      <c r="AG102" s="335" t="str">
        <f>$C102&amp;"."&amp;TEXT($D102,"0000")</f>
        <v>051.2024.0077</v>
      </c>
      <c r="AH102" s="335">
        <f>IF($B102="",-1,IF(OR($Z$1="?*",$B102=$Z$1),$I102,-1))</f>
        <v>-1</v>
      </c>
      <c r="AI102" s="335" t="str">
        <f>IF($AH102&lt;0,"",$AH102-ROW()/1000000)</f>
        <v/>
      </c>
      <c r="AJ102" s="335" t="str">
        <f>IFERROR(RANK($AI102,$AI$4:$AI$217),"")</f>
        <v/>
      </c>
    </row>
    <row r="103" spans="2:36" x14ac:dyDescent="0.3">
      <c r="B103" s="335" t="str">
        <f>IF(OR('REGIÃO 13 - RESUMO'!E9="",'REGIÃO 13 - RESUMO'!E9=0),"",'REGIÃO 13 - RESUMO'!C9)</f>
        <v>R13</v>
      </c>
      <c r="C103" s="335" t="str">
        <f>'REGIÃO 13 - RESUMO'!D9</f>
        <v>051.2024</v>
      </c>
      <c r="D103" s="81">
        <f>'REGIÃO 13 - RESUMO'!E9</f>
        <v>78</v>
      </c>
      <c r="E103" s="80" t="str">
        <f>'REGIÃO 13 - RESUMO'!F9</f>
        <v>Janeiro</v>
      </c>
      <c r="F103" s="82">
        <f>'REGIÃO 13 - RESUMO'!H9</f>
        <v>255</v>
      </c>
      <c r="G103" s="335" t="str">
        <f>'REGIÃO 13 - RESUMO'!I9</f>
        <v>RODOVIA TO-110 - TRECHO ENTR. TO-040 (DIANÓPOLIS) - DIVISA TO-BA (GARGANTA)</v>
      </c>
      <c r="H103" s="80" t="str">
        <f>'REGIÃO 13 - RESUMO'!J9</f>
        <v>Roçada / Tapa-Buraco CAE</v>
      </c>
      <c r="I103" s="335">
        <f>'REGIÃO 13 - RESUMO'!K9</f>
        <v>98271.39</v>
      </c>
      <c r="J103" s="335">
        <f>'REGIÃO 13 - HISTÓRICO'!F9</f>
        <v>96481.25</v>
      </c>
      <c r="K103" s="335">
        <f>'REGIÃO 13 - HISTÓRICO'!G9</f>
        <v>1790.1399999999994</v>
      </c>
      <c r="L103" s="335" t="str">
        <f>IF(OR('REGIÃO 13 - RESUMO'!L9="",'REGIÃO 13 - RESUMO'!L9=0),"",'REGIÃO 13 - RESUMO'!L9)</f>
        <v>Concluída</v>
      </c>
      <c r="M103" s="335">
        <f>'REGIÃO 13 - HISTÓRICO'!J9</f>
        <v>184.27</v>
      </c>
      <c r="N103" s="335">
        <f>'REGIÃO 13 - HISTÓRICO'!L9</f>
        <v>30179.98</v>
      </c>
      <c r="O103" s="335">
        <f>'REGIÃO 13 - HISTÓRICO'!N9</f>
        <v>66117</v>
      </c>
      <c r="P103" s="335">
        <f>'REGIÃO 13 - HISTÓRICO'!P9</f>
        <v>0</v>
      </c>
      <c r="Q103" s="335">
        <f>'REGIÃO 13 - HISTÓRICO'!R9</f>
        <v>0</v>
      </c>
      <c r="R103" s="335">
        <f>'REGIÃO 13 - HISTÓRICO'!T9</f>
        <v>0</v>
      </c>
      <c r="S103" s="335">
        <f>'REGIÃO 13 - HISTÓRICO'!V9</f>
        <v>0</v>
      </c>
      <c r="T103" s="335">
        <f>'REGIÃO 13 - HISTÓRICO'!X9</f>
        <v>0</v>
      </c>
      <c r="U103" s="335">
        <f>'REGIÃO 13 - HISTÓRICO'!Z9</f>
        <v>0</v>
      </c>
      <c r="V103" s="335">
        <f>'REGIÃO 13 - HISTÓRICO'!AB9</f>
        <v>0</v>
      </c>
      <c r="W103" s="335">
        <f>'REGIÃO 13 - HISTÓRICO'!AD9</f>
        <v>0</v>
      </c>
      <c r="X103" s="335">
        <f>'REGIÃO 13 - HISTÓRICO'!AF9</f>
        <v>0</v>
      </c>
      <c r="Y103" s="335"/>
      <c r="Z103" s="335"/>
      <c r="AA103" s="335" t="str">
        <f>IF($Z103="","",COUNTIFS($H$4:$H$217,$Z103,$B$4:$B$217,$Z$1))</f>
        <v/>
      </c>
      <c r="AB103" s="335" t="str">
        <f>IF($Z103="","",SUMIFS($I$4:$I$217,$H$4:$H$217,$Z103,$B$4:$B$217,$Z$1))</f>
        <v/>
      </c>
      <c r="AC103" s="335" t="str">
        <f>IF($Z103="","",$AB103-ROW()/1000000)</f>
        <v/>
      </c>
      <c r="AD103" s="335" t="str">
        <f>IFERROR(RANK($AC103,$AC$4:$AC$217),"")</f>
        <v/>
      </c>
      <c r="AE103" s="335"/>
      <c r="AF103" s="335" t="str">
        <f>$B103</f>
        <v>R13</v>
      </c>
      <c r="AG103" s="335" t="str">
        <f>$C103&amp;"."&amp;TEXT($D103,"0000")</f>
        <v>051.2024.0078</v>
      </c>
      <c r="AH103" s="335">
        <f>IF($B103="",-1,IF(OR($Z$1="?*",$B103=$Z$1),$I103,-1))</f>
        <v>-1</v>
      </c>
      <c r="AI103" s="335" t="str">
        <f>IF($AH103&lt;0,"",$AH103-ROW()/1000000)</f>
        <v/>
      </c>
      <c r="AJ103" s="335" t="str">
        <f>IFERROR(RANK($AI103,$AI$4:$AI$217),"")</f>
        <v/>
      </c>
    </row>
    <row r="104" spans="2:36" x14ac:dyDescent="0.3">
      <c r="B104" s="335" t="str">
        <f>IF(OR('REGIÃO 13 - RESUMO'!E10="",'REGIÃO 13 - RESUMO'!E10=0),"",'REGIÃO 13 - RESUMO'!C10)</f>
        <v>R13</v>
      </c>
      <c r="C104" s="335" t="str">
        <f>'REGIÃO 13 - RESUMO'!D10</f>
        <v>051.2024</v>
      </c>
      <c r="D104" s="81">
        <f>'REGIÃO 13 - RESUMO'!E10</f>
        <v>79</v>
      </c>
      <c r="E104" s="80" t="str">
        <f>'REGIÃO 13 - RESUMO'!F10</f>
        <v>Fevereiro</v>
      </c>
      <c r="F104" s="82">
        <f>'REGIÃO 13 - RESUMO'!H10</f>
        <v>252</v>
      </c>
      <c r="G104" s="335" t="str">
        <f>'REGIÃO 13 - RESUMO'!I10</f>
        <v>RODOVIA TO-050 - TRECHO ENTR. BR-010 (POVOADO PRÍNCIPE) - CONCEIÇÃO DO TOCANTINS</v>
      </c>
      <c r="H104" s="80" t="str">
        <f>'REGIÃO 13 - RESUMO'!J10</f>
        <v>Roçada / Tapa-Buraco CAE</v>
      </c>
      <c r="I104" s="335">
        <f>'REGIÃO 13 - RESUMO'!K10</f>
        <v>569533.54</v>
      </c>
      <c r="J104" s="335">
        <f>'REGIÃO 13 - HISTÓRICO'!F10</f>
        <v>549759.97</v>
      </c>
      <c r="K104" s="335">
        <f>'REGIÃO 13 - HISTÓRICO'!G10</f>
        <v>19773.570000000065</v>
      </c>
      <c r="L104" s="335" t="str">
        <f>IF(OR('REGIÃO 13 - RESUMO'!L10="",'REGIÃO 13 - RESUMO'!L10=0),"",'REGIÃO 13 - RESUMO'!L10)</f>
        <v>Concluída</v>
      </c>
      <c r="M104" s="335">
        <f>'REGIÃO 13 - HISTÓRICO'!J10</f>
        <v>0</v>
      </c>
      <c r="N104" s="335">
        <f>'REGIÃO 13 - HISTÓRICO'!L10</f>
        <v>494827.35</v>
      </c>
      <c r="O104" s="335">
        <f>'REGIÃO 13 - HISTÓRICO'!N10</f>
        <v>54932.62</v>
      </c>
      <c r="P104" s="335">
        <f>'REGIÃO 13 - HISTÓRICO'!P10</f>
        <v>0</v>
      </c>
      <c r="Q104" s="335">
        <f>'REGIÃO 13 - HISTÓRICO'!R10</f>
        <v>0</v>
      </c>
      <c r="R104" s="335">
        <f>'REGIÃO 13 - HISTÓRICO'!T10</f>
        <v>0</v>
      </c>
      <c r="S104" s="335">
        <f>'REGIÃO 13 - HISTÓRICO'!V10</f>
        <v>0</v>
      </c>
      <c r="T104" s="335">
        <f>'REGIÃO 13 - HISTÓRICO'!X10</f>
        <v>0</v>
      </c>
      <c r="U104" s="335">
        <f>'REGIÃO 13 - HISTÓRICO'!Z10</f>
        <v>0</v>
      </c>
      <c r="V104" s="335">
        <f>'REGIÃO 13 - HISTÓRICO'!AB10</f>
        <v>0</v>
      </c>
      <c r="W104" s="335">
        <f>'REGIÃO 13 - HISTÓRICO'!AD10</f>
        <v>0</v>
      </c>
      <c r="X104" s="335">
        <f>'REGIÃO 13 - HISTÓRICO'!AF10</f>
        <v>0</v>
      </c>
      <c r="Y104" s="335"/>
      <c r="Z104" s="335"/>
      <c r="AA104" s="335" t="str">
        <f>IF($Z104="","",COUNTIFS($H$4:$H$217,$Z104,$B$4:$B$217,$Z$1))</f>
        <v/>
      </c>
      <c r="AB104" s="335" t="str">
        <f>IF($Z104="","",SUMIFS($I$4:$I$217,$H$4:$H$217,$Z104,$B$4:$B$217,$Z$1))</f>
        <v/>
      </c>
      <c r="AC104" s="335" t="str">
        <f>IF($Z104="","",$AB104-ROW()/1000000)</f>
        <v/>
      </c>
      <c r="AD104" s="335" t="str">
        <f>IFERROR(RANK($AC104,$AC$4:$AC$217),"")</f>
        <v/>
      </c>
      <c r="AE104" s="335"/>
      <c r="AF104" s="335" t="str">
        <f>$B104</f>
        <v>R13</v>
      </c>
      <c r="AG104" s="335" t="str">
        <f>$C104&amp;"."&amp;TEXT($D104,"0000")</f>
        <v>051.2024.0079</v>
      </c>
      <c r="AH104" s="335">
        <f>IF($B104="",-1,IF(OR($Z$1="?*",$B104=$Z$1),$I104,-1))</f>
        <v>-1</v>
      </c>
      <c r="AI104" s="335" t="str">
        <f>IF($AH104&lt;0,"",$AH104-ROW()/1000000)</f>
        <v/>
      </c>
      <c r="AJ104" s="335" t="str">
        <f>IFERROR(RANK($AI104,$AI$4:$AI$217),"")</f>
        <v/>
      </c>
    </row>
    <row r="105" spans="2:36" x14ac:dyDescent="0.3">
      <c r="B105" s="335" t="str">
        <f>IF(OR('REGIÃO 13 - RESUMO'!E11="",'REGIÃO 13 - RESUMO'!E11=0),"",'REGIÃO 13 - RESUMO'!C11)</f>
        <v>R13</v>
      </c>
      <c r="C105" s="335" t="str">
        <f>'REGIÃO 13 - RESUMO'!D11</f>
        <v>051.2024</v>
      </c>
      <c r="D105" s="81">
        <f>'REGIÃO 13 - RESUMO'!E11</f>
        <v>80</v>
      </c>
      <c r="E105" s="80" t="str">
        <f>'REGIÃO 13 - RESUMO'!F11</f>
        <v>Fevereiro</v>
      </c>
      <c r="F105" s="82">
        <f>'REGIÃO 13 - RESUMO'!H11</f>
        <v>245</v>
      </c>
      <c r="G105" s="335" t="str">
        <f>'REGIÃO 13 - RESUMO'!I11</f>
        <v>RODOVIA TO-040 - TRECHO ENTR. TO-369 - ENTR. TO-280 (ALMAS)</v>
      </c>
      <c r="H105" s="80" t="str">
        <f>'REGIÃO 13 - RESUMO'!J11</f>
        <v>Terraplenagem / Reconformação da plataforma / Recomposição do revestimento primário</v>
      </c>
      <c r="I105" s="335">
        <f>'REGIÃO 13 - RESUMO'!K11</f>
        <v>361880.42</v>
      </c>
      <c r="J105" s="335">
        <f>'REGIÃO 13 - HISTÓRICO'!F11</f>
        <v>184280.95999999999</v>
      </c>
      <c r="K105" s="335">
        <f>'REGIÃO 13 - HISTÓRICO'!G11</f>
        <v>177599.46</v>
      </c>
      <c r="L105" s="335" t="str">
        <f>IF(OR('REGIÃO 13 - RESUMO'!L11="",'REGIÃO 13 - RESUMO'!L11=0),"",'REGIÃO 13 - RESUMO'!L11)</f>
        <v>Concluída</v>
      </c>
      <c r="M105" s="335">
        <f>'REGIÃO 13 - HISTÓRICO'!J11</f>
        <v>0</v>
      </c>
      <c r="N105" s="335">
        <f>'REGIÃO 13 - HISTÓRICO'!L11</f>
        <v>0</v>
      </c>
      <c r="O105" s="335">
        <f>'REGIÃO 13 - HISTÓRICO'!N11</f>
        <v>0</v>
      </c>
      <c r="P105" s="335">
        <f>'REGIÃO 13 - HISTÓRICO'!P11</f>
        <v>184280.95999999999</v>
      </c>
      <c r="Q105" s="335">
        <f>'REGIÃO 13 - HISTÓRICO'!R11</f>
        <v>0</v>
      </c>
      <c r="R105" s="335">
        <f>'REGIÃO 13 - HISTÓRICO'!T11</f>
        <v>0</v>
      </c>
      <c r="S105" s="335">
        <f>'REGIÃO 13 - HISTÓRICO'!V11</f>
        <v>0</v>
      </c>
      <c r="T105" s="335">
        <f>'REGIÃO 13 - HISTÓRICO'!X11</f>
        <v>0</v>
      </c>
      <c r="U105" s="335">
        <f>'REGIÃO 13 - HISTÓRICO'!Z11</f>
        <v>0</v>
      </c>
      <c r="V105" s="335">
        <f>'REGIÃO 13 - HISTÓRICO'!AB11</f>
        <v>0</v>
      </c>
      <c r="W105" s="335">
        <f>'REGIÃO 13 - HISTÓRICO'!AD11</f>
        <v>0</v>
      </c>
      <c r="X105" s="335">
        <f>'REGIÃO 13 - HISTÓRICO'!AF11</f>
        <v>0</v>
      </c>
      <c r="Y105" s="335"/>
      <c r="Z105" s="335"/>
      <c r="AA105" s="335" t="str">
        <f>IF($Z105="","",COUNTIFS($H$4:$H$217,$Z105,$B$4:$B$217,$Z$1))</f>
        <v/>
      </c>
      <c r="AB105" s="335" t="str">
        <f>IF($Z105="","",SUMIFS($I$4:$I$217,$H$4:$H$217,$Z105,$B$4:$B$217,$Z$1))</f>
        <v/>
      </c>
      <c r="AC105" s="335" t="str">
        <f>IF($Z105="","",$AB105-ROW()/1000000)</f>
        <v/>
      </c>
      <c r="AD105" s="335" t="str">
        <f>IFERROR(RANK($AC105,$AC$4:$AC$217),"")</f>
        <v/>
      </c>
      <c r="AE105" s="335"/>
      <c r="AF105" s="335" t="str">
        <f>$B105</f>
        <v>R13</v>
      </c>
      <c r="AG105" s="335" t="str">
        <f>$C105&amp;"."&amp;TEXT($D105,"0000")</f>
        <v>051.2024.0080</v>
      </c>
      <c r="AH105" s="335">
        <f>IF($B105="",-1,IF(OR($Z$1="?*",$B105=$Z$1),$I105,-1))</f>
        <v>-1</v>
      </c>
      <c r="AI105" s="335" t="str">
        <f>IF($AH105&lt;0,"",$AH105-ROW()/1000000)</f>
        <v/>
      </c>
      <c r="AJ105" s="335" t="str">
        <f>IFERROR(RANK($AI105,$AI$4:$AI$217),"")</f>
        <v/>
      </c>
    </row>
    <row r="106" spans="2:36" x14ac:dyDescent="0.3">
      <c r="B106" s="335" t="str">
        <f>IF(OR('REGIÃO 13 - RESUMO'!E12="",'REGIÃO 13 - RESUMO'!E12=0),"",'REGIÃO 13 - RESUMO'!C12)</f>
        <v>R13</v>
      </c>
      <c r="C106" s="335" t="str">
        <f>'REGIÃO 13 - RESUMO'!D12</f>
        <v>051.2024</v>
      </c>
      <c r="D106" s="81">
        <f>'REGIÃO 13 - RESUMO'!E12</f>
        <v>81</v>
      </c>
      <c r="E106" s="80" t="str">
        <f>'REGIÃO 13 - RESUMO'!F12</f>
        <v>Fevereiro</v>
      </c>
      <c r="F106" s="82">
        <f>'REGIÃO 13 - RESUMO'!H12</f>
        <v>270</v>
      </c>
      <c r="G106" s="335" t="str">
        <f>'REGIÃO 13 - RESUMO'!I12</f>
        <v>RODOVIA TO-485 - TRECHO TAIPAS DO TOCANTINS - ENTR. TO-110</v>
      </c>
      <c r="H106" s="80" t="str">
        <f>'REGIÃO 13 - RESUMO'!J12</f>
        <v>Reconformação da plataforma / Recomposição do revestimento primário</v>
      </c>
      <c r="I106" s="335">
        <f>'REGIÃO 13 - RESUMO'!K12</f>
        <v>616483.01</v>
      </c>
      <c r="J106" s="335">
        <f>'REGIÃO 13 - HISTÓRICO'!F12</f>
        <v>616238.34000000008</v>
      </c>
      <c r="K106" s="335">
        <f>'REGIÃO 13 - HISTÓRICO'!G12</f>
        <v>244.66999999992549</v>
      </c>
      <c r="L106" s="335" t="str">
        <f>IF(OR('REGIÃO 13 - RESUMO'!L12="",'REGIÃO 13 - RESUMO'!L12=0),"",'REGIÃO 13 - RESUMO'!L12)</f>
        <v>Concluída</v>
      </c>
      <c r="M106" s="335">
        <f>'REGIÃO 13 - HISTÓRICO'!J12</f>
        <v>0</v>
      </c>
      <c r="N106" s="335">
        <f>'REGIÃO 13 - HISTÓRICO'!L12</f>
        <v>305816.45</v>
      </c>
      <c r="O106" s="335">
        <f>'REGIÃO 13 - HISTÓRICO'!N12</f>
        <v>310421.89</v>
      </c>
      <c r="P106" s="335">
        <f>'REGIÃO 13 - HISTÓRICO'!P12</f>
        <v>0</v>
      </c>
      <c r="Q106" s="335">
        <f>'REGIÃO 13 - HISTÓRICO'!R12</f>
        <v>0</v>
      </c>
      <c r="R106" s="335">
        <f>'REGIÃO 13 - HISTÓRICO'!T12</f>
        <v>0</v>
      </c>
      <c r="S106" s="335">
        <f>'REGIÃO 13 - HISTÓRICO'!V12</f>
        <v>0</v>
      </c>
      <c r="T106" s="335">
        <f>'REGIÃO 13 - HISTÓRICO'!X12</f>
        <v>0</v>
      </c>
      <c r="U106" s="335">
        <f>'REGIÃO 13 - HISTÓRICO'!Z12</f>
        <v>0</v>
      </c>
      <c r="V106" s="335">
        <f>'REGIÃO 13 - HISTÓRICO'!AB12</f>
        <v>0</v>
      </c>
      <c r="W106" s="335">
        <f>'REGIÃO 13 - HISTÓRICO'!AD12</f>
        <v>0</v>
      </c>
      <c r="X106" s="335">
        <f>'REGIÃO 13 - HISTÓRICO'!AF12</f>
        <v>0</v>
      </c>
      <c r="Y106" s="335"/>
      <c r="Z106" s="335"/>
      <c r="AA106" s="335" t="str">
        <f>IF($Z106="","",COUNTIFS($H$4:$H$217,$Z106,$B$4:$B$217,$Z$1))</f>
        <v/>
      </c>
      <c r="AB106" s="335" t="str">
        <f>IF($Z106="","",SUMIFS($I$4:$I$217,$H$4:$H$217,$Z106,$B$4:$B$217,$Z$1))</f>
        <v/>
      </c>
      <c r="AC106" s="335" t="str">
        <f>IF($Z106="","",$AB106-ROW()/1000000)</f>
        <v/>
      </c>
      <c r="AD106" s="335" t="str">
        <f>IFERROR(RANK($AC106,$AC$4:$AC$217),"")</f>
        <v/>
      </c>
      <c r="AE106" s="335"/>
      <c r="AF106" s="335" t="str">
        <f>$B106</f>
        <v>R13</v>
      </c>
      <c r="AG106" s="335" t="str">
        <f>$C106&amp;"."&amp;TEXT($D106,"0000")</f>
        <v>051.2024.0081</v>
      </c>
      <c r="AH106" s="335">
        <f>IF($B106="",-1,IF(OR($Z$1="?*",$B106=$Z$1),$I106,-1))</f>
        <v>-1</v>
      </c>
      <c r="AI106" s="335" t="str">
        <f>IF($AH106&lt;0,"",$AH106-ROW()/1000000)</f>
        <v/>
      </c>
      <c r="AJ106" s="335" t="str">
        <f>IFERROR(RANK($AI106,$AI$4:$AI$217),"")</f>
        <v/>
      </c>
    </row>
    <row r="107" spans="2:36" x14ac:dyDescent="0.3">
      <c r="B107" s="335" t="str">
        <f>IF(OR('REGIÃO 13 - RESUMO'!E13="",'REGIÃO 13 - RESUMO'!E13=0),"",'REGIÃO 13 - RESUMO'!C13)</f>
        <v>R13</v>
      </c>
      <c r="C107" s="335" t="str">
        <f>'REGIÃO 13 - RESUMO'!D13</f>
        <v>051.2024</v>
      </c>
      <c r="D107" s="81">
        <f>'REGIÃO 13 - RESUMO'!E13</f>
        <v>82</v>
      </c>
      <c r="E107" s="80" t="str">
        <f>'REGIÃO 13 - RESUMO'!F13</f>
        <v>Fevereiro</v>
      </c>
      <c r="F107" s="82">
        <f>'REGIÃO 13 - RESUMO'!H13</f>
        <v>258</v>
      </c>
      <c r="G107" s="335" t="str">
        <f>'REGIÃO 13 - RESUMO'!I13</f>
        <v>RODOVIA TO-110 - TRECHO PONTE ALTA DO BOM JESUS - ENTR. BR-242(TAGUATINGA)</v>
      </c>
      <c r="H107" s="80" t="str">
        <f>'REGIÃO 13 - RESUMO'!J13</f>
        <v>Roçada / Limpeza EDS</v>
      </c>
      <c r="I107" s="335">
        <f>'REGIÃO 13 - RESUMO'!K13</f>
        <v>46532.4</v>
      </c>
      <c r="J107" s="335">
        <f>'REGIÃO 13 - HISTÓRICO'!F13</f>
        <v>37686.89</v>
      </c>
      <c r="K107" s="335">
        <f>'REGIÃO 13 - HISTÓRICO'!G13</f>
        <v>8845.510000000002</v>
      </c>
      <c r="L107" s="335" t="str">
        <f>IF(OR('REGIÃO 13 - RESUMO'!L13="",'REGIÃO 13 - RESUMO'!L13=0),"",'REGIÃO 13 - RESUMO'!L13)</f>
        <v>Concluída</v>
      </c>
      <c r="M107" s="335">
        <f>'REGIÃO 13 - HISTÓRICO'!J13</f>
        <v>0</v>
      </c>
      <c r="N107" s="335">
        <f>'REGIÃO 13 - HISTÓRICO'!L13</f>
        <v>0</v>
      </c>
      <c r="O107" s="335">
        <f>'REGIÃO 13 - HISTÓRICO'!N13</f>
        <v>37686.89</v>
      </c>
      <c r="P107" s="335">
        <f>'REGIÃO 13 - HISTÓRICO'!P13</f>
        <v>0</v>
      </c>
      <c r="Q107" s="335">
        <f>'REGIÃO 13 - HISTÓRICO'!R13</f>
        <v>0</v>
      </c>
      <c r="R107" s="335">
        <f>'REGIÃO 13 - HISTÓRICO'!T13</f>
        <v>0</v>
      </c>
      <c r="S107" s="335">
        <f>'REGIÃO 13 - HISTÓRICO'!V13</f>
        <v>0</v>
      </c>
      <c r="T107" s="335">
        <f>'REGIÃO 13 - HISTÓRICO'!X13</f>
        <v>0</v>
      </c>
      <c r="U107" s="335">
        <f>'REGIÃO 13 - HISTÓRICO'!Z13</f>
        <v>0</v>
      </c>
      <c r="V107" s="335">
        <f>'REGIÃO 13 - HISTÓRICO'!AB13</f>
        <v>0</v>
      </c>
      <c r="W107" s="335">
        <f>'REGIÃO 13 - HISTÓRICO'!AD13</f>
        <v>0</v>
      </c>
      <c r="X107" s="335">
        <f>'REGIÃO 13 - HISTÓRICO'!AF13</f>
        <v>0</v>
      </c>
      <c r="Y107" s="335"/>
      <c r="Z107" s="335"/>
      <c r="AA107" s="335" t="str">
        <f>IF($Z107="","",COUNTIFS($H$4:$H$217,$Z107,$B$4:$B$217,$Z$1))</f>
        <v/>
      </c>
      <c r="AB107" s="335" t="str">
        <f>IF($Z107="","",SUMIFS($I$4:$I$217,$H$4:$H$217,$Z107,$B$4:$B$217,$Z$1))</f>
        <v/>
      </c>
      <c r="AC107" s="335" t="str">
        <f>IF($Z107="","",$AB107-ROW()/1000000)</f>
        <v/>
      </c>
      <c r="AD107" s="335" t="str">
        <f>IFERROR(RANK($AC107,$AC$4:$AC$217),"")</f>
        <v/>
      </c>
      <c r="AE107" s="335"/>
      <c r="AF107" s="335" t="str">
        <f>$B107</f>
        <v>R13</v>
      </c>
      <c r="AG107" s="335" t="str">
        <f>$C107&amp;"."&amp;TEXT($D107,"0000")</f>
        <v>051.2024.0082</v>
      </c>
      <c r="AH107" s="335">
        <f>IF($B107="",-1,IF(OR($Z$1="?*",$B107=$Z$1),$I107,-1))</f>
        <v>-1</v>
      </c>
      <c r="AI107" s="335" t="str">
        <f>IF($AH107&lt;0,"",$AH107-ROW()/1000000)</f>
        <v/>
      </c>
      <c r="AJ107" s="335" t="str">
        <f>IFERROR(RANK($AI107,$AI$4:$AI$217),"")</f>
        <v/>
      </c>
    </row>
    <row r="108" spans="2:36" x14ac:dyDescent="0.3">
      <c r="B108" s="335" t="str">
        <f>IF(OR('REGIÃO 13 - RESUMO'!E14="",'REGIÃO 13 - RESUMO'!E14=0),"",'REGIÃO 13 - RESUMO'!C14)</f>
        <v>R13</v>
      </c>
      <c r="C108" s="335" t="str">
        <f>'REGIÃO 13 - RESUMO'!D14</f>
        <v>051.2024</v>
      </c>
      <c r="D108" s="81">
        <f>'REGIÃO 13 - RESUMO'!E14</f>
        <v>83</v>
      </c>
      <c r="E108" s="80" t="str">
        <f>'REGIÃO 13 - RESUMO'!F14</f>
        <v>Março</v>
      </c>
      <c r="F108" s="82">
        <f>'REGIÃO 13 - RESUMO'!H14</f>
        <v>251</v>
      </c>
      <c r="G108" s="335" t="str">
        <f>'REGIÃO 13 - RESUMO'!I14</f>
        <v>RODOVIA TO-050 - TRECHO CONCEIÇÃO DO TOCANTINS - ARRAIAS</v>
      </c>
      <c r="H108" s="80" t="str">
        <f>'REGIÃO 13 - RESUMO'!J14</f>
        <v>Tapa-Buraco CAE / Remendo Profundo</v>
      </c>
      <c r="I108" s="335">
        <f>'REGIÃO 13 - RESUMO'!K14</f>
        <v>396115.31</v>
      </c>
      <c r="J108" s="335">
        <f>'REGIÃO 13 - HISTÓRICO'!F14</f>
        <v>270038.45</v>
      </c>
      <c r="K108" s="335">
        <f>'REGIÃO 13 - HISTÓRICO'!G14</f>
        <v>126076.85999999999</v>
      </c>
      <c r="L108" s="335" t="str">
        <f>IF(OR('REGIÃO 13 - RESUMO'!L14="",'REGIÃO 13 - RESUMO'!L14=0),"",'REGIÃO 13 - RESUMO'!L14)</f>
        <v>Concluída</v>
      </c>
      <c r="M108" s="335">
        <f>'REGIÃO 13 - HISTÓRICO'!J14</f>
        <v>0</v>
      </c>
      <c r="N108" s="335">
        <f>'REGIÃO 13 - HISTÓRICO'!L14</f>
        <v>0</v>
      </c>
      <c r="O108" s="335">
        <f>'REGIÃO 13 - HISTÓRICO'!N14</f>
        <v>270038.45</v>
      </c>
      <c r="P108" s="335">
        <f>'REGIÃO 13 - HISTÓRICO'!P14</f>
        <v>0</v>
      </c>
      <c r="Q108" s="335">
        <f>'REGIÃO 13 - HISTÓRICO'!R14</f>
        <v>0</v>
      </c>
      <c r="R108" s="335">
        <f>'REGIÃO 13 - HISTÓRICO'!T14</f>
        <v>0</v>
      </c>
      <c r="S108" s="335">
        <f>'REGIÃO 13 - HISTÓRICO'!V14</f>
        <v>0</v>
      </c>
      <c r="T108" s="335">
        <f>'REGIÃO 13 - HISTÓRICO'!X14</f>
        <v>0</v>
      </c>
      <c r="U108" s="335">
        <f>'REGIÃO 13 - HISTÓRICO'!Z14</f>
        <v>0</v>
      </c>
      <c r="V108" s="335">
        <f>'REGIÃO 13 - HISTÓRICO'!AB14</f>
        <v>0</v>
      </c>
      <c r="W108" s="335">
        <f>'REGIÃO 13 - HISTÓRICO'!AD14</f>
        <v>0</v>
      </c>
      <c r="X108" s="335">
        <f>'REGIÃO 13 - HISTÓRICO'!AF14</f>
        <v>0</v>
      </c>
      <c r="Y108" s="335"/>
      <c r="Z108" s="335"/>
      <c r="AA108" s="335" t="str">
        <f>IF($Z108="","",COUNTIFS($H$4:$H$217,$Z108,$B$4:$B$217,$Z$1))</f>
        <v/>
      </c>
      <c r="AB108" s="335" t="str">
        <f>IF($Z108="","",SUMIFS($I$4:$I$217,$H$4:$H$217,$Z108,$B$4:$B$217,$Z$1))</f>
        <v/>
      </c>
      <c r="AC108" s="335" t="str">
        <f>IF($Z108="","",$AB108-ROW()/1000000)</f>
        <v/>
      </c>
      <c r="AD108" s="335" t="str">
        <f>IFERROR(RANK($AC108,$AC$4:$AC$217),"")</f>
        <v/>
      </c>
      <c r="AE108" s="335"/>
      <c r="AF108" s="335" t="str">
        <f>$B108</f>
        <v>R13</v>
      </c>
      <c r="AG108" s="335" t="str">
        <f>$C108&amp;"."&amp;TEXT($D108,"0000")</f>
        <v>051.2024.0083</v>
      </c>
      <c r="AH108" s="335">
        <f>IF($B108="",-1,IF(OR($Z$1="?*",$B108=$Z$1),$I108,-1))</f>
        <v>-1</v>
      </c>
      <c r="AI108" s="335" t="str">
        <f>IF($AH108&lt;0,"",$AH108-ROW()/1000000)</f>
        <v/>
      </c>
      <c r="AJ108" s="335" t="str">
        <f>IFERROR(RANK($AI108,$AI$4:$AI$217),"")</f>
        <v/>
      </c>
    </row>
    <row r="109" spans="2:36" x14ac:dyDescent="0.3">
      <c r="B109" s="335" t="str">
        <f>IF(OR('REGIÃO 13 - RESUMO'!E15="",'REGIÃO 13 - RESUMO'!E15=0),"",'REGIÃO 13 - RESUMO'!C15)</f>
        <v>R13</v>
      </c>
      <c r="C109" s="335" t="str">
        <f>'REGIÃO 13 - RESUMO'!D15</f>
        <v>051.2024</v>
      </c>
      <c r="D109" s="81">
        <f>'REGIÃO 13 - RESUMO'!E15</f>
        <v>84</v>
      </c>
      <c r="E109" s="80" t="str">
        <f>'REGIÃO 13 - RESUMO'!F15</f>
        <v>Março</v>
      </c>
      <c r="F109" s="82">
        <f>'REGIÃO 13 - RESUMO'!H15</f>
        <v>247</v>
      </c>
      <c r="G109" s="335" t="str">
        <f>'REGIÃO 13 - RESUMO'!I15</f>
        <v>RODOVIA TO-040 - TRECHO DIANÓPOLIS - NOVO JARDIM</v>
      </c>
      <c r="H109" s="80" t="str">
        <f>'REGIÃO 13 - RESUMO'!J15</f>
        <v>Tapa-Buraco CAE / Remendo Profundo</v>
      </c>
      <c r="I109" s="335">
        <f>'REGIÃO 13 - RESUMO'!K15</f>
        <v>304771.96000000002</v>
      </c>
      <c r="J109" s="335">
        <f>'REGIÃO 13 - HISTÓRICO'!F15</f>
        <v>303326.71999999997</v>
      </c>
      <c r="K109" s="335">
        <f>'REGIÃO 13 - HISTÓRICO'!G15</f>
        <v>1445.2400000000489</v>
      </c>
      <c r="L109" s="335" t="str">
        <f>IF(OR('REGIÃO 13 - RESUMO'!L15="",'REGIÃO 13 - RESUMO'!L15=0),"",'REGIÃO 13 - RESUMO'!L15)</f>
        <v>Concluída</v>
      </c>
      <c r="M109" s="335">
        <f>'REGIÃO 13 - HISTÓRICO'!J15</f>
        <v>0</v>
      </c>
      <c r="N109" s="335">
        <f>'REGIÃO 13 - HISTÓRICO'!L15</f>
        <v>0</v>
      </c>
      <c r="O109" s="335">
        <f>'REGIÃO 13 - HISTÓRICO'!N15</f>
        <v>303326.71999999997</v>
      </c>
      <c r="P109" s="335">
        <f>'REGIÃO 13 - HISTÓRICO'!P15</f>
        <v>0</v>
      </c>
      <c r="Q109" s="335">
        <f>'REGIÃO 13 - HISTÓRICO'!R15</f>
        <v>0</v>
      </c>
      <c r="R109" s="335">
        <f>'REGIÃO 13 - HISTÓRICO'!T15</f>
        <v>0</v>
      </c>
      <c r="S109" s="335">
        <f>'REGIÃO 13 - HISTÓRICO'!V15</f>
        <v>0</v>
      </c>
      <c r="T109" s="335">
        <f>'REGIÃO 13 - HISTÓRICO'!X15</f>
        <v>0</v>
      </c>
      <c r="U109" s="335">
        <f>'REGIÃO 13 - HISTÓRICO'!Z15</f>
        <v>0</v>
      </c>
      <c r="V109" s="335">
        <f>'REGIÃO 13 - HISTÓRICO'!AB15</f>
        <v>0</v>
      </c>
      <c r="W109" s="335">
        <f>'REGIÃO 13 - HISTÓRICO'!AD15</f>
        <v>0</v>
      </c>
      <c r="X109" s="335">
        <f>'REGIÃO 13 - HISTÓRICO'!AF15</f>
        <v>0</v>
      </c>
      <c r="Y109" s="335"/>
      <c r="Z109" s="335"/>
      <c r="AA109" s="335" t="str">
        <f>IF($Z109="","",COUNTIFS($H$4:$H$217,$Z109,$B$4:$B$217,$Z$1))</f>
        <v/>
      </c>
      <c r="AB109" s="335" t="str">
        <f>IF($Z109="","",SUMIFS($I$4:$I$217,$H$4:$H$217,$Z109,$B$4:$B$217,$Z$1))</f>
        <v/>
      </c>
      <c r="AC109" s="335" t="str">
        <f>IF($Z109="","",$AB109-ROW()/1000000)</f>
        <v/>
      </c>
      <c r="AD109" s="335" t="str">
        <f>IFERROR(RANK($AC109,$AC$4:$AC$217),"")</f>
        <v/>
      </c>
      <c r="AE109" s="335"/>
      <c r="AF109" s="335" t="str">
        <f>$B109</f>
        <v>R13</v>
      </c>
      <c r="AG109" s="335" t="str">
        <f>$C109&amp;"."&amp;TEXT($D109,"0000")</f>
        <v>051.2024.0084</v>
      </c>
      <c r="AH109" s="335">
        <f>IF($B109="",-1,IF(OR($Z$1="?*",$B109=$Z$1),$I109,-1))</f>
        <v>-1</v>
      </c>
      <c r="AI109" s="335" t="str">
        <f>IF($AH109&lt;0,"",$AH109-ROW()/1000000)</f>
        <v/>
      </c>
      <c r="AJ109" s="335" t="str">
        <f>IFERROR(RANK($AI109,$AI$4:$AI$217),"")</f>
        <v/>
      </c>
    </row>
    <row r="110" spans="2:36" x14ac:dyDescent="0.3">
      <c r="B110" s="335" t="str">
        <f>IF(OR('REGIÃO 13 - RESUMO'!E16="",'REGIÃO 13 - RESUMO'!E16=0),"",'REGIÃO 13 - RESUMO'!C16)</f>
        <v>R13</v>
      </c>
      <c r="C110" s="335" t="str">
        <f>'REGIÃO 13 - RESUMO'!D16</f>
        <v>051.2024</v>
      </c>
      <c r="D110" s="81">
        <f>'REGIÃO 13 - RESUMO'!E16</f>
        <v>85</v>
      </c>
      <c r="E110" s="80" t="str">
        <f>'REGIÃO 13 - RESUMO'!F16</f>
        <v>Março</v>
      </c>
      <c r="F110" s="82">
        <f>'REGIÃO 13 - RESUMO'!H16</f>
        <v>250</v>
      </c>
      <c r="G110" s="335" t="str">
        <f>'REGIÃO 13 - RESUMO'!I16</f>
        <v>RODOVIA TO-050 - TRECHO ARRAIAS - DIVISA TO-GO</v>
      </c>
      <c r="H110" s="80" t="str">
        <f>'REGIÃO 13 - RESUMO'!J16</f>
        <v>Tapa-Buraco CAE</v>
      </c>
      <c r="I110" s="335">
        <f>'REGIÃO 13 - RESUMO'!K16</f>
        <v>64506.29</v>
      </c>
      <c r="J110" s="335">
        <f>'REGIÃO 13 - HISTÓRICO'!F16</f>
        <v>64506.29</v>
      </c>
      <c r="K110" s="335">
        <f>'REGIÃO 13 - HISTÓRICO'!G16</f>
        <v>0</v>
      </c>
      <c r="L110" s="335" t="str">
        <f>IF(OR('REGIÃO 13 - RESUMO'!L16="",'REGIÃO 13 - RESUMO'!L16=0),"",'REGIÃO 13 - RESUMO'!L16)</f>
        <v>Concluída</v>
      </c>
      <c r="M110" s="335">
        <f>'REGIÃO 13 - HISTÓRICO'!J16</f>
        <v>0</v>
      </c>
      <c r="N110" s="335">
        <f>'REGIÃO 13 - HISTÓRICO'!L16</f>
        <v>0</v>
      </c>
      <c r="O110" s="335">
        <f>'REGIÃO 13 - HISTÓRICO'!N16</f>
        <v>64506.29</v>
      </c>
      <c r="P110" s="335">
        <f>'REGIÃO 13 - HISTÓRICO'!P16</f>
        <v>0</v>
      </c>
      <c r="Q110" s="335">
        <f>'REGIÃO 13 - HISTÓRICO'!R16</f>
        <v>0</v>
      </c>
      <c r="R110" s="335">
        <f>'REGIÃO 13 - HISTÓRICO'!T16</f>
        <v>0</v>
      </c>
      <c r="S110" s="335">
        <f>'REGIÃO 13 - HISTÓRICO'!V16</f>
        <v>0</v>
      </c>
      <c r="T110" s="335">
        <f>'REGIÃO 13 - HISTÓRICO'!X16</f>
        <v>0</v>
      </c>
      <c r="U110" s="335">
        <f>'REGIÃO 13 - HISTÓRICO'!Z16</f>
        <v>0</v>
      </c>
      <c r="V110" s="335">
        <f>'REGIÃO 13 - HISTÓRICO'!AB16</f>
        <v>0</v>
      </c>
      <c r="W110" s="335">
        <f>'REGIÃO 13 - HISTÓRICO'!AD16</f>
        <v>0</v>
      </c>
      <c r="X110" s="335">
        <f>'REGIÃO 13 - HISTÓRICO'!AF16</f>
        <v>0</v>
      </c>
      <c r="Y110" s="335"/>
      <c r="Z110" s="335"/>
      <c r="AA110" s="335" t="str">
        <f>IF($Z110="","",COUNTIFS($H$4:$H$217,$Z110,$B$4:$B$217,$Z$1))</f>
        <v/>
      </c>
      <c r="AB110" s="335" t="str">
        <f>IF($Z110="","",SUMIFS($I$4:$I$217,$H$4:$H$217,$Z110,$B$4:$B$217,$Z$1))</f>
        <v/>
      </c>
      <c r="AC110" s="335" t="str">
        <f>IF($Z110="","",$AB110-ROW()/1000000)</f>
        <v/>
      </c>
      <c r="AD110" s="335" t="str">
        <f>IFERROR(RANK($AC110,$AC$4:$AC$217),"")</f>
        <v/>
      </c>
      <c r="AE110" s="335"/>
      <c r="AF110" s="335" t="str">
        <f>$B110</f>
        <v>R13</v>
      </c>
      <c r="AG110" s="335" t="str">
        <f>$C110&amp;"."&amp;TEXT($D110,"0000")</f>
        <v>051.2024.0085</v>
      </c>
      <c r="AH110" s="335">
        <f>IF($B110="",-1,IF(OR($Z$1="?*",$B110=$Z$1),$I110,-1))</f>
        <v>-1</v>
      </c>
      <c r="AI110" s="335" t="str">
        <f>IF($AH110&lt;0,"",$AH110-ROW()/1000000)</f>
        <v/>
      </c>
      <c r="AJ110" s="335" t="str">
        <f>IFERROR(RANK($AI110,$AI$4:$AI$217),"")</f>
        <v/>
      </c>
    </row>
    <row r="111" spans="2:36" x14ac:dyDescent="0.3">
      <c r="B111" s="335" t="str">
        <f>IF(OR('REGIÃO 13 - RESUMO'!E17="",'REGIÃO 13 - RESUMO'!E17=0),"",'REGIÃO 13 - RESUMO'!C17)</f>
        <v>R13</v>
      </c>
      <c r="C111" s="335" t="str">
        <f>'REGIÃO 13 - RESUMO'!D17</f>
        <v>051.2024</v>
      </c>
      <c r="D111" s="81">
        <f>'REGIÃO 13 - RESUMO'!E17</f>
        <v>86</v>
      </c>
      <c r="E111" s="80" t="str">
        <f>'REGIÃO 13 - RESUMO'!F17</f>
        <v>Março</v>
      </c>
      <c r="F111" s="82">
        <f>'REGIÃO 13 - RESUMO'!H17</f>
        <v>253</v>
      </c>
      <c r="G111" s="335" t="str">
        <f>'REGIÃO 13 - RESUMO'!I17</f>
        <v>RODOVIA TO-110 - TRECHO AURORA DO TOCANTINS - LAVANDEIRA</v>
      </c>
      <c r="H111" s="80" t="str">
        <f>'REGIÃO 13 - RESUMO'!J17</f>
        <v>Roçada</v>
      </c>
      <c r="I111" s="335">
        <f>'REGIÃO 13 - RESUMO'!K17</f>
        <v>10233.94</v>
      </c>
      <c r="J111" s="335">
        <f>'REGIÃO 13 - HISTÓRICO'!F17</f>
        <v>6205</v>
      </c>
      <c r="K111" s="335">
        <f>'REGIÃO 13 - HISTÓRICO'!G17</f>
        <v>4028.9400000000005</v>
      </c>
      <c r="L111" s="335" t="str">
        <f>IF(OR('REGIÃO 13 - RESUMO'!L17="",'REGIÃO 13 - RESUMO'!L17=0),"",'REGIÃO 13 - RESUMO'!L17)</f>
        <v>Justificada</v>
      </c>
      <c r="M111" s="335">
        <f>'REGIÃO 13 - HISTÓRICO'!J17</f>
        <v>0</v>
      </c>
      <c r="N111" s="335">
        <f>'REGIÃO 13 - HISTÓRICO'!L17</f>
        <v>0</v>
      </c>
      <c r="O111" s="335">
        <f>'REGIÃO 13 - HISTÓRICO'!N17</f>
        <v>0</v>
      </c>
      <c r="P111" s="335">
        <f>'REGIÃO 13 - HISTÓRICO'!P17</f>
        <v>6205</v>
      </c>
      <c r="Q111" s="335">
        <f>'REGIÃO 13 - HISTÓRICO'!R17</f>
        <v>0</v>
      </c>
      <c r="R111" s="335">
        <f>'REGIÃO 13 - HISTÓRICO'!T17</f>
        <v>0</v>
      </c>
      <c r="S111" s="335">
        <f>'REGIÃO 13 - HISTÓRICO'!V17</f>
        <v>0</v>
      </c>
      <c r="T111" s="335">
        <f>'REGIÃO 13 - HISTÓRICO'!X17</f>
        <v>0</v>
      </c>
      <c r="U111" s="335">
        <f>'REGIÃO 13 - HISTÓRICO'!Z17</f>
        <v>0</v>
      </c>
      <c r="V111" s="335">
        <f>'REGIÃO 13 - HISTÓRICO'!AB17</f>
        <v>0</v>
      </c>
      <c r="W111" s="335">
        <f>'REGIÃO 13 - HISTÓRICO'!AD17</f>
        <v>0</v>
      </c>
      <c r="X111" s="335">
        <f>'REGIÃO 13 - HISTÓRICO'!AF17</f>
        <v>0</v>
      </c>
      <c r="Y111" s="335"/>
      <c r="Z111" s="335"/>
      <c r="AA111" s="335" t="str">
        <f>IF($Z111="","",COUNTIFS($H$4:$H$217,$Z111,$B$4:$B$217,$Z$1))</f>
        <v/>
      </c>
      <c r="AB111" s="335" t="str">
        <f>IF($Z111="","",SUMIFS($I$4:$I$217,$H$4:$H$217,$Z111,$B$4:$B$217,$Z$1))</f>
        <v/>
      </c>
      <c r="AC111" s="335" t="str">
        <f>IF($Z111="","",$AB111-ROW()/1000000)</f>
        <v/>
      </c>
      <c r="AD111" s="335" t="str">
        <f>IFERROR(RANK($AC111,$AC$4:$AC$217),"")</f>
        <v/>
      </c>
      <c r="AE111" s="335"/>
      <c r="AF111" s="335" t="str">
        <f>$B111</f>
        <v>R13</v>
      </c>
      <c r="AG111" s="335" t="str">
        <f>$C111&amp;"."&amp;TEXT($D111,"0000")</f>
        <v>051.2024.0086</v>
      </c>
      <c r="AH111" s="335">
        <f>IF($B111="",-1,IF(OR($Z$1="?*",$B111=$Z$1),$I111,-1))</f>
        <v>-1</v>
      </c>
      <c r="AI111" s="335" t="str">
        <f>IF($AH111&lt;0,"",$AH111-ROW()/1000000)</f>
        <v/>
      </c>
      <c r="AJ111" s="335" t="str">
        <f>IFERROR(RANK($AI111,$AI$4:$AI$217),"")</f>
        <v/>
      </c>
    </row>
    <row r="112" spans="2:36" x14ac:dyDescent="0.3">
      <c r="B112" s="335" t="str">
        <f>IF(OR('REGIÃO 13 - RESUMO'!E18="",'REGIÃO 13 - RESUMO'!E18=0),"",'REGIÃO 13 - RESUMO'!C18)</f>
        <v>R13</v>
      </c>
      <c r="C112" s="335" t="str">
        <f>'REGIÃO 13 - RESUMO'!D18</f>
        <v>051.2024</v>
      </c>
      <c r="D112" s="81">
        <f>'REGIÃO 13 - RESUMO'!E18</f>
        <v>87</v>
      </c>
      <c r="E112" s="80" t="str">
        <f>'REGIÃO 13 - RESUMO'!F18</f>
        <v>Março</v>
      </c>
      <c r="F112" s="82">
        <f>'REGIÃO 13 - RESUMO'!H18</f>
        <v>254</v>
      </c>
      <c r="G112" s="335" t="str">
        <f>'REGIÃO 13 - RESUMO'!I18</f>
        <v>RODOVIA TO-110 - TRECHO COMBINADO - NOVO ALEGRE - DIVISA TO-GO</v>
      </c>
      <c r="H112" s="80" t="str">
        <f>'REGIÃO 13 - RESUMO'!J18</f>
        <v>Roçada</v>
      </c>
      <c r="I112" s="335">
        <f>'REGIÃO 13 - RESUMO'!K18</f>
        <v>7238.27</v>
      </c>
      <c r="J112" s="335">
        <f>'REGIÃO 13 - HISTÓRICO'!F18</f>
        <v>812.14</v>
      </c>
      <c r="K112" s="335">
        <f>'REGIÃO 13 - HISTÓRICO'!G18</f>
        <v>6426.13</v>
      </c>
      <c r="L112" s="335" t="str">
        <f>IF(OR('REGIÃO 13 - RESUMO'!L18="",'REGIÃO 13 - RESUMO'!L18=0),"",'REGIÃO 13 - RESUMO'!L18)</f>
        <v>Concluída</v>
      </c>
      <c r="M112" s="335">
        <f>'REGIÃO 13 - HISTÓRICO'!J18</f>
        <v>0</v>
      </c>
      <c r="N112" s="335">
        <f>'REGIÃO 13 - HISTÓRICO'!L18</f>
        <v>0</v>
      </c>
      <c r="O112" s="335">
        <f>'REGIÃO 13 - HISTÓRICO'!N18</f>
        <v>450</v>
      </c>
      <c r="P112" s="335">
        <f>'REGIÃO 13 - HISTÓRICO'!P18</f>
        <v>362.14</v>
      </c>
      <c r="Q112" s="335">
        <f>'REGIÃO 13 - HISTÓRICO'!R18</f>
        <v>0</v>
      </c>
      <c r="R112" s="335">
        <f>'REGIÃO 13 - HISTÓRICO'!T18</f>
        <v>0</v>
      </c>
      <c r="S112" s="335">
        <f>'REGIÃO 13 - HISTÓRICO'!V18</f>
        <v>0</v>
      </c>
      <c r="T112" s="335">
        <f>'REGIÃO 13 - HISTÓRICO'!X18</f>
        <v>0</v>
      </c>
      <c r="U112" s="335">
        <f>'REGIÃO 13 - HISTÓRICO'!Z18</f>
        <v>0</v>
      </c>
      <c r="V112" s="335">
        <f>'REGIÃO 13 - HISTÓRICO'!AB18</f>
        <v>0</v>
      </c>
      <c r="W112" s="335">
        <f>'REGIÃO 13 - HISTÓRICO'!AD18</f>
        <v>0</v>
      </c>
      <c r="X112" s="335">
        <f>'REGIÃO 13 - HISTÓRICO'!AF18</f>
        <v>0</v>
      </c>
      <c r="Y112" s="335"/>
      <c r="Z112" s="335"/>
      <c r="AA112" s="335" t="str">
        <f>IF($Z112="","",COUNTIFS($H$4:$H$217,$Z112,$B$4:$B$217,$Z$1))</f>
        <v/>
      </c>
      <c r="AB112" s="335" t="str">
        <f>IF($Z112="","",SUMIFS($I$4:$I$217,$H$4:$H$217,$Z112,$B$4:$B$217,$Z$1))</f>
        <v/>
      </c>
      <c r="AC112" s="335" t="str">
        <f>IF($Z112="","",$AB112-ROW()/1000000)</f>
        <v/>
      </c>
      <c r="AD112" s="335" t="str">
        <f>IFERROR(RANK($AC112,$AC$4:$AC$217),"")</f>
        <v/>
      </c>
      <c r="AE112" s="335"/>
      <c r="AF112" s="335" t="str">
        <f>$B112</f>
        <v>R13</v>
      </c>
      <c r="AG112" s="335" t="str">
        <f>$C112&amp;"."&amp;TEXT($D112,"0000")</f>
        <v>051.2024.0087</v>
      </c>
      <c r="AH112" s="335">
        <f>IF($B112="",-1,IF(OR($Z$1="?*",$B112=$Z$1),$I112,-1))</f>
        <v>-1</v>
      </c>
      <c r="AI112" s="335" t="str">
        <f>IF($AH112&lt;0,"",$AH112-ROW()/1000000)</f>
        <v/>
      </c>
      <c r="AJ112" s="335" t="str">
        <f>IFERROR(RANK($AI112,$AI$4:$AI$217),"")</f>
        <v/>
      </c>
    </row>
    <row r="113" spans="2:36" x14ac:dyDescent="0.3">
      <c r="B113" s="335" t="str">
        <f>IF(OR('REGIÃO 13 - RESUMO'!E19="",'REGIÃO 13 - RESUMO'!E19=0),"",'REGIÃO 13 - RESUMO'!C19)</f>
        <v>R13</v>
      </c>
      <c r="C113" s="335" t="str">
        <f>'REGIÃO 13 - RESUMO'!D19</f>
        <v>051.2024</v>
      </c>
      <c r="D113" s="81">
        <f>'REGIÃO 13 - RESUMO'!E19</f>
        <v>88</v>
      </c>
      <c r="E113" s="80" t="str">
        <f>'REGIÃO 13 - RESUMO'!F19</f>
        <v>Março</v>
      </c>
      <c r="F113" s="82">
        <f>'REGIÃO 13 - RESUMO'!H19</f>
        <v>271</v>
      </c>
      <c r="G113" s="335" t="str">
        <f>'REGIÃO 13 - RESUMO'!I19</f>
        <v>RODOVIA TO-487 - TRECHO ENTR. TO-485 (MIMOSA DOS MARINS) - ENTR. BR-242</v>
      </c>
      <c r="H113" s="80" t="str">
        <f>'REGIÃO 13 - RESUMO'!J19</f>
        <v>Reconformação da plataforma / Recomposição do revestimento primário</v>
      </c>
      <c r="I113" s="335">
        <f>'REGIÃO 13 - RESUMO'!K19</f>
        <v>193211.69</v>
      </c>
      <c r="J113" s="335">
        <f>'REGIÃO 13 - HISTÓRICO'!F19</f>
        <v>193171.26</v>
      </c>
      <c r="K113" s="335">
        <f>'REGIÃO 13 - HISTÓRICO'!G19</f>
        <v>40.429999999993015</v>
      </c>
      <c r="L113" s="335" t="str">
        <f>IF(OR('REGIÃO 13 - RESUMO'!L19="",'REGIÃO 13 - RESUMO'!L19=0),"",'REGIÃO 13 - RESUMO'!L19)</f>
        <v>Concluída</v>
      </c>
      <c r="M113" s="335">
        <f>'REGIÃO 13 - HISTÓRICO'!J19</f>
        <v>0</v>
      </c>
      <c r="N113" s="335">
        <f>'REGIÃO 13 - HISTÓRICO'!L19</f>
        <v>0</v>
      </c>
      <c r="O113" s="335">
        <f>'REGIÃO 13 - HISTÓRICO'!N19</f>
        <v>1985.16</v>
      </c>
      <c r="P113" s="335">
        <f>'REGIÃO 13 - HISTÓRICO'!P19</f>
        <v>191186.1</v>
      </c>
      <c r="Q113" s="335">
        <f>'REGIÃO 13 - HISTÓRICO'!R19</f>
        <v>0</v>
      </c>
      <c r="R113" s="335">
        <f>'REGIÃO 13 - HISTÓRICO'!T19</f>
        <v>0</v>
      </c>
      <c r="S113" s="335">
        <f>'REGIÃO 13 - HISTÓRICO'!V19</f>
        <v>0</v>
      </c>
      <c r="T113" s="335">
        <f>'REGIÃO 13 - HISTÓRICO'!X19</f>
        <v>0</v>
      </c>
      <c r="U113" s="335">
        <f>'REGIÃO 13 - HISTÓRICO'!Z19</f>
        <v>0</v>
      </c>
      <c r="V113" s="335">
        <f>'REGIÃO 13 - HISTÓRICO'!AB19</f>
        <v>0</v>
      </c>
      <c r="W113" s="335">
        <f>'REGIÃO 13 - HISTÓRICO'!AD19</f>
        <v>0</v>
      </c>
      <c r="X113" s="335">
        <f>'REGIÃO 13 - HISTÓRICO'!AF19</f>
        <v>0</v>
      </c>
      <c r="Y113" s="335"/>
      <c r="Z113" s="335"/>
      <c r="AA113" s="335" t="str">
        <f>IF($Z113="","",COUNTIFS($H$4:$H$217,$Z113,$B$4:$B$217,$Z$1))</f>
        <v/>
      </c>
      <c r="AB113" s="335" t="str">
        <f>IF($Z113="","",SUMIFS($I$4:$I$217,$H$4:$H$217,$Z113,$B$4:$B$217,$Z$1))</f>
        <v/>
      </c>
      <c r="AC113" s="335" t="str">
        <f>IF($Z113="","",$AB113-ROW()/1000000)</f>
        <v/>
      </c>
      <c r="AD113" s="335" t="str">
        <f>IFERROR(RANK($AC113,$AC$4:$AC$217),"")</f>
        <v/>
      </c>
      <c r="AE113" s="335"/>
      <c r="AF113" s="335" t="str">
        <f>$B113</f>
        <v>R13</v>
      </c>
      <c r="AG113" s="335" t="str">
        <f>$C113&amp;"."&amp;TEXT($D113,"0000")</f>
        <v>051.2024.0088</v>
      </c>
      <c r="AH113" s="335">
        <f>IF($B113="",-1,IF(OR($Z$1="?*",$B113=$Z$1),$I113,-1))</f>
        <v>-1</v>
      </c>
      <c r="AI113" s="335" t="str">
        <f>IF($AH113&lt;0,"",$AH113-ROW()/1000000)</f>
        <v/>
      </c>
      <c r="AJ113" s="335" t="str">
        <f>IFERROR(RANK($AI113,$AI$4:$AI$217),"")</f>
        <v/>
      </c>
    </row>
    <row r="114" spans="2:36" x14ac:dyDescent="0.3">
      <c r="B114" s="335" t="str">
        <f>IF(OR('REGIÃO 13 - RESUMO'!E20="",'REGIÃO 13 - RESUMO'!E20=0),"",'REGIÃO 13 - RESUMO'!C20)</f>
        <v>R13</v>
      </c>
      <c r="C114" s="335" t="str">
        <f>'REGIÃO 13 - RESUMO'!D20</f>
        <v>051.2024</v>
      </c>
      <c r="D114" s="81">
        <f>'REGIÃO 13 - RESUMO'!E20</f>
        <v>89</v>
      </c>
      <c r="E114" s="80" t="str">
        <f>'REGIÃO 13 - RESUMO'!F20</f>
        <v>Março</v>
      </c>
      <c r="F114" s="82">
        <f>'REGIÃO 13 - RESUMO'!H20</f>
        <v>256</v>
      </c>
      <c r="G114" s="335" t="str">
        <f>'REGIÃO 13 - RESUMO'!I20</f>
        <v>RODOVIA TO-110 - TRECHO ENTR. TO-040 - PONTE ALTA DO BOM JESUS</v>
      </c>
      <c r="H114" s="80" t="str">
        <f>'REGIÃO 13 - RESUMO'!J20</f>
        <v>Roçada</v>
      </c>
      <c r="I114" s="335">
        <f>'REGIÃO 13 - RESUMO'!K20</f>
        <v>16279.15</v>
      </c>
      <c r="J114" s="335">
        <f>'REGIÃO 13 - HISTÓRICO'!F20</f>
        <v>15568.7</v>
      </c>
      <c r="K114" s="335">
        <f>'REGIÃO 13 - HISTÓRICO'!G20</f>
        <v>710.44999999999891</v>
      </c>
      <c r="L114" s="335" t="str">
        <f>IF(OR('REGIÃO 13 - RESUMO'!L20="",'REGIÃO 13 - RESUMO'!L20=0),"",'REGIÃO 13 - RESUMO'!L20)</f>
        <v>Concluída</v>
      </c>
      <c r="M114" s="335">
        <f>'REGIÃO 13 - HISTÓRICO'!J20</f>
        <v>0</v>
      </c>
      <c r="N114" s="335">
        <f>'REGIÃO 13 - HISTÓRICO'!L20</f>
        <v>0</v>
      </c>
      <c r="O114" s="335">
        <f>'REGIÃO 13 - HISTÓRICO'!N20</f>
        <v>15568.7</v>
      </c>
      <c r="P114" s="335">
        <f>'REGIÃO 13 - HISTÓRICO'!P20</f>
        <v>0</v>
      </c>
      <c r="Q114" s="335">
        <f>'REGIÃO 13 - HISTÓRICO'!R20</f>
        <v>0</v>
      </c>
      <c r="R114" s="335">
        <f>'REGIÃO 13 - HISTÓRICO'!T20</f>
        <v>0</v>
      </c>
      <c r="S114" s="335">
        <f>'REGIÃO 13 - HISTÓRICO'!V20</f>
        <v>0</v>
      </c>
      <c r="T114" s="335">
        <f>'REGIÃO 13 - HISTÓRICO'!X20</f>
        <v>0</v>
      </c>
      <c r="U114" s="335">
        <f>'REGIÃO 13 - HISTÓRICO'!Z20</f>
        <v>0</v>
      </c>
      <c r="V114" s="335">
        <f>'REGIÃO 13 - HISTÓRICO'!AB20</f>
        <v>0</v>
      </c>
      <c r="W114" s="335">
        <f>'REGIÃO 13 - HISTÓRICO'!AD20</f>
        <v>0</v>
      </c>
      <c r="X114" s="335">
        <f>'REGIÃO 13 - HISTÓRICO'!AF20</f>
        <v>0</v>
      </c>
      <c r="Y114" s="335"/>
      <c r="Z114" s="335"/>
      <c r="AA114" s="335" t="str">
        <f>IF($Z114="","",COUNTIFS($H$4:$H$217,$Z114,$B$4:$B$217,$Z$1))</f>
        <v/>
      </c>
      <c r="AB114" s="335" t="str">
        <f>IF($Z114="","",SUMIFS($I$4:$I$217,$H$4:$H$217,$Z114,$B$4:$B$217,$Z$1))</f>
        <v/>
      </c>
      <c r="AC114" s="335" t="str">
        <f>IF($Z114="","",$AB114-ROW()/1000000)</f>
        <v/>
      </c>
      <c r="AD114" s="335" t="str">
        <f>IFERROR(RANK($AC114,$AC$4:$AC$217),"")</f>
        <v/>
      </c>
      <c r="AE114" s="335"/>
      <c r="AF114" s="335" t="str">
        <f>$B114</f>
        <v>R13</v>
      </c>
      <c r="AG114" s="335" t="str">
        <f>$C114&amp;"."&amp;TEXT($D114,"0000")</f>
        <v>051.2024.0089</v>
      </c>
      <c r="AH114" s="335">
        <f>IF($B114="",-1,IF(OR($Z$1="?*",$B114=$Z$1),$I114,-1))</f>
        <v>-1</v>
      </c>
      <c r="AI114" s="335" t="str">
        <f>IF($AH114&lt;0,"",$AH114-ROW()/1000000)</f>
        <v/>
      </c>
      <c r="AJ114" s="335" t="str">
        <f>IFERROR(RANK($AI114,$AI$4:$AI$217),"")</f>
        <v/>
      </c>
    </row>
    <row r="115" spans="2:36" x14ac:dyDescent="0.3">
      <c r="B115" s="335" t="str">
        <f>IF(OR('REGIÃO 13 - RESUMO'!E21="",'REGIÃO 13 - RESUMO'!E21=0),"",'REGIÃO 13 - RESUMO'!C21)</f>
        <v>R13</v>
      </c>
      <c r="C115" s="335" t="str">
        <f>'REGIÃO 13 - RESUMO'!D21</f>
        <v>051.2024</v>
      </c>
      <c r="D115" s="81">
        <f>'REGIÃO 13 - RESUMO'!E21</f>
        <v>90</v>
      </c>
      <c r="E115" s="80" t="str">
        <f>'REGIÃO 13 - RESUMO'!F21</f>
        <v>Março</v>
      </c>
      <c r="F115" s="82">
        <f>'REGIÃO 13 - RESUMO'!H21</f>
        <v>257</v>
      </c>
      <c r="G115" s="335" t="str">
        <f>'REGIÃO 13 - RESUMO'!I21</f>
        <v>RODOVIA TO-110 - TRECHO LAVANDEIRA - COMBINADO</v>
      </c>
      <c r="H115" s="80" t="str">
        <f>'REGIÃO 13 - RESUMO'!J21</f>
        <v>Roçada</v>
      </c>
      <c r="I115" s="335">
        <f>'REGIÃO 13 - RESUMO'!K21</f>
        <v>3366.65</v>
      </c>
      <c r="J115" s="335">
        <f>'REGIÃO 13 - HISTÓRICO'!F21</f>
        <v>813.44</v>
      </c>
      <c r="K115" s="335">
        <f>'REGIÃO 13 - HISTÓRICO'!G21</f>
        <v>2553.21</v>
      </c>
      <c r="L115" s="335" t="str">
        <f>IF(OR('REGIÃO 13 - RESUMO'!L21="",'REGIÃO 13 - RESUMO'!L21=0),"",'REGIÃO 13 - RESUMO'!L21)</f>
        <v>Concluída</v>
      </c>
      <c r="M115" s="335">
        <f>'REGIÃO 13 - HISTÓRICO'!J21</f>
        <v>0</v>
      </c>
      <c r="N115" s="335">
        <f>'REGIÃO 13 - HISTÓRICO'!L21</f>
        <v>0</v>
      </c>
      <c r="O115" s="335">
        <f>'REGIÃO 13 - HISTÓRICO'!N21</f>
        <v>813.44</v>
      </c>
      <c r="P115" s="335">
        <f>'REGIÃO 13 - HISTÓRICO'!P21</f>
        <v>0</v>
      </c>
      <c r="Q115" s="335">
        <f>'REGIÃO 13 - HISTÓRICO'!R21</f>
        <v>0</v>
      </c>
      <c r="R115" s="335">
        <f>'REGIÃO 13 - HISTÓRICO'!T21</f>
        <v>0</v>
      </c>
      <c r="S115" s="335">
        <f>'REGIÃO 13 - HISTÓRICO'!V21</f>
        <v>0</v>
      </c>
      <c r="T115" s="335">
        <f>'REGIÃO 13 - HISTÓRICO'!X21</f>
        <v>0</v>
      </c>
      <c r="U115" s="335">
        <f>'REGIÃO 13 - HISTÓRICO'!Z21</f>
        <v>0</v>
      </c>
      <c r="V115" s="335">
        <f>'REGIÃO 13 - HISTÓRICO'!AB21</f>
        <v>0</v>
      </c>
      <c r="W115" s="335">
        <f>'REGIÃO 13 - HISTÓRICO'!AD21</f>
        <v>0</v>
      </c>
      <c r="X115" s="335">
        <f>'REGIÃO 13 - HISTÓRICO'!AF21</f>
        <v>0</v>
      </c>
      <c r="Y115" s="335"/>
      <c r="Z115" s="335"/>
      <c r="AA115" s="335" t="str">
        <f>IF($Z115="","",COUNTIFS($H$4:$H$217,$Z115,$B$4:$B$217,$Z$1))</f>
        <v/>
      </c>
      <c r="AB115" s="335" t="str">
        <f>IF($Z115="","",SUMIFS($I$4:$I$217,$H$4:$H$217,$Z115,$B$4:$B$217,$Z$1))</f>
        <v/>
      </c>
      <c r="AC115" s="335" t="str">
        <f>IF($Z115="","",$AB115-ROW()/1000000)</f>
        <v/>
      </c>
      <c r="AD115" s="335" t="str">
        <f>IFERROR(RANK($AC115,$AC$4:$AC$217),"")</f>
        <v/>
      </c>
      <c r="AE115" s="335"/>
      <c r="AF115" s="335" t="str">
        <f>$B115</f>
        <v>R13</v>
      </c>
      <c r="AG115" s="335" t="str">
        <f>$C115&amp;"."&amp;TEXT($D115,"0000")</f>
        <v>051.2024.0090</v>
      </c>
      <c r="AH115" s="335">
        <f>IF($B115="",-1,IF(OR($Z$1="?*",$B115=$Z$1),$I115,-1))</f>
        <v>-1</v>
      </c>
      <c r="AI115" s="335" t="str">
        <f>IF($AH115&lt;0,"",$AH115-ROW()/1000000)</f>
        <v/>
      </c>
      <c r="AJ115" s="335" t="str">
        <f>IFERROR(RANK($AI115,$AI$4:$AI$217),"")</f>
        <v/>
      </c>
    </row>
    <row r="116" spans="2:36" x14ac:dyDescent="0.3">
      <c r="B116" s="335" t="str">
        <f>IF(OR('REGIÃO 13 - RESUMO'!E22="",'REGIÃO 13 - RESUMO'!E22=0),"",'REGIÃO 13 - RESUMO'!C22)</f>
        <v>R13</v>
      </c>
      <c r="C116" s="335" t="str">
        <f>'REGIÃO 13 - RESUMO'!D22</f>
        <v>051.2024</v>
      </c>
      <c r="D116" s="81">
        <f>'REGIÃO 13 - RESUMO'!E22</f>
        <v>91</v>
      </c>
      <c r="E116" s="80" t="str">
        <f>'REGIÃO 13 - RESUMO'!F22</f>
        <v>Março</v>
      </c>
      <c r="F116" s="82">
        <f>'REGIÃO 13 - RESUMO'!H22</f>
        <v>258</v>
      </c>
      <c r="G116" s="335" t="str">
        <f>'REGIÃO 13 - RESUMO'!I22</f>
        <v>RODOVIA TO-110 - TRECHO PONTE ALTA DO BOM JESUS - ENTR. BR-242(TAGUATINGA)</v>
      </c>
      <c r="H116" s="80" t="str">
        <f>'REGIÃO 13 - RESUMO'!J22</f>
        <v>Roçada</v>
      </c>
      <c r="I116" s="335">
        <f>'REGIÃO 13 - RESUMO'!K22</f>
        <v>15049.96</v>
      </c>
      <c r="J116" s="335">
        <f>'REGIÃO 13 - HISTÓRICO'!F22</f>
        <v>14775.92</v>
      </c>
      <c r="K116" s="335">
        <f>'REGIÃO 13 - HISTÓRICO'!G22</f>
        <v>274.03999999999905</v>
      </c>
      <c r="L116" s="335" t="str">
        <f>IF(OR('REGIÃO 13 - RESUMO'!L22="",'REGIÃO 13 - RESUMO'!L22=0),"",'REGIÃO 13 - RESUMO'!L22)</f>
        <v>Concluída</v>
      </c>
      <c r="M116" s="335">
        <f>'REGIÃO 13 - HISTÓRICO'!J22</f>
        <v>0</v>
      </c>
      <c r="N116" s="335">
        <f>'REGIÃO 13 - HISTÓRICO'!L22</f>
        <v>0</v>
      </c>
      <c r="O116" s="335">
        <f>'REGIÃO 13 - HISTÓRICO'!N22</f>
        <v>1192.8399999999999</v>
      </c>
      <c r="P116" s="335">
        <f>'REGIÃO 13 - HISTÓRICO'!P22</f>
        <v>13583.08</v>
      </c>
      <c r="Q116" s="335">
        <f>'REGIÃO 13 - HISTÓRICO'!R22</f>
        <v>0</v>
      </c>
      <c r="R116" s="335">
        <f>'REGIÃO 13 - HISTÓRICO'!T22</f>
        <v>0</v>
      </c>
      <c r="S116" s="335">
        <f>'REGIÃO 13 - HISTÓRICO'!V22</f>
        <v>0</v>
      </c>
      <c r="T116" s="335">
        <f>'REGIÃO 13 - HISTÓRICO'!X22</f>
        <v>0</v>
      </c>
      <c r="U116" s="335">
        <f>'REGIÃO 13 - HISTÓRICO'!Z22</f>
        <v>0</v>
      </c>
      <c r="V116" s="335">
        <f>'REGIÃO 13 - HISTÓRICO'!AB22</f>
        <v>0</v>
      </c>
      <c r="W116" s="335">
        <f>'REGIÃO 13 - HISTÓRICO'!AD22</f>
        <v>0</v>
      </c>
      <c r="X116" s="335">
        <f>'REGIÃO 13 - HISTÓRICO'!AF22</f>
        <v>0</v>
      </c>
      <c r="Y116" s="335"/>
      <c r="Z116" s="335"/>
      <c r="AA116" s="335" t="str">
        <f>IF($Z116="","",COUNTIFS($H$4:$H$217,$Z116,$B$4:$B$217,$Z$1))</f>
        <v/>
      </c>
      <c r="AB116" s="335" t="str">
        <f>IF($Z116="","",SUMIFS($I$4:$I$217,$H$4:$H$217,$Z116,$B$4:$B$217,$Z$1))</f>
        <v/>
      </c>
      <c r="AC116" s="335" t="str">
        <f>IF($Z116="","",$AB116-ROW()/1000000)</f>
        <v/>
      </c>
      <c r="AD116" s="335" t="str">
        <f>IFERROR(RANK($AC116,$AC$4:$AC$217),"")</f>
        <v/>
      </c>
      <c r="AE116" s="335"/>
      <c r="AF116" s="335" t="str">
        <f>$B116</f>
        <v>R13</v>
      </c>
      <c r="AG116" s="335" t="str">
        <f>$C116&amp;"."&amp;TEXT($D116,"0000")</f>
        <v>051.2024.0091</v>
      </c>
      <c r="AH116" s="335">
        <f>IF($B116="",-1,IF(OR($Z$1="?*",$B116=$Z$1),$I116,-1))</f>
        <v>-1</v>
      </c>
      <c r="AI116" s="335" t="str">
        <f>IF($AH116&lt;0,"",$AH116-ROW()/1000000)</f>
        <v/>
      </c>
      <c r="AJ116" s="335" t="str">
        <f>IFERROR(RANK($AI116,$AI$4:$AI$217),"")</f>
        <v/>
      </c>
    </row>
    <row r="117" spans="2:36" x14ac:dyDescent="0.3">
      <c r="B117" s="335" t="str">
        <f>IF(OR('REGIÃO 13 - RESUMO'!E23="",'REGIÃO 13 - RESUMO'!E23=0),"",'REGIÃO 13 - RESUMO'!C23)</f>
        <v>R13</v>
      </c>
      <c r="C117" s="335" t="str">
        <f>'REGIÃO 13 - RESUMO'!D23</f>
        <v>051.2024</v>
      </c>
      <c r="D117" s="81">
        <f>'REGIÃO 13 - RESUMO'!E23</f>
        <v>92</v>
      </c>
      <c r="E117" s="80" t="str">
        <f>'REGIÃO 13 - RESUMO'!F23</f>
        <v>Abril</v>
      </c>
      <c r="F117" s="82">
        <f>'REGIÃO 13 - RESUMO'!H23</f>
        <v>259</v>
      </c>
      <c r="G117" s="335" t="str">
        <f>'REGIÃO 13 - RESUMO'!I23</f>
        <v>RODOVIA TO-110 - TRECHO TAGUATINGA - AURORA DO TOCANTINS</v>
      </c>
      <c r="H117" s="80" t="str">
        <f>'REGIÃO 13 - RESUMO'!J23</f>
        <v>Roçada</v>
      </c>
      <c r="I117" s="335">
        <f>'REGIÃO 13 - RESUMO'!K23</f>
        <v>18985.419999999998</v>
      </c>
      <c r="J117" s="335">
        <f>'REGIÃO 13 - HISTÓRICO'!F23</f>
        <v>18525.96</v>
      </c>
      <c r="K117" s="335">
        <f>'REGIÃO 13 - HISTÓRICO'!G23</f>
        <v>459.45999999999913</v>
      </c>
      <c r="L117" s="335" t="str">
        <f>IF(OR('REGIÃO 13 - RESUMO'!L23="",'REGIÃO 13 - RESUMO'!L23=0),"",'REGIÃO 13 - RESUMO'!L23)</f>
        <v>Concluída</v>
      </c>
      <c r="M117" s="335">
        <f>'REGIÃO 13 - HISTÓRICO'!J23</f>
        <v>0</v>
      </c>
      <c r="N117" s="335">
        <f>'REGIÃO 13 - HISTÓRICO'!L23</f>
        <v>0</v>
      </c>
      <c r="O117" s="335">
        <f>'REGIÃO 13 - HISTÓRICO'!N23</f>
        <v>972</v>
      </c>
      <c r="P117" s="335">
        <f>'REGIÃO 13 - HISTÓRICO'!P23</f>
        <v>17553.96</v>
      </c>
      <c r="Q117" s="335">
        <f>'REGIÃO 13 - HISTÓRICO'!R23</f>
        <v>0</v>
      </c>
      <c r="R117" s="335">
        <f>'REGIÃO 13 - HISTÓRICO'!T23</f>
        <v>0</v>
      </c>
      <c r="S117" s="335">
        <f>'REGIÃO 13 - HISTÓRICO'!V23</f>
        <v>0</v>
      </c>
      <c r="T117" s="335">
        <f>'REGIÃO 13 - HISTÓRICO'!X23</f>
        <v>0</v>
      </c>
      <c r="U117" s="335">
        <f>'REGIÃO 13 - HISTÓRICO'!Z23</f>
        <v>0</v>
      </c>
      <c r="V117" s="335">
        <f>'REGIÃO 13 - HISTÓRICO'!AB23</f>
        <v>0</v>
      </c>
      <c r="W117" s="335">
        <f>'REGIÃO 13 - HISTÓRICO'!AD23</f>
        <v>0</v>
      </c>
      <c r="X117" s="335">
        <f>'REGIÃO 13 - HISTÓRICO'!AF23</f>
        <v>0</v>
      </c>
      <c r="Y117" s="335"/>
      <c r="Z117" s="335"/>
      <c r="AA117" s="335" t="str">
        <f>IF($Z117="","",COUNTIFS($H$4:$H$217,$Z117,$B$4:$B$217,$Z$1))</f>
        <v/>
      </c>
      <c r="AB117" s="335" t="str">
        <f>IF($Z117="","",SUMIFS($I$4:$I$217,$H$4:$H$217,$Z117,$B$4:$B$217,$Z$1))</f>
        <v/>
      </c>
      <c r="AC117" s="335" t="str">
        <f>IF($Z117="","",$AB117-ROW()/1000000)</f>
        <v/>
      </c>
      <c r="AD117" s="335" t="str">
        <f>IFERROR(RANK($AC117,$AC$4:$AC$217),"")</f>
        <v/>
      </c>
      <c r="AE117" s="335"/>
      <c r="AF117" s="335" t="str">
        <f>$B117</f>
        <v>R13</v>
      </c>
      <c r="AG117" s="335" t="str">
        <f>$C117&amp;"."&amp;TEXT($D117,"0000")</f>
        <v>051.2024.0092</v>
      </c>
      <c r="AH117" s="335">
        <f>IF($B117="",-1,IF(OR($Z$1="?*",$B117=$Z$1),$I117,-1))</f>
        <v>-1</v>
      </c>
      <c r="AI117" s="335" t="str">
        <f>IF($AH117&lt;0,"",$AH117-ROW()/1000000)</f>
        <v/>
      </c>
      <c r="AJ117" s="335" t="str">
        <f>IFERROR(RANK($AI117,$AI$4:$AI$217),"")</f>
        <v/>
      </c>
    </row>
    <row r="118" spans="2:36" x14ac:dyDescent="0.3">
      <c r="B118" s="335" t="str">
        <f>IF(OR('REGIÃO 13 - RESUMO'!E24="",'REGIÃO 13 - RESUMO'!E24=0),"",'REGIÃO 13 - RESUMO'!C24)</f>
        <v>R13</v>
      </c>
      <c r="C118" s="335" t="str">
        <f>'REGIÃO 13 - RESUMO'!D24</f>
        <v>051.2024</v>
      </c>
      <c r="D118" s="81">
        <f>'REGIÃO 13 - RESUMO'!E24</f>
        <v>93</v>
      </c>
      <c r="E118" s="80" t="str">
        <f>'REGIÃO 13 - RESUMO'!F24</f>
        <v>Março</v>
      </c>
      <c r="F118" s="82">
        <f>'REGIÃO 13 - RESUMO'!H24</f>
        <v>280</v>
      </c>
      <c r="G118" s="335" t="str">
        <f>'REGIÃO 13 - RESUMO'!I24</f>
        <v>Trecho não cadastrado</v>
      </c>
      <c r="H118" s="80" t="str">
        <f>'REGIÃO 13 - RESUMO'!J24</f>
        <v>Manutenção corretiva Aeródromo</v>
      </c>
      <c r="I118" s="335">
        <f>'REGIÃO 13 - RESUMO'!K24</f>
        <v>796996.03</v>
      </c>
      <c r="J118" s="335">
        <f>'REGIÃO 13 - HISTÓRICO'!F24</f>
        <v>795578.28</v>
      </c>
      <c r="K118" s="335">
        <f>'REGIÃO 13 - HISTÓRICO'!G24</f>
        <v>1417.75</v>
      </c>
      <c r="L118" s="335" t="str">
        <f>IF(OR('REGIÃO 13 - RESUMO'!L24="",'REGIÃO 13 - RESUMO'!L24=0),"",'REGIÃO 13 - RESUMO'!L24)</f>
        <v>Concluída</v>
      </c>
      <c r="M118" s="335">
        <f>'REGIÃO 13 - HISTÓRICO'!J24</f>
        <v>0</v>
      </c>
      <c r="N118" s="335">
        <f>'REGIÃO 13 - HISTÓRICO'!L24</f>
        <v>0</v>
      </c>
      <c r="O118" s="335">
        <f>'REGIÃO 13 - HISTÓRICO'!N24</f>
        <v>420.39</v>
      </c>
      <c r="P118" s="335">
        <f>'REGIÃO 13 - HISTÓRICO'!P24</f>
        <v>564768.51</v>
      </c>
      <c r="Q118" s="335">
        <f>'REGIÃO 13 - HISTÓRICO'!R24</f>
        <v>230389.38</v>
      </c>
      <c r="R118" s="335">
        <f>'REGIÃO 13 - HISTÓRICO'!T24</f>
        <v>0</v>
      </c>
      <c r="S118" s="335">
        <f>'REGIÃO 13 - HISTÓRICO'!V24</f>
        <v>0</v>
      </c>
      <c r="T118" s="335">
        <f>'REGIÃO 13 - HISTÓRICO'!X24</f>
        <v>0</v>
      </c>
      <c r="U118" s="335">
        <f>'REGIÃO 13 - HISTÓRICO'!Z24</f>
        <v>0</v>
      </c>
      <c r="V118" s="335">
        <f>'REGIÃO 13 - HISTÓRICO'!AB24</f>
        <v>0</v>
      </c>
      <c r="W118" s="335">
        <f>'REGIÃO 13 - HISTÓRICO'!AD24</f>
        <v>0</v>
      </c>
      <c r="X118" s="335">
        <f>'REGIÃO 13 - HISTÓRICO'!AF24</f>
        <v>0</v>
      </c>
      <c r="Y118" s="335"/>
      <c r="Z118" s="335"/>
      <c r="AA118" s="335" t="str">
        <f>IF($Z118="","",COUNTIFS($H$4:$H$217,$Z118,$B$4:$B$217,$Z$1))</f>
        <v/>
      </c>
      <c r="AB118" s="335" t="str">
        <f>IF($Z118="","",SUMIFS($I$4:$I$217,$H$4:$H$217,$Z118,$B$4:$B$217,$Z$1))</f>
        <v/>
      </c>
      <c r="AC118" s="335" t="str">
        <f>IF($Z118="","",$AB118-ROW()/1000000)</f>
        <v/>
      </c>
      <c r="AD118" s="335" t="str">
        <f>IFERROR(RANK($AC118,$AC$4:$AC$217),"")</f>
        <v/>
      </c>
      <c r="AE118" s="335"/>
      <c r="AF118" s="335" t="str">
        <f>$B118</f>
        <v>R13</v>
      </c>
      <c r="AG118" s="335" t="str">
        <f>$C118&amp;"."&amp;TEXT($D118,"0000")</f>
        <v>051.2024.0093</v>
      </c>
      <c r="AH118" s="335">
        <f>IF($B118="",-1,IF(OR($Z$1="?*",$B118=$Z$1),$I118,-1))</f>
        <v>-1</v>
      </c>
      <c r="AI118" s="335" t="str">
        <f>IF($AH118&lt;0,"",$AH118-ROW()/1000000)</f>
        <v/>
      </c>
      <c r="AJ118" s="335" t="str">
        <f>IFERROR(RANK($AI118,$AI$4:$AI$217),"")</f>
        <v/>
      </c>
    </row>
    <row r="119" spans="2:36" x14ac:dyDescent="0.3">
      <c r="B119" s="335" t="str">
        <f>IF(OR('REGIÃO 13 - RESUMO'!E25="",'REGIÃO 13 - RESUMO'!E25=0),"",'REGIÃO 13 - RESUMO'!C25)</f>
        <v>R13</v>
      </c>
      <c r="C119" s="335" t="str">
        <f>'REGIÃO 13 - RESUMO'!D25</f>
        <v>051.2024</v>
      </c>
      <c r="D119" s="81">
        <f>'REGIÃO 13 - RESUMO'!E25</f>
        <v>94</v>
      </c>
      <c r="E119" s="80" t="str">
        <f>'REGIÃO 13 - RESUMO'!F25</f>
        <v>Março</v>
      </c>
      <c r="F119" s="82">
        <f>'REGIÃO 13 - RESUMO'!H25</f>
        <v>279</v>
      </c>
      <c r="G119" s="335" t="str">
        <f>'REGIÃO 13 - RESUMO'!I25</f>
        <v>Trecho não cadastrado</v>
      </c>
      <c r="H119" s="80" t="str">
        <f>'REGIÃO 13 - RESUMO'!J25</f>
        <v>Manutenção corretiva Aeródromo</v>
      </c>
      <c r="I119" s="335">
        <f>'REGIÃO 13 - RESUMO'!K25</f>
        <v>983850.17</v>
      </c>
      <c r="J119" s="335">
        <f>'REGIÃO 13 - HISTÓRICO'!F25</f>
        <v>939482.29</v>
      </c>
      <c r="K119" s="335">
        <f>'REGIÃO 13 - HISTÓRICO'!G25</f>
        <v>44367.880000000005</v>
      </c>
      <c r="L119" s="335" t="str">
        <f>IF(OR('REGIÃO 13 - RESUMO'!L25="",'REGIÃO 13 - RESUMO'!L25=0),"",'REGIÃO 13 - RESUMO'!L25)</f>
        <v>Concluída</v>
      </c>
      <c r="M119" s="335">
        <f>'REGIÃO 13 - HISTÓRICO'!J25</f>
        <v>0</v>
      </c>
      <c r="N119" s="335">
        <f>'REGIÃO 13 - HISTÓRICO'!L25</f>
        <v>0</v>
      </c>
      <c r="O119" s="335">
        <f>'REGIÃO 13 - HISTÓRICO'!N25</f>
        <v>252.23</v>
      </c>
      <c r="P119" s="335">
        <f>'REGIÃO 13 - HISTÓRICO'!P25</f>
        <v>738309.36</v>
      </c>
      <c r="Q119" s="335">
        <f>'REGIÃO 13 - HISTÓRICO'!R25</f>
        <v>200920.7</v>
      </c>
      <c r="R119" s="335">
        <f>'REGIÃO 13 - HISTÓRICO'!T25</f>
        <v>0</v>
      </c>
      <c r="S119" s="335">
        <f>'REGIÃO 13 - HISTÓRICO'!V25</f>
        <v>0</v>
      </c>
      <c r="T119" s="335">
        <f>'REGIÃO 13 - HISTÓRICO'!X25</f>
        <v>0</v>
      </c>
      <c r="U119" s="335">
        <f>'REGIÃO 13 - HISTÓRICO'!Z25</f>
        <v>0</v>
      </c>
      <c r="V119" s="335">
        <f>'REGIÃO 13 - HISTÓRICO'!AB25</f>
        <v>0</v>
      </c>
      <c r="W119" s="335">
        <f>'REGIÃO 13 - HISTÓRICO'!AD25</f>
        <v>0</v>
      </c>
      <c r="X119" s="335">
        <f>'REGIÃO 13 - HISTÓRICO'!AF25</f>
        <v>0</v>
      </c>
      <c r="Y119" s="335"/>
      <c r="Z119" s="335"/>
      <c r="AA119" s="335" t="str">
        <f>IF($Z119="","",COUNTIFS($H$4:$H$217,$Z119,$B$4:$B$217,$Z$1))</f>
        <v/>
      </c>
      <c r="AB119" s="335" t="str">
        <f>IF($Z119="","",SUMIFS($I$4:$I$217,$H$4:$H$217,$Z119,$B$4:$B$217,$Z$1))</f>
        <v/>
      </c>
      <c r="AC119" s="335" t="str">
        <f>IF($Z119="","",$AB119-ROW()/1000000)</f>
        <v/>
      </c>
      <c r="AD119" s="335" t="str">
        <f>IFERROR(RANK($AC119,$AC$4:$AC$217),"")</f>
        <v/>
      </c>
      <c r="AE119" s="335"/>
      <c r="AF119" s="335" t="str">
        <f>$B119</f>
        <v>R13</v>
      </c>
      <c r="AG119" s="335" t="str">
        <f>$C119&amp;"."&amp;TEXT($D119,"0000")</f>
        <v>051.2024.0094</v>
      </c>
      <c r="AH119" s="335">
        <f>IF($B119="",-1,IF(OR($Z$1="?*",$B119=$Z$1),$I119,-1))</f>
        <v>-1</v>
      </c>
      <c r="AI119" s="335" t="str">
        <f>IF($AH119&lt;0,"",$AH119-ROW()/1000000)</f>
        <v/>
      </c>
      <c r="AJ119" s="335" t="str">
        <f>IFERROR(RANK($AI119,$AI$4:$AI$217),"")</f>
        <v/>
      </c>
    </row>
    <row r="120" spans="2:36" x14ac:dyDescent="0.3">
      <c r="B120" s="335" t="str">
        <f>IF(OR('REGIÃO 13 - RESUMO'!E26="",'REGIÃO 13 - RESUMO'!E26=0),"",'REGIÃO 13 - RESUMO'!C26)</f>
        <v>R13</v>
      </c>
      <c r="C120" s="335" t="str">
        <f>'REGIÃO 13 - RESUMO'!D26</f>
        <v>051.2024</v>
      </c>
      <c r="D120" s="81">
        <f>'REGIÃO 13 - RESUMO'!E26</f>
        <v>95</v>
      </c>
      <c r="E120" s="80" t="str">
        <f>'REGIÃO 13 - RESUMO'!F26</f>
        <v>Março</v>
      </c>
      <c r="F120" s="82">
        <f>'REGIÃO 13 - RESUMO'!H26</f>
        <v>266</v>
      </c>
      <c r="G120" s="335" t="str">
        <f>'REGIÃO 13 - RESUMO'!I26</f>
        <v>RODOVIA TO-476 - TRECHO RIO DA CONCEIÇÃO - DIANÓPOLIS</v>
      </c>
      <c r="H120" s="80" t="str">
        <f>'REGIÃO 13 - RESUMO'!J26</f>
        <v>Tapa-Buraco CAE / Reparo EDS / Remendo Profundo / Enrocamento de pedra arrumada</v>
      </c>
      <c r="I120" s="335">
        <f>'REGIÃO 13 - RESUMO'!K26</f>
        <v>32126.995999999999</v>
      </c>
      <c r="J120" s="335">
        <f>'REGIÃO 13 - HISTÓRICO'!F26</f>
        <v>30104.78</v>
      </c>
      <c r="K120" s="335">
        <f>'REGIÃO 13 - HISTÓRICO'!G26</f>
        <v>2022.2160000000003</v>
      </c>
      <c r="L120" s="335" t="str">
        <f>IF(OR('REGIÃO 13 - RESUMO'!L26="",'REGIÃO 13 - RESUMO'!L26=0),"",'REGIÃO 13 - RESUMO'!L26)</f>
        <v>Concluída</v>
      </c>
      <c r="M120" s="335">
        <f>'REGIÃO 13 - HISTÓRICO'!J26</f>
        <v>0</v>
      </c>
      <c r="N120" s="335">
        <f>'REGIÃO 13 - HISTÓRICO'!L26</f>
        <v>0</v>
      </c>
      <c r="O120" s="335">
        <f>'REGIÃO 13 - HISTÓRICO'!N26</f>
        <v>30104.78</v>
      </c>
      <c r="P120" s="335">
        <f>'REGIÃO 13 - HISTÓRICO'!P26</f>
        <v>0</v>
      </c>
      <c r="Q120" s="335">
        <f>'REGIÃO 13 - HISTÓRICO'!R26</f>
        <v>0</v>
      </c>
      <c r="R120" s="335">
        <f>'REGIÃO 13 - HISTÓRICO'!T26</f>
        <v>0</v>
      </c>
      <c r="S120" s="335">
        <f>'REGIÃO 13 - HISTÓRICO'!V26</f>
        <v>0</v>
      </c>
      <c r="T120" s="335">
        <f>'REGIÃO 13 - HISTÓRICO'!X26</f>
        <v>0</v>
      </c>
      <c r="U120" s="335">
        <f>'REGIÃO 13 - HISTÓRICO'!Z26</f>
        <v>0</v>
      </c>
      <c r="V120" s="335">
        <f>'REGIÃO 13 - HISTÓRICO'!AB26</f>
        <v>0</v>
      </c>
      <c r="W120" s="335">
        <f>'REGIÃO 13 - HISTÓRICO'!AD26</f>
        <v>0</v>
      </c>
      <c r="X120" s="335">
        <f>'REGIÃO 13 - HISTÓRICO'!AF26</f>
        <v>0</v>
      </c>
      <c r="Y120" s="335"/>
      <c r="Z120" s="335"/>
      <c r="AA120" s="335" t="str">
        <f>IF($Z120="","",COUNTIFS($H$4:$H$217,$Z120,$B$4:$B$217,$Z$1))</f>
        <v/>
      </c>
      <c r="AB120" s="335" t="str">
        <f>IF($Z120="","",SUMIFS($I$4:$I$217,$H$4:$H$217,$Z120,$B$4:$B$217,$Z$1))</f>
        <v/>
      </c>
      <c r="AC120" s="335" t="str">
        <f>IF($Z120="","",$AB120-ROW()/1000000)</f>
        <v/>
      </c>
      <c r="AD120" s="335" t="str">
        <f>IFERROR(RANK($AC120,$AC$4:$AC$217),"")</f>
        <v/>
      </c>
      <c r="AE120" s="335"/>
      <c r="AF120" s="335" t="str">
        <f>$B120</f>
        <v>R13</v>
      </c>
      <c r="AG120" s="335" t="str">
        <f>$C120&amp;"."&amp;TEXT($D120,"0000")</f>
        <v>051.2024.0095</v>
      </c>
      <c r="AH120" s="335">
        <f>IF($B120="",-1,IF(OR($Z$1="?*",$B120=$Z$1),$I120,-1))</f>
        <v>-1</v>
      </c>
      <c r="AI120" s="335" t="str">
        <f>IF($AH120&lt;0,"",$AH120-ROW()/1000000)</f>
        <v/>
      </c>
      <c r="AJ120" s="335" t="str">
        <f>IFERROR(RANK($AI120,$AI$4:$AI$217),"")</f>
        <v/>
      </c>
    </row>
    <row r="121" spans="2:36" x14ac:dyDescent="0.3">
      <c r="B121" s="335" t="str">
        <f>IF(OR('REGIÃO 13 - RESUMO'!E27="",'REGIÃO 13 - RESUMO'!E27=0),"",'REGIÃO 13 - RESUMO'!C27)</f>
        <v>R13</v>
      </c>
      <c r="C121" s="335" t="str">
        <f>'REGIÃO 13 - RESUMO'!D27</f>
        <v>051.2024</v>
      </c>
      <c r="D121" s="81">
        <f>'REGIÃO 13 - RESUMO'!E27</f>
        <v>96</v>
      </c>
      <c r="E121" s="80" t="str">
        <f>'REGIÃO 13 - RESUMO'!F27</f>
        <v>Março</v>
      </c>
      <c r="F121" s="82">
        <f>'REGIÃO 13 - RESUMO'!H27</f>
        <v>269</v>
      </c>
      <c r="G121" s="335" t="str">
        <f>'REGIÃO 13 - RESUMO'!I27</f>
        <v>RODOVIA TO-477 - TRECHO ENTR. BR-010 (POVOADO BONFIM) - ALMAS</v>
      </c>
      <c r="H121" s="80" t="str">
        <f>'REGIÃO 13 - RESUMO'!J27</f>
        <v>Terraplenagem / Reconformação da plataforma / Recomposição do revestimento primário</v>
      </c>
      <c r="I121" s="335">
        <f>'REGIÃO 13 - RESUMO'!K27</f>
        <v>197054.75</v>
      </c>
      <c r="J121" s="335">
        <f>'REGIÃO 13 - HISTÓRICO'!F27</f>
        <v>11585.16</v>
      </c>
      <c r="K121" s="335">
        <f>'REGIÃO 13 - HISTÓRICO'!G27</f>
        <v>185469.59</v>
      </c>
      <c r="L121" s="335" t="str">
        <f>IF(OR('REGIÃO 13 - RESUMO'!L27="",'REGIÃO 13 - RESUMO'!L27=0),"",'REGIÃO 13 - RESUMO'!L27)</f>
        <v>Concluída</v>
      </c>
      <c r="M121" s="335">
        <f>'REGIÃO 13 - HISTÓRICO'!J27</f>
        <v>0</v>
      </c>
      <c r="N121" s="335">
        <f>'REGIÃO 13 - HISTÓRICO'!L27</f>
        <v>0</v>
      </c>
      <c r="O121" s="335">
        <f>'REGIÃO 13 - HISTÓRICO'!N27</f>
        <v>0</v>
      </c>
      <c r="P121" s="335">
        <f>'REGIÃO 13 - HISTÓRICO'!P27</f>
        <v>11585.16</v>
      </c>
      <c r="Q121" s="335">
        <f>'REGIÃO 13 - HISTÓRICO'!R27</f>
        <v>0</v>
      </c>
      <c r="R121" s="335">
        <f>'REGIÃO 13 - HISTÓRICO'!T27</f>
        <v>0</v>
      </c>
      <c r="S121" s="335">
        <f>'REGIÃO 13 - HISTÓRICO'!V27</f>
        <v>0</v>
      </c>
      <c r="T121" s="335">
        <f>'REGIÃO 13 - HISTÓRICO'!X27</f>
        <v>0</v>
      </c>
      <c r="U121" s="335">
        <f>'REGIÃO 13 - HISTÓRICO'!Z27</f>
        <v>0</v>
      </c>
      <c r="V121" s="335">
        <f>'REGIÃO 13 - HISTÓRICO'!AB27</f>
        <v>0</v>
      </c>
      <c r="W121" s="335">
        <f>'REGIÃO 13 - HISTÓRICO'!AD27</f>
        <v>0</v>
      </c>
      <c r="X121" s="335">
        <f>'REGIÃO 13 - HISTÓRICO'!AF27</f>
        <v>0</v>
      </c>
      <c r="Y121" s="335"/>
      <c r="Z121" s="335"/>
      <c r="AA121" s="335" t="str">
        <f>IF($Z121="","",COUNTIFS($H$4:$H$217,$Z121,$B$4:$B$217,$Z$1))</f>
        <v/>
      </c>
      <c r="AB121" s="335" t="str">
        <f>IF($Z121="","",SUMIFS($I$4:$I$217,$H$4:$H$217,$Z121,$B$4:$B$217,$Z$1))</f>
        <v/>
      </c>
      <c r="AC121" s="335" t="str">
        <f>IF($Z121="","",$AB121-ROW()/1000000)</f>
        <v/>
      </c>
      <c r="AD121" s="335" t="str">
        <f>IFERROR(RANK($AC121,$AC$4:$AC$217),"")</f>
        <v/>
      </c>
      <c r="AE121" s="335"/>
      <c r="AF121" s="335" t="str">
        <f>$B121</f>
        <v>R13</v>
      </c>
      <c r="AG121" s="335" t="str">
        <f>$C121&amp;"."&amp;TEXT($D121,"0000")</f>
        <v>051.2024.0096</v>
      </c>
      <c r="AH121" s="335">
        <f>IF($B121="",-1,IF(OR($Z$1="?*",$B121=$Z$1),$I121,-1))</f>
        <v>-1</v>
      </c>
      <c r="AI121" s="335" t="str">
        <f>IF($AH121&lt;0,"",$AH121-ROW()/1000000)</f>
        <v/>
      </c>
      <c r="AJ121" s="335" t="str">
        <f>IFERROR(RANK($AI121,$AI$4:$AI$217),"")</f>
        <v/>
      </c>
    </row>
    <row r="122" spans="2:36" x14ac:dyDescent="0.3">
      <c r="B122" s="335" t="str">
        <f>IF(OR('REGIÃO 13 - RESUMO'!E28="",'REGIÃO 13 - RESUMO'!E28=0),"",'REGIÃO 13 - RESUMO'!C28)</f>
        <v>R13</v>
      </c>
      <c r="C122" s="335" t="str">
        <f>'REGIÃO 13 - RESUMO'!D28</f>
        <v>051.2024</v>
      </c>
      <c r="D122" s="81">
        <f>'REGIÃO 13 - RESUMO'!E28</f>
        <v>97</v>
      </c>
      <c r="E122" s="80" t="str">
        <f>'REGIÃO 13 - RESUMO'!F28</f>
        <v>Março</v>
      </c>
      <c r="F122" s="82">
        <f>'REGIÃO 13 - RESUMO'!H28</f>
        <v>265</v>
      </c>
      <c r="G122" s="335" t="str">
        <f>'REGIÃO 13 - RESUMO'!I28</f>
        <v>RODOVIA TO-387 - TRECHO ENTR. TO-040 - TAIPAS DO TOCANTINS</v>
      </c>
      <c r="H122" s="80" t="str">
        <f>'REGIÃO 13 - RESUMO'!J28</f>
        <v>Reconformação da plataforma / Recomposição do revestimento primário</v>
      </c>
      <c r="I122" s="335">
        <f>'REGIÃO 13 - RESUMO'!K28</f>
        <v>151527.19</v>
      </c>
      <c r="J122" s="335">
        <f>'REGIÃO 13 - HISTÓRICO'!F28</f>
        <v>92809.56</v>
      </c>
      <c r="K122" s="335">
        <f>'REGIÃO 13 - HISTÓRICO'!G28</f>
        <v>58717.630000000005</v>
      </c>
      <c r="L122" s="335" t="str">
        <f>IF(OR('REGIÃO 13 - RESUMO'!L28="",'REGIÃO 13 - RESUMO'!L28=0),"",'REGIÃO 13 - RESUMO'!L28)</f>
        <v>Concluída</v>
      </c>
      <c r="M122" s="335">
        <f>'REGIÃO 13 - HISTÓRICO'!J28</f>
        <v>0</v>
      </c>
      <c r="N122" s="335">
        <f>'REGIÃO 13 - HISTÓRICO'!L28</f>
        <v>0</v>
      </c>
      <c r="O122" s="335">
        <f>'REGIÃO 13 - HISTÓRICO'!N28</f>
        <v>25767.42</v>
      </c>
      <c r="P122" s="335">
        <f>'REGIÃO 13 - HISTÓRICO'!P28</f>
        <v>15091.32</v>
      </c>
      <c r="Q122" s="335">
        <f>'REGIÃO 13 - HISTÓRICO'!R28</f>
        <v>51950.82</v>
      </c>
      <c r="R122" s="335">
        <f>'REGIÃO 13 - HISTÓRICO'!T28</f>
        <v>0</v>
      </c>
      <c r="S122" s="335">
        <f>'REGIÃO 13 - HISTÓRICO'!V28</f>
        <v>0</v>
      </c>
      <c r="T122" s="335">
        <f>'REGIÃO 13 - HISTÓRICO'!X28</f>
        <v>0</v>
      </c>
      <c r="U122" s="335">
        <f>'REGIÃO 13 - HISTÓRICO'!Z28</f>
        <v>0</v>
      </c>
      <c r="V122" s="335">
        <f>'REGIÃO 13 - HISTÓRICO'!AB28</f>
        <v>0</v>
      </c>
      <c r="W122" s="335">
        <f>'REGIÃO 13 - HISTÓRICO'!AD28</f>
        <v>0</v>
      </c>
      <c r="X122" s="335">
        <f>'REGIÃO 13 - HISTÓRICO'!AF28</f>
        <v>0</v>
      </c>
      <c r="Y122" s="335"/>
      <c r="Z122" s="335"/>
      <c r="AA122" s="335" t="str">
        <f>IF($Z122="","",COUNTIFS($H$4:$H$217,$Z122,$B$4:$B$217,$Z$1))</f>
        <v/>
      </c>
      <c r="AB122" s="335" t="str">
        <f>IF($Z122="","",SUMIFS($I$4:$I$217,$H$4:$H$217,$Z122,$B$4:$B$217,$Z$1))</f>
        <v/>
      </c>
      <c r="AC122" s="335" t="str">
        <f>IF($Z122="","",$AB122-ROW()/1000000)</f>
        <v/>
      </c>
      <c r="AD122" s="335" t="str">
        <f>IFERROR(RANK($AC122,$AC$4:$AC$217),"")</f>
        <v/>
      </c>
      <c r="AE122" s="335"/>
      <c r="AF122" s="335" t="str">
        <f>$B122</f>
        <v>R13</v>
      </c>
      <c r="AG122" s="335" t="str">
        <f>$C122&amp;"."&amp;TEXT($D122,"0000")</f>
        <v>051.2024.0097</v>
      </c>
      <c r="AH122" s="335">
        <f>IF($B122="",-1,IF(OR($Z$1="?*",$B122=$Z$1),$I122,-1))</f>
        <v>-1</v>
      </c>
      <c r="AI122" s="335" t="str">
        <f>IF($AH122&lt;0,"",$AH122-ROW()/1000000)</f>
        <v/>
      </c>
      <c r="AJ122" s="335" t="str">
        <f>IFERROR(RANK($AI122,$AI$4:$AI$217),"")</f>
        <v/>
      </c>
    </row>
    <row r="123" spans="2:36" x14ac:dyDescent="0.3">
      <c r="B123" s="335" t="str">
        <f>IF(OR('REGIÃO 13 - RESUMO'!E29="",'REGIÃO 13 - RESUMO'!E29=0),"",'REGIÃO 13 - RESUMO'!C29)</f>
        <v>R13</v>
      </c>
      <c r="C123" s="335" t="str">
        <f>'REGIÃO 13 - RESUMO'!D29</f>
        <v>051.2024</v>
      </c>
      <c r="D123" s="81">
        <f>'REGIÃO 13 - RESUMO'!E29</f>
        <v>98</v>
      </c>
      <c r="E123" s="80" t="str">
        <f>'REGIÃO 13 - RESUMO'!F29</f>
        <v>Abril</v>
      </c>
      <c r="F123" s="82">
        <f>'REGIÃO 13 - RESUMO'!H29</f>
        <v>246</v>
      </c>
      <c r="G123" s="335" t="str">
        <f>'REGIÃO 13 - RESUMO'!I29</f>
        <v>RODOVIA TO-040 - TRECHO ALMAS - PORTO ALEGRE DO TOCANTINS</v>
      </c>
      <c r="H123" s="80" t="str">
        <f>'REGIÃO 13 - RESUMO'!J29</f>
        <v>Tapa-Buraco PMF</v>
      </c>
      <c r="I123" s="335">
        <f>'REGIÃO 13 - RESUMO'!K29</f>
        <v>10999.6</v>
      </c>
      <c r="J123" s="335">
        <f>'REGIÃO 13 - HISTÓRICO'!F29</f>
        <v>10936.64</v>
      </c>
      <c r="K123" s="335">
        <f>'REGIÃO 13 - HISTÓRICO'!G29</f>
        <v>62.960000000000946</v>
      </c>
      <c r="L123" s="335" t="str">
        <f>IF(OR('REGIÃO 13 - RESUMO'!L29="",'REGIÃO 13 - RESUMO'!L29=0),"",'REGIÃO 13 - RESUMO'!L29)</f>
        <v>Concluída</v>
      </c>
      <c r="M123" s="335">
        <f>'REGIÃO 13 - HISTÓRICO'!J29</f>
        <v>0</v>
      </c>
      <c r="N123" s="335">
        <f>'REGIÃO 13 - HISTÓRICO'!L29</f>
        <v>0</v>
      </c>
      <c r="O123" s="335">
        <f>'REGIÃO 13 - HISTÓRICO'!N29</f>
        <v>0</v>
      </c>
      <c r="P123" s="335">
        <f>'REGIÃO 13 - HISTÓRICO'!P29</f>
        <v>10936.64</v>
      </c>
      <c r="Q123" s="335">
        <f>'REGIÃO 13 - HISTÓRICO'!R29</f>
        <v>0</v>
      </c>
      <c r="R123" s="335">
        <f>'REGIÃO 13 - HISTÓRICO'!T29</f>
        <v>0</v>
      </c>
      <c r="S123" s="335">
        <f>'REGIÃO 13 - HISTÓRICO'!V29</f>
        <v>0</v>
      </c>
      <c r="T123" s="335">
        <f>'REGIÃO 13 - HISTÓRICO'!X29</f>
        <v>0</v>
      </c>
      <c r="U123" s="335">
        <f>'REGIÃO 13 - HISTÓRICO'!Z29</f>
        <v>0</v>
      </c>
      <c r="V123" s="335">
        <f>'REGIÃO 13 - HISTÓRICO'!AB29</f>
        <v>0</v>
      </c>
      <c r="W123" s="335">
        <f>'REGIÃO 13 - HISTÓRICO'!AD29</f>
        <v>0</v>
      </c>
      <c r="X123" s="335">
        <f>'REGIÃO 13 - HISTÓRICO'!AF29</f>
        <v>0</v>
      </c>
      <c r="Y123" s="335"/>
      <c r="Z123" s="335"/>
      <c r="AA123" s="335" t="str">
        <f>IF($Z123="","",COUNTIFS($H$4:$H$217,$Z123,$B$4:$B$217,$Z$1))</f>
        <v/>
      </c>
      <c r="AB123" s="335" t="str">
        <f>IF($Z123="","",SUMIFS($I$4:$I$217,$H$4:$H$217,$Z123,$B$4:$B$217,$Z$1))</f>
        <v/>
      </c>
      <c r="AC123" s="335" t="str">
        <f>IF($Z123="","",$AB123-ROW()/1000000)</f>
        <v/>
      </c>
      <c r="AD123" s="335" t="str">
        <f>IFERROR(RANK($AC123,$AC$4:$AC$217),"")</f>
        <v/>
      </c>
      <c r="AE123" s="335"/>
      <c r="AF123" s="335" t="str">
        <f>$B123</f>
        <v>R13</v>
      </c>
      <c r="AG123" s="335" t="str">
        <f>$C123&amp;"."&amp;TEXT($D123,"0000")</f>
        <v>051.2024.0098</v>
      </c>
      <c r="AH123" s="335">
        <f>IF($B123="",-1,IF(OR($Z$1="?*",$B123=$Z$1),$I123,-1))</f>
        <v>-1</v>
      </c>
      <c r="AI123" s="335" t="str">
        <f>IF($AH123&lt;0,"",$AH123-ROW()/1000000)</f>
        <v/>
      </c>
      <c r="AJ123" s="335" t="str">
        <f>IFERROR(RANK($AI123,$AI$4:$AI$217),"")</f>
        <v/>
      </c>
    </row>
    <row r="124" spans="2:36" x14ac:dyDescent="0.3">
      <c r="B124" s="335" t="str">
        <f>IF(OR('REGIÃO 13 - RESUMO'!E30="",'REGIÃO 13 - RESUMO'!E30=0),"",'REGIÃO 13 - RESUMO'!C30)</f>
        <v>R13</v>
      </c>
      <c r="C124" s="335" t="str">
        <f>'REGIÃO 13 - RESUMO'!D30</f>
        <v>051.2024</v>
      </c>
      <c r="D124" s="81">
        <f>'REGIÃO 13 - RESUMO'!E30</f>
        <v>99</v>
      </c>
      <c r="E124" s="80" t="str">
        <f>'REGIÃO 13 - RESUMO'!F30</f>
        <v>Abril</v>
      </c>
      <c r="F124" s="82">
        <f>'REGIÃO 13 - RESUMO'!H30</f>
        <v>247</v>
      </c>
      <c r="G124" s="335" t="str">
        <f>'REGIÃO 13 - RESUMO'!I30</f>
        <v>RODOVIA TO-040 - TRECHO DIANÓPOLIS - NOVO JARDIM</v>
      </c>
      <c r="H124" s="80" t="str">
        <f>'REGIÃO 13 - RESUMO'!J30</f>
        <v>Tapa-Buraco PMF</v>
      </c>
      <c r="I124" s="335">
        <f>'REGIÃO 13 - RESUMO'!K30</f>
        <v>50762.38</v>
      </c>
      <c r="J124" s="335">
        <f>'REGIÃO 13 - HISTÓRICO'!F30</f>
        <v>49725.35</v>
      </c>
      <c r="K124" s="335">
        <f>'REGIÃO 13 - HISTÓRICO'!G30</f>
        <v>1037.0299999999988</v>
      </c>
      <c r="L124" s="335" t="str">
        <f>IF(OR('REGIÃO 13 - RESUMO'!L30="",'REGIÃO 13 - RESUMO'!L30=0),"",'REGIÃO 13 - RESUMO'!L30)</f>
        <v>Concluída</v>
      </c>
      <c r="M124" s="335">
        <f>'REGIÃO 13 - HISTÓRICO'!J30</f>
        <v>0</v>
      </c>
      <c r="N124" s="335">
        <f>'REGIÃO 13 - HISTÓRICO'!L30</f>
        <v>0</v>
      </c>
      <c r="O124" s="335">
        <f>'REGIÃO 13 - HISTÓRICO'!N30</f>
        <v>0</v>
      </c>
      <c r="P124" s="335">
        <f>'REGIÃO 13 - HISTÓRICO'!P30</f>
        <v>49725.35</v>
      </c>
      <c r="Q124" s="335">
        <f>'REGIÃO 13 - HISTÓRICO'!R30</f>
        <v>0</v>
      </c>
      <c r="R124" s="335">
        <f>'REGIÃO 13 - HISTÓRICO'!T30</f>
        <v>0</v>
      </c>
      <c r="S124" s="335">
        <f>'REGIÃO 13 - HISTÓRICO'!V30</f>
        <v>0</v>
      </c>
      <c r="T124" s="335">
        <f>'REGIÃO 13 - HISTÓRICO'!X30</f>
        <v>0</v>
      </c>
      <c r="U124" s="335">
        <f>'REGIÃO 13 - HISTÓRICO'!Z30</f>
        <v>0</v>
      </c>
      <c r="V124" s="335">
        <f>'REGIÃO 13 - HISTÓRICO'!AB30</f>
        <v>0</v>
      </c>
      <c r="W124" s="335">
        <f>'REGIÃO 13 - HISTÓRICO'!AD30</f>
        <v>0</v>
      </c>
      <c r="X124" s="335">
        <f>'REGIÃO 13 - HISTÓRICO'!AF30</f>
        <v>0</v>
      </c>
      <c r="Y124" s="335"/>
      <c r="Z124" s="335"/>
      <c r="AA124" s="335" t="str">
        <f>IF($Z124="","",COUNTIFS($H$4:$H$217,$Z124,$B$4:$B$217,$Z$1))</f>
        <v/>
      </c>
      <c r="AB124" s="335" t="str">
        <f>IF($Z124="","",SUMIFS($I$4:$I$217,$H$4:$H$217,$Z124,$B$4:$B$217,$Z$1))</f>
        <v/>
      </c>
      <c r="AC124" s="335" t="str">
        <f>IF($Z124="","",$AB124-ROW()/1000000)</f>
        <v/>
      </c>
      <c r="AD124" s="335" t="str">
        <f>IFERROR(RANK($AC124,$AC$4:$AC$217),"")</f>
        <v/>
      </c>
      <c r="AE124" s="335"/>
      <c r="AF124" s="335" t="str">
        <f>$B124</f>
        <v>R13</v>
      </c>
      <c r="AG124" s="335" t="str">
        <f>$C124&amp;"."&amp;TEXT($D124,"0000")</f>
        <v>051.2024.0099</v>
      </c>
      <c r="AH124" s="335">
        <f>IF($B124="",-1,IF(OR($Z$1="?*",$B124=$Z$1),$I124,-1))</f>
        <v>-1</v>
      </c>
      <c r="AI124" s="335" t="str">
        <f>IF($AH124&lt;0,"",$AH124-ROW()/1000000)</f>
        <v/>
      </c>
      <c r="AJ124" s="335" t="str">
        <f>IFERROR(RANK($AI124,$AI$4:$AI$217),"")</f>
        <v/>
      </c>
    </row>
    <row r="125" spans="2:36" x14ac:dyDescent="0.3">
      <c r="B125" s="335" t="str">
        <f>IF(OR('REGIÃO 13 - RESUMO'!E31="",'REGIÃO 13 - RESUMO'!E31=0),"",'REGIÃO 13 - RESUMO'!C31)</f>
        <v>R13</v>
      </c>
      <c r="C125" s="335" t="str">
        <f>'REGIÃO 13 - RESUMO'!D31</f>
        <v>051.2024</v>
      </c>
      <c r="D125" s="81">
        <f>'REGIÃO 13 - RESUMO'!E31</f>
        <v>100</v>
      </c>
      <c r="E125" s="80" t="str">
        <f>'REGIÃO 13 - RESUMO'!F31</f>
        <v>Abril</v>
      </c>
      <c r="F125" s="82">
        <f>'REGIÃO 13 - RESUMO'!H31</f>
        <v>249</v>
      </c>
      <c r="G125" s="335" t="str">
        <f>'REGIÃO 13 - RESUMO'!I31</f>
        <v>RODOVIA TO-040 - TRECHO PORTO ALEGRE DO TOCANTINS - DIANÓPOLIS</v>
      </c>
      <c r="H125" s="80" t="str">
        <f>'REGIÃO 13 - RESUMO'!J31</f>
        <v>Tapa-Buraco PMF</v>
      </c>
      <c r="I125" s="335">
        <f>'REGIÃO 13 - RESUMO'!K31</f>
        <v>148489.23000000001</v>
      </c>
      <c r="J125" s="335">
        <f>'REGIÃO 13 - HISTÓRICO'!F31</f>
        <v>148244.07999999999</v>
      </c>
      <c r="K125" s="335">
        <f>'REGIÃO 13 - HISTÓRICO'!G31</f>
        <v>245.15000000002328</v>
      </c>
      <c r="L125" s="335" t="str">
        <f>IF(OR('REGIÃO 13 - RESUMO'!L31="",'REGIÃO 13 - RESUMO'!L31=0),"",'REGIÃO 13 - RESUMO'!L31)</f>
        <v>Concluída</v>
      </c>
      <c r="M125" s="335">
        <f>'REGIÃO 13 - HISTÓRICO'!J31</f>
        <v>0</v>
      </c>
      <c r="N125" s="335">
        <f>'REGIÃO 13 - HISTÓRICO'!L31</f>
        <v>0</v>
      </c>
      <c r="O125" s="335">
        <f>'REGIÃO 13 - HISTÓRICO'!N31</f>
        <v>0</v>
      </c>
      <c r="P125" s="335">
        <f>'REGIÃO 13 - HISTÓRICO'!P31</f>
        <v>148244.07999999999</v>
      </c>
      <c r="Q125" s="335">
        <f>'REGIÃO 13 - HISTÓRICO'!R31</f>
        <v>0</v>
      </c>
      <c r="R125" s="335">
        <f>'REGIÃO 13 - HISTÓRICO'!T31</f>
        <v>0</v>
      </c>
      <c r="S125" s="335">
        <f>'REGIÃO 13 - HISTÓRICO'!V31</f>
        <v>0</v>
      </c>
      <c r="T125" s="335">
        <f>'REGIÃO 13 - HISTÓRICO'!X31</f>
        <v>0</v>
      </c>
      <c r="U125" s="335">
        <f>'REGIÃO 13 - HISTÓRICO'!Z31</f>
        <v>0</v>
      </c>
      <c r="V125" s="335">
        <f>'REGIÃO 13 - HISTÓRICO'!AB31</f>
        <v>0</v>
      </c>
      <c r="W125" s="335">
        <f>'REGIÃO 13 - HISTÓRICO'!AD31</f>
        <v>0</v>
      </c>
      <c r="X125" s="335">
        <f>'REGIÃO 13 - HISTÓRICO'!AF31</f>
        <v>0</v>
      </c>
      <c r="Y125" s="335"/>
      <c r="Z125" s="335"/>
      <c r="AA125" s="335" t="str">
        <f>IF($Z125="","",COUNTIFS($H$4:$H$217,$Z125,$B$4:$B$217,$Z$1))</f>
        <v/>
      </c>
      <c r="AB125" s="335" t="str">
        <f>IF($Z125="","",SUMIFS($I$4:$I$217,$H$4:$H$217,$Z125,$B$4:$B$217,$Z$1))</f>
        <v/>
      </c>
      <c r="AC125" s="335" t="str">
        <f>IF($Z125="","",$AB125-ROW()/1000000)</f>
        <v/>
      </c>
      <c r="AD125" s="335" t="str">
        <f>IFERROR(RANK($AC125,$AC$4:$AC$217),"")</f>
        <v/>
      </c>
      <c r="AE125" s="335"/>
      <c r="AF125" s="335" t="str">
        <f>$B125</f>
        <v>R13</v>
      </c>
      <c r="AG125" s="335" t="str">
        <f>$C125&amp;"."&amp;TEXT($D125,"0000")</f>
        <v>051.2024.0100</v>
      </c>
      <c r="AH125" s="335">
        <f>IF($B125="",-1,IF(OR($Z$1="?*",$B125=$Z$1),$I125,-1))</f>
        <v>-1</v>
      </c>
      <c r="AI125" s="335" t="str">
        <f>IF($AH125&lt;0,"",$AH125-ROW()/1000000)</f>
        <v/>
      </c>
      <c r="AJ125" s="335" t="str">
        <f>IFERROR(RANK($AI125,$AI$4:$AI$217),"")</f>
        <v/>
      </c>
    </row>
    <row r="126" spans="2:36" x14ac:dyDescent="0.3">
      <c r="B126" s="335" t="str">
        <f>IF(OR('REGIÃO 13 - RESUMO'!E32="",'REGIÃO 13 - RESUMO'!E32=0),"",'REGIÃO 13 - RESUMO'!C32)</f>
        <v>R13</v>
      </c>
      <c r="C126" s="335" t="str">
        <f>'REGIÃO 13 - RESUMO'!D32</f>
        <v>051.2024</v>
      </c>
      <c r="D126" s="81">
        <f>'REGIÃO 13 - RESUMO'!E32</f>
        <v>101</v>
      </c>
      <c r="E126" s="80" t="str">
        <f>'REGIÃO 13 - RESUMO'!F32</f>
        <v>Abril</v>
      </c>
      <c r="F126" s="82">
        <f>'REGIÃO 13 - RESUMO'!H32</f>
        <v>265</v>
      </c>
      <c r="G126" s="335" t="str">
        <f>'REGIÃO 13 - RESUMO'!I32</f>
        <v>RODOVIA TO-387 - TRECHO ENTR. TO-040 - TAIPAS DO TOCANTINS</v>
      </c>
      <c r="H126" s="80" t="str">
        <f>'REGIÃO 13 - RESUMO'!J32</f>
        <v>SERVIÇOS MANUTENÇÃO</v>
      </c>
      <c r="I126" s="335">
        <f>'REGIÃO 13 - RESUMO'!K32</f>
        <v>0</v>
      </c>
      <c r="J126" s="335">
        <f>'REGIÃO 13 - HISTÓRICO'!F32</f>
        <v>0</v>
      </c>
      <c r="K126" s="335">
        <f>'REGIÃO 13 - HISTÓRICO'!G32</f>
        <v>0</v>
      </c>
      <c r="L126" s="335" t="str">
        <f>IF(OR('REGIÃO 13 - RESUMO'!L32="",'REGIÃO 13 - RESUMO'!L32=0),"",'REGIÃO 13 - RESUMO'!L32)</f>
        <v>Em elaboração</v>
      </c>
      <c r="M126" s="335">
        <f>'REGIÃO 13 - HISTÓRICO'!J32</f>
        <v>0</v>
      </c>
      <c r="N126" s="335">
        <f>'REGIÃO 13 - HISTÓRICO'!L32</f>
        <v>0</v>
      </c>
      <c r="O126" s="335">
        <f>'REGIÃO 13 - HISTÓRICO'!N32</f>
        <v>0</v>
      </c>
      <c r="P126" s="335">
        <f>'REGIÃO 13 - HISTÓRICO'!P32</f>
        <v>0</v>
      </c>
      <c r="Q126" s="335">
        <f>'REGIÃO 13 - HISTÓRICO'!R32</f>
        <v>0</v>
      </c>
      <c r="R126" s="335">
        <f>'REGIÃO 13 - HISTÓRICO'!T32</f>
        <v>0</v>
      </c>
      <c r="S126" s="335">
        <f>'REGIÃO 13 - HISTÓRICO'!V32</f>
        <v>0</v>
      </c>
      <c r="T126" s="335">
        <f>'REGIÃO 13 - HISTÓRICO'!X32</f>
        <v>0</v>
      </c>
      <c r="U126" s="335">
        <f>'REGIÃO 13 - HISTÓRICO'!Z32</f>
        <v>0</v>
      </c>
      <c r="V126" s="335">
        <f>'REGIÃO 13 - HISTÓRICO'!AB32</f>
        <v>0</v>
      </c>
      <c r="W126" s="335">
        <f>'REGIÃO 13 - HISTÓRICO'!AD32</f>
        <v>0</v>
      </c>
      <c r="X126" s="335">
        <f>'REGIÃO 13 - HISTÓRICO'!AF32</f>
        <v>0</v>
      </c>
      <c r="Y126" s="335"/>
      <c r="Z126" s="335"/>
      <c r="AA126" s="335" t="str">
        <f>IF($Z126="","",COUNTIFS($H$4:$H$217,$Z126,$B$4:$B$217,$Z$1))</f>
        <v/>
      </c>
      <c r="AB126" s="335" t="str">
        <f>IF($Z126="","",SUMIFS($I$4:$I$217,$H$4:$H$217,$Z126,$B$4:$B$217,$Z$1))</f>
        <v/>
      </c>
      <c r="AC126" s="335" t="str">
        <f>IF($Z126="","",$AB126-ROW()/1000000)</f>
        <v/>
      </c>
      <c r="AD126" s="335" t="str">
        <f>IFERROR(RANK($AC126,$AC$4:$AC$217),"")</f>
        <v/>
      </c>
      <c r="AE126" s="335"/>
      <c r="AF126" s="335" t="str">
        <f>$B126</f>
        <v>R13</v>
      </c>
      <c r="AG126" s="335" t="str">
        <f>$C126&amp;"."&amp;TEXT($D126,"0000")</f>
        <v>051.2024.0101</v>
      </c>
      <c r="AH126" s="335">
        <f>IF($B126="",-1,IF(OR($Z$1="?*",$B126=$Z$1),$I126,-1))</f>
        <v>-1</v>
      </c>
      <c r="AI126" s="335" t="str">
        <f>IF($AH126&lt;0,"",$AH126-ROW()/1000000)</f>
        <v/>
      </c>
      <c r="AJ126" s="335" t="str">
        <f>IFERROR(RANK($AI126,$AI$4:$AI$217),"")</f>
        <v/>
      </c>
    </row>
    <row r="127" spans="2:36" x14ac:dyDescent="0.3">
      <c r="B127" s="335" t="str">
        <f>IF(OR('REGIÃO 13 - RESUMO'!E33="",'REGIÃO 13 - RESUMO'!E33=0),"",'REGIÃO 13 - RESUMO'!C33)</f>
        <v>R13</v>
      </c>
      <c r="C127" s="335" t="str">
        <f>'REGIÃO 13 - RESUMO'!D33</f>
        <v>051.2024</v>
      </c>
      <c r="D127" s="81">
        <f>'REGIÃO 13 - RESUMO'!E33</f>
        <v>102</v>
      </c>
      <c r="E127" s="80" t="str">
        <f>'REGIÃO 13 - RESUMO'!F33</f>
        <v>Abril</v>
      </c>
      <c r="F127" s="82">
        <f>'REGIÃO 13 - RESUMO'!H33</f>
        <v>253</v>
      </c>
      <c r="G127" s="335" t="str">
        <f>'REGIÃO 13 - RESUMO'!I33</f>
        <v>RODOVIA TO-110 - TRECHO AURORA DO TOCANTINS - LAVANDEIRA</v>
      </c>
      <c r="H127" s="80" t="str">
        <f>'REGIÃO 13 - RESUMO'!J33</f>
        <v>Tapa-Buraco PMF</v>
      </c>
      <c r="I127" s="335">
        <f>'REGIÃO 13 - RESUMO'!K33</f>
        <v>276626.44</v>
      </c>
      <c r="J127" s="335">
        <f>'REGIÃO 13 - HISTÓRICO'!F33</f>
        <v>271401.14</v>
      </c>
      <c r="K127" s="335">
        <f>'REGIÃO 13 - HISTÓRICO'!G33</f>
        <v>5225.2999999999884</v>
      </c>
      <c r="L127" s="335" t="str">
        <f>IF(OR('REGIÃO 13 - RESUMO'!L33="",'REGIÃO 13 - RESUMO'!L33=0),"",'REGIÃO 13 - RESUMO'!L33)</f>
        <v>Concluída</v>
      </c>
      <c r="M127" s="335">
        <f>'REGIÃO 13 - HISTÓRICO'!J33</f>
        <v>0</v>
      </c>
      <c r="N127" s="335">
        <f>'REGIÃO 13 - HISTÓRICO'!L33</f>
        <v>0</v>
      </c>
      <c r="O127" s="335">
        <f>'REGIÃO 13 - HISTÓRICO'!N33</f>
        <v>0</v>
      </c>
      <c r="P127" s="335">
        <f>'REGIÃO 13 - HISTÓRICO'!P33</f>
        <v>271401.14</v>
      </c>
      <c r="Q127" s="335">
        <f>'REGIÃO 13 - HISTÓRICO'!R33</f>
        <v>0</v>
      </c>
      <c r="R127" s="335">
        <f>'REGIÃO 13 - HISTÓRICO'!T33</f>
        <v>0</v>
      </c>
      <c r="S127" s="335">
        <f>'REGIÃO 13 - HISTÓRICO'!V33</f>
        <v>0</v>
      </c>
      <c r="T127" s="335">
        <f>'REGIÃO 13 - HISTÓRICO'!X33</f>
        <v>0</v>
      </c>
      <c r="U127" s="335">
        <f>'REGIÃO 13 - HISTÓRICO'!Z33</f>
        <v>0</v>
      </c>
      <c r="V127" s="335">
        <f>'REGIÃO 13 - HISTÓRICO'!AB33</f>
        <v>0</v>
      </c>
      <c r="W127" s="335">
        <f>'REGIÃO 13 - HISTÓRICO'!AD33</f>
        <v>0</v>
      </c>
      <c r="X127" s="335">
        <f>'REGIÃO 13 - HISTÓRICO'!AF33</f>
        <v>0</v>
      </c>
      <c r="Y127" s="335"/>
      <c r="Z127" s="335"/>
      <c r="AA127" s="335" t="str">
        <f>IF($Z127="","",COUNTIFS($H$4:$H$217,$Z127,$B$4:$B$217,$Z$1))</f>
        <v/>
      </c>
      <c r="AB127" s="335" t="str">
        <f>IF($Z127="","",SUMIFS($I$4:$I$217,$H$4:$H$217,$Z127,$B$4:$B$217,$Z$1))</f>
        <v/>
      </c>
      <c r="AC127" s="335" t="str">
        <f>IF($Z127="","",$AB127-ROW()/1000000)</f>
        <v/>
      </c>
      <c r="AD127" s="335" t="str">
        <f>IFERROR(RANK($AC127,$AC$4:$AC$217),"")</f>
        <v/>
      </c>
      <c r="AE127" s="335"/>
      <c r="AF127" s="335" t="str">
        <f>$B127</f>
        <v>R13</v>
      </c>
      <c r="AG127" s="335" t="str">
        <f>$C127&amp;"."&amp;TEXT($D127,"0000")</f>
        <v>051.2024.0102</v>
      </c>
      <c r="AH127" s="335">
        <f>IF($B127="",-1,IF(OR($Z$1="?*",$B127=$Z$1),$I127,-1))</f>
        <v>-1</v>
      </c>
      <c r="AI127" s="335" t="str">
        <f>IF($AH127&lt;0,"",$AH127-ROW()/1000000)</f>
        <v/>
      </c>
      <c r="AJ127" s="335" t="str">
        <f>IFERROR(RANK($AI127,$AI$4:$AI$217),"")</f>
        <v/>
      </c>
    </row>
    <row r="128" spans="2:36" x14ac:dyDescent="0.3">
      <c r="B128" s="335" t="str">
        <f>IF(OR('REGIÃO 13 - RESUMO'!E34="",'REGIÃO 13 - RESUMO'!E34=0),"",'REGIÃO 13 - RESUMO'!C34)</f>
        <v>R13</v>
      </c>
      <c r="C128" s="335" t="str">
        <f>'REGIÃO 13 - RESUMO'!D34</f>
        <v>051.2024</v>
      </c>
      <c r="D128" s="81">
        <f>'REGIÃO 13 - RESUMO'!E34</f>
        <v>103</v>
      </c>
      <c r="E128" s="80" t="str">
        <f>'REGIÃO 13 - RESUMO'!F34</f>
        <v>Abril</v>
      </c>
      <c r="F128" s="82">
        <f>'REGIÃO 13 - RESUMO'!H34</f>
        <v>254</v>
      </c>
      <c r="G128" s="335" t="str">
        <f>'REGIÃO 13 - RESUMO'!I34</f>
        <v>RODOVIA TO-110 - TRECHO COMBINADO - NOVO ALEGRE - DIVISA TO-GO</v>
      </c>
      <c r="H128" s="80" t="str">
        <f>'REGIÃO 13 - RESUMO'!J34</f>
        <v>Tapa-Buraco PMF</v>
      </c>
      <c r="I128" s="335">
        <f>'REGIÃO 13 - RESUMO'!K34</f>
        <v>63466.15</v>
      </c>
      <c r="J128" s="335">
        <f>'REGIÃO 13 - HISTÓRICO'!F34</f>
        <v>63124.46</v>
      </c>
      <c r="K128" s="335">
        <f>'REGIÃO 13 - HISTÓRICO'!G34</f>
        <v>341.69000000000233</v>
      </c>
      <c r="L128" s="335" t="str">
        <f>IF(OR('REGIÃO 13 - RESUMO'!L34="",'REGIÃO 13 - RESUMO'!L34=0),"",'REGIÃO 13 - RESUMO'!L34)</f>
        <v>Concluída</v>
      </c>
      <c r="M128" s="335">
        <f>'REGIÃO 13 - HISTÓRICO'!J34</f>
        <v>0</v>
      </c>
      <c r="N128" s="335">
        <f>'REGIÃO 13 - HISTÓRICO'!L34</f>
        <v>0</v>
      </c>
      <c r="O128" s="335">
        <f>'REGIÃO 13 - HISTÓRICO'!N34</f>
        <v>0</v>
      </c>
      <c r="P128" s="335">
        <f>'REGIÃO 13 - HISTÓRICO'!P34</f>
        <v>49021.86</v>
      </c>
      <c r="Q128" s="335">
        <f>'REGIÃO 13 - HISTÓRICO'!R34</f>
        <v>14102.6</v>
      </c>
      <c r="R128" s="335">
        <f>'REGIÃO 13 - HISTÓRICO'!T34</f>
        <v>0</v>
      </c>
      <c r="S128" s="335">
        <f>'REGIÃO 13 - HISTÓRICO'!V34</f>
        <v>0</v>
      </c>
      <c r="T128" s="335">
        <f>'REGIÃO 13 - HISTÓRICO'!X34</f>
        <v>0</v>
      </c>
      <c r="U128" s="335">
        <f>'REGIÃO 13 - HISTÓRICO'!Z34</f>
        <v>0</v>
      </c>
      <c r="V128" s="335">
        <f>'REGIÃO 13 - HISTÓRICO'!AB34</f>
        <v>0</v>
      </c>
      <c r="W128" s="335">
        <f>'REGIÃO 13 - HISTÓRICO'!AD34</f>
        <v>0</v>
      </c>
      <c r="X128" s="335">
        <f>'REGIÃO 13 - HISTÓRICO'!AF34</f>
        <v>0</v>
      </c>
      <c r="Y128" s="335"/>
      <c r="Z128" s="335"/>
      <c r="AA128" s="335" t="str">
        <f>IF($Z128="","",COUNTIFS($H$4:$H$217,$Z128,$B$4:$B$217,$Z$1))</f>
        <v/>
      </c>
      <c r="AB128" s="335" t="str">
        <f>IF($Z128="","",SUMIFS($I$4:$I$217,$H$4:$H$217,$Z128,$B$4:$B$217,$Z$1))</f>
        <v/>
      </c>
      <c r="AC128" s="335" t="str">
        <f>IF($Z128="","",$AB128-ROW()/1000000)</f>
        <v/>
      </c>
      <c r="AD128" s="335" t="str">
        <f>IFERROR(RANK($AC128,$AC$4:$AC$217),"")</f>
        <v/>
      </c>
      <c r="AE128" s="335"/>
      <c r="AF128" s="335" t="str">
        <f>$B128</f>
        <v>R13</v>
      </c>
      <c r="AG128" s="335" t="str">
        <f>$C128&amp;"."&amp;TEXT($D128,"0000")</f>
        <v>051.2024.0103</v>
      </c>
      <c r="AH128" s="335">
        <f>IF($B128="",-1,IF(OR($Z$1="?*",$B128=$Z$1),$I128,-1))</f>
        <v>-1</v>
      </c>
      <c r="AI128" s="335" t="str">
        <f>IF($AH128&lt;0,"",$AH128-ROW()/1000000)</f>
        <v/>
      </c>
      <c r="AJ128" s="335" t="str">
        <f>IFERROR(RANK($AI128,$AI$4:$AI$217),"")</f>
        <v/>
      </c>
    </row>
    <row r="129" spans="2:36" x14ac:dyDescent="0.3">
      <c r="B129" s="335" t="str">
        <f>IF(OR('REGIÃO 13 - RESUMO'!E35="",'REGIÃO 13 - RESUMO'!E35=0),"",'REGIÃO 13 - RESUMO'!C35)</f>
        <v>R13</v>
      </c>
      <c r="C129" s="335" t="str">
        <f>'REGIÃO 13 - RESUMO'!D35</f>
        <v>051.2024</v>
      </c>
      <c r="D129" s="81">
        <f>'REGIÃO 13 - RESUMO'!E35</f>
        <v>104</v>
      </c>
      <c r="E129" s="80" t="str">
        <f>'REGIÃO 13 - RESUMO'!F35</f>
        <v>Abril</v>
      </c>
      <c r="F129" s="82">
        <f>'REGIÃO 13 - RESUMO'!H35</f>
        <v>256</v>
      </c>
      <c r="G129" s="335" t="str">
        <f>'REGIÃO 13 - RESUMO'!I35</f>
        <v>RODOVIA TO-110 - TRECHO ENTR. TO-040 - PONTE ALTA DO BOM JESUS</v>
      </c>
      <c r="H129" s="80" t="str">
        <f>'REGIÃO 13 - RESUMO'!J35</f>
        <v>Tapa-Buraco PMF</v>
      </c>
      <c r="I129" s="335">
        <f>'REGIÃO 13 - RESUMO'!K35</f>
        <v>248930.16</v>
      </c>
      <c r="J129" s="335">
        <f>'REGIÃO 13 - HISTÓRICO'!F35</f>
        <v>245523.85</v>
      </c>
      <c r="K129" s="335">
        <f>'REGIÃO 13 - HISTÓRICO'!G35</f>
        <v>3406.3099999999977</v>
      </c>
      <c r="L129" s="335" t="str">
        <f>IF(OR('REGIÃO 13 - RESUMO'!L35="",'REGIÃO 13 - RESUMO'!L35=0),"",'REGIÃO 13 - RESUMO'!L35)</f>
        <v>Concluída</v>
      </c>
      <c r="M129" s="335">
        <f>'REGIÃO 13 - HISTÓRICO'!J35</f>
        <v>0</v>
      </c>
      <c r="N129" s="335">
        <f>'REGIÃO 13 - HISTÓRICO'!L35</f>
        <v>0</v>
      </c>
      <c r="O129" s="335">
        <f>'REGIÃO 13 - HISTÓRICO'!N35</f>
        <v>0</v>
      </c>
      <c r="P129" s="335">
        <f>'REGIÃO 13 - HISTÓRICO'!P35</f>
        <v>245523.85</v>
      </c>
      <c r="Q129" s="335">
        <f>'REGIÃO 13 - HISTÓRICO'!R35</f>
        <v>0</v>
      </c>
      <c r="R129" s="335">
        <f>'REGIÃO 13 - HISTÓRICO'!T35</f>
        <v>0</v>
      </c>
      <c r="S129" s="335">
        <f>'REGIÃO 13 - HISTÓRICO'!V35</f>
        <v>0</v>
      </c>
      <c r="T129" s="335">
        <f>'REGIÃO 13 - HISTÓRICO'!X35</f>
        <v>0</v>
      </c>
      <c r="U129" s="335">
        <f>'REGIÃO 13 - HISTÓRICO'!Z35</f>
        <v>0</v>
      </c>
      <c r="V129" s="335">
        <f>'REGIÃO 13 - HISTÓRICO'!AB35</f>
        <v>0</v>
      </c>
      <c r="W129" s="335">
        <f>'REGIÃO 13 - HISTÓRICO'!AD35</f>
        <v>0</v>
      </c>
      <c r="X129" s="335">
        <f>'REGIÃO 13 - HISTÓRICO'!AF35</f>
        <v>0</v>
      </c>
      <c r="Y129" s="335"/>
      <c r="Z129" s="335"/>
      <c r="AA129" s="335" t="str">
        <f>IF($Z129="","",COUNTIFS($H$4:$H$217,$Z129,$B$4:$B$217,$Z$1))</f>
        <v/>
      </c>
      <c r="AB129" s="335" t="str">
        <f>IF($Z129="","",SUMIFS($I$4:$I$217,$H$4:$H$217,$Z129,$B$4:$B$217,$Z$1))</f>
        <v/>
      </c>
      <c r="AC129" s="335" t="str">
        <f>IF($Z129="","",$AB129-ROW()/1000000)</f>
        <v/>
      </c>
      <c r="AD129" s="335" t="str">
        <f>IFERROR(RANK($AC129,$AC$4:$AC$217),"")</f>
        <v/>
      </c>
      <c r="AE129" s="335"/>
      <c r="AF129" s="335" t="str">
        <f>$B129</f>
        <v>R13</v>
      </c>
      <c r="AG129" s="335" t="str">
        <f>$C129&amp;"."&amp;TEXT($D129,"0000")</f>
        <v>051.2024.0104</v>
      </c>
      <c r="AH129" s="335">
        <f>IF($B129="",-1,IF(OR($Z$1="?*",$B129=$Z$1),$I129,-1))</f>
        <v>-1</v>
      </c>
      <c r="AI129" s="335" t="str">
        <f>IF($AH129&lt;0,"",$AH129-ROW()/1000000)</f>
        <v/>
      </c>
      <c r="AJ129" s="335" t="str">
        <f>IFERROR(RANK($AI129,$AI$4:$AI$217),"")</f>
        <v/>
      </c>
    </row>
    <row r="130" spans="2:36" x14ac:dyDescent="0.3">
      <c r="B130" s="335" t="str">
        <f>IF(OR('REGIÃO 13 - RESUMO'!E36="",'REGIÃO 13 - RESUMO'!E36=0),"",'REGIÃO 13 - RESUMO'!C36)</f>
        <v>R13</v>
      </c>
      <c r="C130" s="335" t="str">
        <f>'REGIÃO 13 - RESUMO'!D36</f>
        <v>051.2024</v>
      </c>
      <c r="D130" s="81">
        <f>'REGIÃO 13 - RESUMO'!E36</f>
        <v>105</v>
      </c>
      <c r="E130" s="80" t="str">
        <f>'REGIÃO 13 - RESUMO'!F36</f>
        <v>Abril</v>
      </c>
      <c r="F130" s="82">
        <f>'REGIÃO 13 - RESUMO'!H36</f>
        <v>257</v>
      </c>
      <c r="G130" s="335" t="str">
        <f>'REGIÃO 13 - RESUMO'!I36</f>
        <v>RODOVIA TO-110 - TRECHO LAVANDEIRA - COMBINADO</v>
      </c>
      <c r="H130" s="80" t="str">
        <f>'REGIÃO 13 - RESUMO'!J36</f>
        <v>Tapa-Buraco PMF</v>
      </c>
      <c r="I130" s="335">
        <f>'REGIÃO 13 - RESUMO'!K36</f>
        <v>100161.65</v>
      </c>
      <c r="J130" s="335">
        <f>'REGIÃO 13 - HISTÓRICO'!F36</f>
        <v>0</v>
      </c>
      <c r="K130" s="335">
        <f>'REGIÃO 13 - HISTÓRICO'!G36</f>
        <v>100161.65</v>
      </c>
      <c r="L130" s="335" t="str">
        <f>IF(OR('REGIÃO 13 - RESUMO'!L36="",'REGIÃO 13 - RESUMO'!L36=0),"",'REGIÃO 13 - RESUMO'!L36)</f>
        <v>Em elaboração</v>
      </c>
      <c r="M130" s="335">
        <f>'REGIÃO 13 - HISTÓRICO'!J36</f>
        <v>0</v>
      </c>
      <c r="N130" s="335">
        <f>'REGIÃO 13 - HISTÓRICO'!L36</f>
        <v>0</v>
      </c>
      <c r="O130" s="335">
        <f>'REGIÃO 13 - HISTÓRICO'!N36</f>
        <v>0</v>
      </c>
      <c r="P130" s="335">
        <f>'REGIÃO 13 - HISTÓRICO'!P36</f>
        <v>0</v>
      </c>
      <c r="Q130" s="335">
        <f>'REGIÃO 13 - HISTÓRICO'!R36</f>
        <v>0</v>
      </c>
      <c r="R130" s="335">
        <f>'REGIÃO 13 - HISTÓRICO'!T36</f>
        <v>0</v>
      </c>
      <c r="S130" s="335">
        <f>'REGIÃO 13 - HISTÓRICO'!V36</f>
        <v>0</v>
      </c>
      <c r="T130" s="335">
        <f>'REGIÃO 13 - HISTÓRICO'!X36</f>
        <v>0</v>
      </c>
      <c r="U130" s="335">
        <f>'REGIÃO 13 - HISTÓRICO'!Z36</f>
        <v>0</v>
      </c>
      <c r="V130" s="335">
        <f>'REGIÃO 13 - HISTÓRICO'!AB36</f>
        <v>0</v>
      </c>
      <c r="W130" s="335">
        <f>'REGIÃO 13 - HISTÓRICO'!AD36</f>
        <v>0</v>
      </c>
      <c r="X130" s="335">
        <f>'REGIÃO 13 - HISTÓRICO'!AF36</f>
        <v>0</v>
      </c>
      <c r="Y130" s="335"/>
      <c r="Z130" s="335"/>
      <c r="AA130" s="335" t="str">
        <f>IF($Z130="","",COUNTIFS($H$4:$H$217,$Z130,$B$4:$B$217,$Z$1))</f>
        <v/>
      </c>
      <c r="AB130" s="335" t="str">
        <f>IF($Z130="","",SUMIFS($I$4:$I$217,$H$4:$H$217,$Z130,$B$4:$B$217,$Z$1))</f>
        <v/>
      </c>
      <c r="AC130" s="335" t="str">
        <f>IF($Z130="","",$AB130-ROW()/1000000)</f>
        <v/>
      </c>
      <c r="AD130" s="335" t="str">
        <f>IFERROR(RANK($AC130,$AC$4:$AC$217),"")</f>
        <v/>
      </c>
      <c r="AE130" s="335"/>
      <c r="AF130" s="335" t="str">
        <f>$B130</f>
        <v>R13</v>
      </c>
      <c r="AG130" s="335" t="str">
        <f>$C130&amp;"."&amp;TEXT($D130,"0000")</f>
        <v>051.2024.0105</v>
      </c>
      <c r="AH130" s="335">
        <f>IF($B130="",-1,IF(OR($Z$1="?*",$B130=$Z$1),$I130,-1))</f>
        <v>-1</v>
      </c>
      <c r="AI130" s="335" t="str">
        <f>IF($AH130&lt;0,"",$AH130-ROW()/1000000)</f>
        <v/>
      </c>
      <c r="AJ130" s="335" t="str">
        <f>IFERROR(RANK($AI130,$AI$4:$AI$217),"")</f>
        <v/>
      </c>
    </row>
    <row r="131" spans="2:36" x14ac:dyDescent="0.3">
      <c r="B131" s="335" t="str">
        <f>IF(OR('REGIÃO 13 - RESUMO'!E37="",'REGIÃO 13 - RESUMO'!E37=0),"",'REGIÃO 13 - RESUMO'!C37)</f>
        <v>R13</v>
      </c>
      <c r="C131" s="335" t="str">
        <f>'REGIÃO 13 - RESUMO'!D37</f>
        <v>051.2024</v>
      </c>
      <c r="D131" s="81">
        <f>'REGIÃO 13 - RESUMO'!E37</f>
        <v>106</v>
      </c>
      <c r="E131" s="80" t="str">
        <f>'REGIÃO 13 - RESUMO'!F37</f>
        <v>Abril</v>
      </c>
      <c r="F131" s="82">
        <f>'REGIÃO 13 - RESUMO'!H37</f>
        <v>259</v>
      </c>
      <c r="G131" s="335" t="str">
        <f>'REGIÃO 13 - RESUMO'!I37</f>
        <v>RODOVIA TO-110 - TRECHO TAGUATINGA - AURORA DO TOCANTINS</v>
      </c>
      <c r="H131" s="80" t="str">
        <f>'REGIÃO 13 - RESUMO'!J37</f>
        <v>Tapa-Buraco PMF</v>
      </c>
      <c r="I131" s="335">
        <f>'REGIÃO 13 - RESUMO'!K37</f>
        <v>2654.59</v>
      </c>
      <c r="J131" s="335">
        <f>'REGIÃO 13 - HISTÓRICO'!F37</f>
        <v>2647.35</v>
      </c>
      <c r="K131" s="335">
        <f>'REGIÃO 13 - HISTÓRICO'!G37</f>
        <v>7.2400000000002365</v>
      </c>
      <c r="L131" s="335" t="str">
        <f>IF(OR('REGIÃO 13 - RESUMO'!L37="",'REGIÃO 13 - RESUMO'!L37=0),"",'REGIÃO 13 - RESUMO'!L37)</f>
        <v>Concluída</v>
      </c>
      <c r="M131" s="335">
        <f>'REGIÃO 13 - HISTÓRICO'!J37</f>
        <v>0</v>
      </c>
      <c r="N131" s="335">
        <f>'REGIÃO 13 - HISTÓRICO'!L37</f>
        <v>0</v>
      </c>
      <c r="O131" s="335">
        <f>'REGIÃO 13 - HISTÓRICO'!N37</f>
        <v>0</v>
      </c>
      <c r="P131" s="335">
        <f>'REGIÃO 13 - HISTÓRICO'!P37</f>
        <v>2647.35</v>
      </c>
      <c r="Q131" s="335">
        <f>'REGIÃO 13 - HISTÓRICO'!R37</f>
        <v>0</v>
      </c>
      <c r="R131" s="335">
        <f>'REGIÃO 13 - HISTÓRICO'!T37</f>
        <v>0</v>
      </c>
      <c r="S131" s="335">
        <f>'REGIÃO 13 - HISTÓRICO'!V37</f>
        <v>0</v>
      </c>
      <c r="T131" s="335">
        <f>'REGIÃO 13 - HISTÓRICO'!X37</f>
        <v>0</v>
      </c>
      <c r="U131" s="335">
        <f>'REGIÃO 13 - HISTÓRICO'!Z37</f>
        <v>0</v>
      </c>
      <c r="V131" s="335">
        <f>'REGIÃO 13 - HISTÓRICO'!AB37</f>
        <v>0</v>
      </c>
      <c r="W131" s="335">
        <f>'REGIÃO 13 - HISTÓRICO'!AD37</f>
        <v>0</v>
      </c>
      <c r="X131" s="335">
        <f>'REGIÃO 13 - HISTÓRICO'!AF37</f>
        <v>0</v>
      </c>
      <c r="Y131" s="335"/>
      <c r="Z131" s="335"/>
      <c r="AA131" s="335" t="str">
        <f>IF($Z131="","",COUNTIFS($H$4:$H$217,$Z131,$B$4:$B$217,$Z$1))</f>
        <v/>
      </c>
      <c r="AB131" s="335" t="str">
        <f>IF($Z131="","",SUMIFS($I$4:$I$217,$H$4:$H$217,$Z131,$B$4:$B$217,$Z$1))</f>
        <v/>
      </c>
      <c r="AC131" s="335" t="str">
        <f>IF($Z131="","",$AB131-ROW()/1000000)</f>
        <v/>
      </c>
      <c r="AD131" s="335" t="str">
        <f>IFERROR(RANK($AC131,$AC$4:$AC$217),"")</f>
        <v/>
      </c>
      <c r="AE131" s="335"/>
      <c r="AF131" s="335" t="str">
        <f>$B131</f>
        <v>R13</v>
      </c>
      <c r="AG131" s="335" t="str">
        <f>$C131&amp;"."&amp;TEXT($D131,"0000")</f>
        <v>051.2024.0106</v>
      </c>
      <c r="AH131" s="335">
        <f>IF($B131="",-1,IF(OR($Z$1="?*",$B131=$Z$1),$I131,-1))</f>
        <v>-1</v>
      </c>
      <c r="AI131" s="335" t="str">
        <f>IF($AH131&lt;0,"",$AH131-ROW()/1000000)</f>
        <v/>
      </c>
      <c r="AJ131" s="335" t="str">
        <f>IFERROR(RANK($AI131,$AI$4:$AI$217),"")</f>
        <v/>
      </c>
    </row>
    <row r="132" spans="2:36" x14ac:dyDescent="0.3">
      <c r="B132" s="335" t="str">
        <f>IF(OR('REGIÃO 13 - RESUMO'!E38="",'REGIÃO 13 - RESUMO'!E38=0),"",'REGIÃO 13 - RESUMO'!C38)</f>
        <v>R13</v>
      </c>
      <c r="C132" s="335" t="str">
        <f>'REGIÃO 13 - RESUMO'!D38</f>
        <v>051.2024</v>
      </c>
      <c r="D132" s="81">
        <f>'REGIÃO 13 - RESUMO'!E38</f>
        <v>107</v>
      </c>
      <c r="E132" s="80" t="str">
        <f>'REGIÃO 13 - RESUMO'!F38</f>
        <v>Abril</v>
      </c>
      <c r="F132" s="82">
        <f>'REGIÃO 13 - RESUMO'!H38</f>
        <v>266</v>
      </c>
      <c r="G132" s="335" t="str">
        <f>'REGIÃO 13 - RESUMO'!I38</f>
        <v>RODOVIA TO-476 - TRECHO RIO DA CONCEIÇÃO - DIANÓPOLIS</v>
      </c>
      <c r="H132" s="80" t="str">
        <f>'REGIÃO 13 - RESUMO'!J38</f>
        <v>Tapa-Buraco PMF</v>
      </c>
      <c r="I132" s="335">
        <f>'REGIÃO 13 - RESUMO'!K38</f>
        <v>56625.7</v>
      </c>
      <c r="J132" s="335">
        <f>'REGIÃO 13 - HISTÓRICO'!F38</f>
        <v>51214.22</v>
      </c>
      <c r="K132" s="335">
        <f>'REGIÃO 13 - HISTÓRICO'!G38</f>
        <v>5411.4799999999959</v>
      </c>
      <c r="L132" s="335" t="str">
        <f>IF(OR('REGIÃO 13 - RESUMO'!L38="",'REGIÃO 13 - RESUMO'!L38=0),"",'REGIÃO 13 - RESUMO'!L38)</f>
        <v>Concluída</v>
      </c>
      <c r="M132" s="335">
        <f>'REGIÃO 13 - HISTÓRICO'!J38</f>
        <v>0</v>
      </c>
      <c r="N132" s="335">
        <f>'REGIÃO 13 - HISTÓRICO'!L38</f>
        <v>0</v>
      </c>
      <c r="O132" s="335">
        <f>'REGIÃO 13 - HISTÓRICO'!N38</f>
        <v>0</v>
      </c>
      <c r="P132" s="335">
        <f>'REGIÃO 13 - HISTÓRICO'!P38</f>
        <v>51214.22</v>
      </c>
      <c r="Q132" s="335">
        <f>'REGIÃO 13 - HISTÓRICO'!R38</f>
        <v>0</v>
      </c>
      <c r="R132" s="335">
        <f>'REGIÃO 13 - HISTÓRICO'!T38</f>
        <v>0</v>
      </c>
      <c r="S132" s="335">
        <f>'REGIÃO 13 - HISTÓRICO'!V38</f>
        <v>0</v>
      </c>
      <c r="T132" s="335">
        <f>'REGIÃO 13 - HISTÓRICO'!X38</f>
        <v>0</v>
      </c>
      <c r="U132" s="335">
        <f>'REGIÃO 13 - HISTÓRICO'!Z38</f>
        <v>0</v>
      </c>
      <c r="V132" s="335">
        <f>'REGIÃO 13 - HISTÓRICO'!AB38</f>
        <v>0</v>
      </c>
      <c r="W132" s="335">
        <f>'REGIÃO 13 - HISTÓRICO'!AD38</f>
        <v>0</v>
      </c>
      <c r="X132" s="335">
        <f>'REGIÃO 13 - HISTÓRICO'!AF38</f>
        <v>0</v>
      </c>
      <c r="Y132" s="335"/>
      <c r="Z132" s="335"/>
      <c r="AA132" s="335" t="str">
        <f>IF($Z132="","",COUNTIFS($H$4:$H$217,$Z132,$B$4:$B$217,$Z$1))</f>
        <v/>
      </c>
      <c r="AB132" s="335" t="str">
        <f>IF($Z132="","",SUMIFS($I$4:$I$217,$H$4:$H$217,$Z132,$B$4:$B$217,$Z$1))</f>
        <v/>
      </c>
      <c r="AC132" s="335" t="str">
        <f>IF($Z132="","",$AB132-ROW()/1000000)</f>
        <v/>
      </c>
      <c r="AD132" s="335" t="str">
        <f>IFERROR(RANK($AC132,$AC$4:$AC$217),"")</f>
        <v/>
      </c>
      <c r="AE132" s="335"/>
      <c r="AF132" s="335" t="str">
        <f>$B132</f>
        <v>R13</v>
      </c>
      <c r="AG132" s="335" t="str">
        <f>$C132&amp;"."&amp;TEXT($D132,"0000")</f>
        <v>051.2024.0107</v>
      </c>
      <c r="AH132" s="335">
        <f>IF($B132="",-1,IF(OR($Z$1="?*",$B132=$Z$1),$I132,-1))</f>
        <v>-1</v>
      </c>
      <c r="AI132" s="335" t="str">
        <f>IF($AH132&lt;0,"",$AH132-ROW()/1000000)</f>
        <v/>
      </c>
      <c r="AJ132" s="335" t="str">
        <f>IFERROR(RANK($AI132,$AI$4:$AI$217),"")</f>
        <v/>
      </c>
    </row>
    <row r="133" spans="2:36" x14ac:dyDescent="0.3">
      <c r="B133" s="335" t="str">
        <f>IF(OR('REGIÃO 13 - RESUMO'!E39="",'REGIÃO 13 - RESUMO'!E39=0),"",'REGIÃO 13 - RESUMO'!C39)</f>
        <v>R13</v>
      </c>
      <c r="C133" s="335" t="str">
        <f>'REGIÃO 13 - RESUMO'!D39</f>
        <v>051.2024</v>
      </c>
      <c r="D133" s="81">
        <f>'REGIÃO 13 - RESUMO'!E39</f>
        <v>108</v>
      </c>
      <c r="E133" s="80" t="str">
        <f>'REGIÃO 13 - RESUMO'!F39</f>
        <v>Abril</v>
      </c>
      <c r="F133" s="82">
        <f>'REGIÃO 13 - RESUMO'!H39</f>
        <v>248</v>
      </c>
      <c r="G133" s="335" t="str">
        <f>'REGIÃO 13 - RESUMO'!I39</f>
        <v>RODOVIA TO-040 - TRECHO NOVO JARDIM - DIVISA TO-BA</v>
      </c>
      <c r="H133" s="80" t="str">
        <f>'REGIÃO 13 - RESUMO'!J39</f>
        <v>Tapa-Buraco PMF</v>
      </c>
      <c r="I133" s="335">
        <f>'REGIÃO 13 - RESUMO'!K39</f>
        <v>116153.36</v>
      </c>
      <c r="J133" s="335">
        <f>'REGIÃO 13 - HISTÓRICO'!F39</f>
        <v>115821.22</v>
      </c>
      <c r="K133" s="335">
        <f>'REGIÃO 13 - HISTÓRICO'!G39</f>
        <v>332.13999999999942</v>
      </c>
      <c r="L133" s="335" t="str">
        <f>IF(OR('REGIÃO 13 - RESUMO'!L39="",'REGIÃO 13 - RESUMO'!L39=0),"",'REGIÃO 13 - RESUMO'!L39)</f>
        <v>Concluída</v>
      </c>
      <c r="M133" s="335">
        <f>'REGIÃO 13 - HISTÓRICO'!J39</f>
        <v>0</v>
      </c>
      <c r="N133" s="335">
        <f>'REGIÃO 13 - HISTÓRICO'!L39</f>
        <v>0</v>
      </c>
      <c r="O133" s="335">
        <f>'REGIÃO 13 - HISTÓRICO'!N39</f>
        <v>0</v>
      </c>
      <c r="P133" s="335">
        <f>'REGIÃO 13 - HISTÓRICO'!P39</f>
        <v>115821.22</v>
      </c>
      <c r="Q133" s="335">
        <f>'REGIÃO 13 - HISTÓRICO'!R39</f>
        <v>0</v>
      </c>
      <c r="R133" s="335">
        <f>'REGIÃO 13 - HISTÓRICO'!T39</f>
        <v>0</v>
      </c>
      <c r="S133" s="335">
        <f>'REGIÃO 13 - HISTÓRICO'!V39</f>
        <v>0</v>
      </c>
      <c r="T133" s="335">
        <f>'REGIÃO 13 - HISTÓRICO'!X39</f>
        <v>0</v>
      </c>
      <c r="U133" s="335">
        <f>'REGIÃO 13 - HISTÓRICO'!Z39</f>
        <v>0</v>
      </c>
      <c r="V133" s="335">
        <f>'REGIÃO 13 - HISTÓRICO'!AB39</f>
        <v>0</v>
      </c>
      <c r="W133" s="335">
        <f>'REGIÃO 13 - HISTÓRICO'!AD39</f>
        <v>0</v>
      </c>
      <c r="X133" s="335">
        <f>'REGIÃO 13 - HISTÓRICO'!AF39</f>
        <v>0</v>
      </c>
      <c r="Y133" s="335"/>
      <c r="Z133" s="335"/>
      <c r="AA133" s="335" t="str">
        <f>IF($Z133="","",COUNTIFS($H$4:$H$217,$Z133,$B$4:$B$217,$Z$1))</f>
        <v/>
      </c>
      <c r="AB133" s="335" t="str">
        <f>IF($Z133="","",SUMIFS($I$4:$I$217,$H$4:$H$217,$Z133,$B$4:$B$217,$Z$1))</f>
        <v/>
      </c>
      <c r="AC133" s="335" t="str">
        <f>IF($Z133="","",$AB133-ROW()/1000000)</f>
        <v/>
      </c>
      <c r="AD133" s="335" t="str">
        <f>IFERROR(RANK($AC133,$AC$4:$AC$217),"")</f>
        <v/>
      </c>
      <c r="AE133" s="335"/>
      <c r="AF133" s="335" t="str">
        <f>$B133</f>
        <v>R13</v>
      </c>
      <c r="AG133" s="335" t="str">
        <f>$C133&amp;"."&amp;TEXT($D133,"0000")</f>
        <v>051.2024.0108</v>
      </c>
      <c r="AH133" s="335">
        <f>IF($B133="",-1,IF(OR($Z$1="?*",$B133=$Z$1),$I133,-1))</f>
        <v>-1</v>
      </c>
      <c r="AI133" s="335" t="str">
        <f>IF($AH133&lt;0,"",$AH133-ROW()/1000000)</f>
        <v/>
      </c>
      <c r="AJ133" s="335" t="str">
        <f>IFERROR(RANK($AI133,$AI$4:$AI$217),"")</f>
        <v/>
      </c>
    </row>
    <row r="134" spans="2:36" x14ac:dyDescent="0.3">
      <c r="B134" s="335" t="str">
        <f>IF(OR('REGIÃO 13 - RESUMO'!E40="",'REGIÃO 13 - RESUMO'!E40=0),"",'REGIÃO 13 - RESUMO'!C40)</f>
        <v>R13</v>
      </c>
      <c r="C134" s="335" t="str">
        <f>'REGIÃO 13 - RESUMO'!D40</f>
        <v>051.2024</v>
      </c>
      <c r="D134" s="81">
        <f>'REGIÃO 13 - RESUMO'!E40</f>
        <v>109</v>
      </c>
      <c r="E134" s="80" t="str">
        <f>'REGIÃO 13 - RESUMO'!F40</f>
        <v>Abril</v>
      </c>
      <c r="F134" s="82">
        <f>'REGIÃO 13 - RESUMO'!H40</f>
        <v>272</v>
      </c>
      <c r="G134" s="335" t="str">
        <f>'REGIÃO 13 - RESUMO'!I40</f>
        <v>RODOVIA TO-497 - TRECHO ENTR. BR-242 - ENTR. TO-296 (POVOADO JACARÉ)</v>
      </c>
      <c r="H134" s="80" t="str">
        <f>'REGIÃO 13 - RESUMO'!J40</f>
        <v>Reconformação da plataforma / Recomposição do revestimento primário</v>
      </c>
      <c r="I134" s="335">
        <f>'REGIÃO 13 - RESUMO'!K40</f>
        <v>606290.87</v>
      </c>
      <c r="J134" s="335">
        <f>'REGIÃO 13 - HISTÓRICO'!F40</f>
        <v>606290.87</v>
      </c>
      <c r="K134" s="335">
        <f>'REGIÃO 13 - HISTÓRICO'!G40</f>
        <v>0</v>
      </c>
      <c r="L134" s="335" t="str">
        <f>IF(OR('REGIÃO 13 - RESUMO'!L40="",'REGIÃO 13 - RESUMO'!L40=0),"",'REGIÃO 13 - RESUMO'!L40)</f>
        <v>Concluída</v>
      </c>
      <c r="M134" s="335">
        <f>'REGIÃO 13 - HISTÓRICO'!J40</f>
        <v>0</v>
      </c>
      <c r="N134" s="335">
        <f>'REGIÃO 13 - HISTÓRICO'!L40</f>
        <v>0</v>
      </c>
      <c r="O134" s="335">
        <f>'REGIÃO 13 - HISTÓRICO'!N40</f>
        <v>0</v>
      </c>
      <c r="P134" s="335">
        <f>'REGIÃO 13 - HISTÓRICO'!P40</f>
        <v>0</v>
      </c>
      <c r="Q134" s="335">
        <f>'REGIÃO 13 - HISTÓRICO'!R40</f>
        <v>580445.03</v>
      </c>
      <c r="R134" s="335">
        <f>'REGIÃO 13 - HISTÓRICO'!T40</f>
        <v>25845.84</v>
      </c>
      <c r="S134" s="335">
        <f>'REGIÃO 13 - HISTÓRICO'!V40</f>
        <v>0</v>
      </c>
      <c r="T134" s="335">
        <f>'REGIÃO 13 - HISTÓRICO'!X40</f>
        <v>0</v>
      </c>
      <c r="U134" s="335">
        <f>'REGIÃO 13 - HISTÓRICO'!Z40</f>
        <v>0</v>
      </c>
      <c r="V134" s="335">
        <f>'REGIÃO 13 - HISTÓRICO'!AB40</f>
        <v>0</v>
      </c>
      <c r="W134" s="335">
        <f>'REGIÃO 13 - HISTÓRICO'!AD40</f>
        <v>0</v>
      </c>
      <c r="X134" s="335">
        <f>'REGIÃO 13 - HISTÓRICO'!AF40</f>
        <v>0</v>
      </c>
      <c r="Y134" s="335"/>
      <c r="Z134" s="335"/>
      <c r="AA134" s="335" t="str">
        <f>IF($Z134="","",COUNTIFS($H$4:$H$217,$Z134,$B$4:$B$217,$Z$1))</f>
        <v/>
      </c>
      <c r="AB134" s="335" t="str">
        <f>IF($Z134="","",SUMIFS($I$4:$I$217,$H$4:$H$217,$Z134,$B$4:$B$217,$Z$1))</f>
        <v/>
      </c>
      <c r="AC134" s="335" t="str">
        <f>IF($Z134="","",$AB134-ROW()/1000000)</f>
        <v/>
      </c>
      <c r="AD134" s="335" t="str">
        <f>IFERROR(RANK($AC134,$AC$4:$AC$217),"")</f>
        <v/>
      </c>
      <c r="AE134" s="335"/>
      <c r="AF134" s="335" t="str">
        <f>$B134</f>
        <v>R13</v>
      </c>
      <c r="AG134" s="335" t="str">
        <f>$C134&amp;"."&amp;TEXT($D134,"0000")</f>
        <v>051.2024.0109</v>
      </c>
      <c r="AH134" s="335">
        <f>IF($B134="",-1,IF(OR($Z$1="?*",$B134=$Z$1),$I134,-1))</f>
        <v>-1</v>
      </c>
      <c r="AI134" s="335" t="str">
        <f>IF($AH134&lt;0,"",$AH134-ROW()/1000000)</f>
        <v/>
      </c>
      <c r="AJ134" s="335" t="str">
        <f>IFERROR(RANK($AI134,$AI$4:$AI$217),"")</f>
        <v/>
      </c>
    </row>
    <row r="135" spans="2:36" x14ac:dyDescent="0.3">
      <c r="B135" s="335" t="str">
        <f>IF(OR('REGIÃO 13 - RESUMO'!E41="",'REGIÃO 13 - RESUMO'!E41=0),"",'REGIÃO 13 - RESUMO'!C41)</f>
        <v>R13</v>
      </c>
      <c r="C135" s="335" t="str">
        <f>'REGIÃO 13 - RESUMO'!D41</f>
        <v>051.2024</v>
      </c>
      <c r="D135" s="81">
        <f>'REGIÃO 13 - RESUMO'!E41</f>
        <v>110</v>
      </c>
      <c r="E135" s="80" t="str">
        <f>'REGIÃO 13 - RESUMO'!F41</f>
        <v>Abril</v>
      </c>
      <c r="F135" s="82">
        <f>'REGIÃO 13 - RESUMO'!H41</f>
        <v>279</v>
      </c>
      <c r="G135" s="335" t="str">
        <f>'REGIÃO 13 - RESUMO'!I41</f>
        <v>Trecho não cadastrado</v>
      </c>
      <c r="H135" s="80" t="str">
        <f>'REGIÃO 13 - RESUMO'!J41</f>
        <v>Manutenção corretiva Aeródromo</v>
      </c>
      <c r="I135" s="335">
        <f>'REGIÃO 13 - RESUMO'!K41</f>
        <v>387768.02</v>
      </c>
      <c r="J135" s="335">
        <f>'REGIÃO 13 - HISTÓRICO'!F41</f>
        <v>387690.94</v>
      </c>
      <c r="K135" s="335">
        <f>'REGIÃO 13 - HISTÓRICO'!G41</f>
        <v>77.080000000016298</v>
      </c>
      <c r="L135" s="335" t="str">
        <f>IF(OR('REGIÃO 13 - RESUMO'!L41="",'REGIÃO 13 - RESUMO'!L41=0),"",'REGIÃO 13 - RESUMO'!L41)</f>
        <v>Concluída</v>
      </c>
      <c r="M135" s="335">
        <f>'REGIÃO 13 - HISTÓRICO'!J41</f>
        <v>0</v>
      </c>
      <c r="N135" s="335">
        <f>'REGIÃO 13 - HISTÓRICO'!L41</f>
        <v>0</v>
      </c>
      <c r="O135" s="335">
        <f>'REGIÃO 13 - HISTÓRICO'!N41</f>
        <v>0</v>
      </c>
      <c r="P135" s="335">
        <f>'REGIÃO 13 - HISTÓRICO'!P41</f>
        <v>75379.5</v>
      </c>
      <c r="Q135" s="335">
        <f>'REGIÃO 13 - HISTÓRICO'!R41</f>
        <v>312311.44</v>
      </c>
      <c r="R135" s="335">
        <f>'REGIÃO 13 - HISTÓRICO'!T41</f>
        <v>0</v>
      </c>
      <c r="S135" s="335">
        <f>'REGIÃO 13 - HISTÓRICO'!V41</f>
        <v>0</v>
      </c>
      <c r="T135" s="335">
        <f>'REGIÃO 13 - HISTÓRICO'!X41</f>
        <v>0</v>
      </c>
      <c r="U135" s="335">
        <f>'REGIÃO 13 - HISTÓRICO'!Z41</f>
        <v>0</v>
      </c>
      <c r="V135" s="335">
        <f>'REGIÃO 13 - HISTÓRICO'!AB41</f>
        <v>0</v>
      </c>
      <c r="W135" s="335">
        <f>'REGIÃO 13 - HISTÓRICO'!AD41</f>
        <v>0</v>
      </c>
      <c r="X135" s="335">
        <f>'REGIÃO 13 - HISTÓRICO'!AF41</f>
        <v>0</v>
      </c>
      <c r="Y135" s="335"/>
      <c r="Z135" s="335"/>
      <c r="AA135" s="335" t="str">
        <f>IF($Z135="","",COUNTIFS($H$4:$H$217,$Z135,$B$4:$B$217,$Z$1))</f>
        <v/>
      </c>
      <c r="AB135" s="335" t="str">
        <f>IF($Z135="","",SUMIFS($I$4:$I$217,$H$4:$H$217,$Z135,$B$4:$B$217,$Z$1))</f>
        <v/>
      </c>
      <c r="AC135" s="335" t="str">
        <f>IF($Z135="","",$AB135-ROW()/1000000)</f>
        <v/>
      </c>
      <c r="AD135" s="335" t="str">
        <f>IFERROR(RANK($AC135,$AC$4:$AC$217),"")</f>
        <v/>
      </c>
      <c r="AE135" s="335"/>
      <c r="AF135" s="335" t="str">
        <f>$B135</f>
        <v>R13</v>
      </c>
      <c r="AG135" s="335" t="str">
        <f>$C135&amp;"."&amp;TEXT($D135,"0000")</f>
        <v>051.2024.0110</v>
      </c>
      <c r="AH135" s="335">
        <f>IF($B135="",-1,IF(OR($Z$1="?*",$B135=$Z$1),$I135,-1))</f>
        <v>-1</v>
      </c>
      <c r="AI135" s="335" t="str">
        <f>IF($AH135&lt;0,"",$AH135-ROW()/1000000)</f>
        <v/>
      </c>
      <c r="AJ135" s="335" t="str">
        <f>IFERROR(RANK($AI135,$AI$4:$AI$217),"")</f>
        <v/>
      </c>
    </row>
    <row r="136" spans="2:36" x14ac:dyDescent="0.3">
      <c r="B136" s="335" t="str">
        <f>IF(OR('REGIÃO 13 - RESUMO'!E42="",'REGIÃO 13 - RESUMO'!E42=0),"",'REGIÃO 13 - RESUMO'!C42)</f>
        <v>R13</v>
      </c>
      <c r="C136" s="335" t="str">
        <f>'REGIÃO 13 - RESUMO'!D42</f>
        <v>051.2024</v>
      </c>
      <c r="D136" s="81">
        <f>'REGIÃO 13 - RESUMO'!E42</f>
        <v>111</v>
      </c>
      <c r="E136" s="80" t="str">
        <f>'REGIÃO 13 - RESUMO'!F42</f>
        <v>Abril</v>
      </c>
      <c r="F136" s="82">
        <f>'REGIÃO 13 - RESUMO'!H42</f>
        <v>280</v>
      </c>
      <c r="G136" s="335" t="str">
        <f>'REGIÃO 13 - RESUMO'!I42</f>
        <v>Trecho não cadastrado</v>
      </c>
      <c r="H136" s="80" t="str">
        <f>'REGIÃO 13 - RESUMO'!J42</f>
        <v>Manutenção corretiva Aeródromo</v>
      </c>
      <c r="I136" s="335">
        <f>'REGIÃO 13 - RESUMO'!K42</f>
        <v>387352.27</v>
      </c>
      <c r="J136" s="335">
        <f>'REGIÃO 13 - HISTÓRICO'!F42</f>
        <v>387153.93</v>
      </c>
      <c r="K136" s="335">
        <f>'REGIÃO 13 - HISTÓRICO'!G42</f>
        <v>198.34000000002561</v>
      </c>
      <c r="L136" s="335" t="str">
        <f>IF(OR('REGIÃO 13 - RESUMO'!L42="",'REGIÃO 13 - RESUMO'!L42=0),"",'REGIÃO 13 - RESUMO'!L42)</f>
        <v>Concluída</v>
      </c>
      <c r="M136" s="335">
        <f>'REGIÃO 13 - HISTÓRICO'!J42</f>
        <v>0</v>
      </c>
      <c r="N136" s="335">
        <f>'REGIÃO 13 - HISTÓRICO'!L42</f>
        <v>0</v>
      </c>
      <c r="O136" s="335">
        <f>'REGIÃO 13 - HISTÓRICO'!N42</f>
        <v>0</v>
      </c>
      <c r="P136" s="335">
        <f>'REGIÃO 13 - HISTÓRICO'!P42</f>
        <v>53855.64</v>
      </c>
      <c r="Q136" s="335">
        <f>'REGIÃO 13 - HISTÓRICO'!R42</f>
        <v>333298.28999999998</v>
      </c>
      <c r="R136" s="335">
        <f>'REGIÃO 13 - HISTÓRICO'!T42</f>
        <v>0</v>
      </c>
      <c r="S136" s="335">
        <f>'REGIÃO 13 - HISTÓRICO'!V42</f>
        <v>0</v>
      </c>
      <c r="T136" s="335">
        <f>'REGIÃO 13 - HISTÓRICO'!X42</f>
        <v>0</v>
      </c>
      <c r="U136" s="335">
        <f>'REGIÃO 13 - HISTÓRICO'!Z42</f>
        <v>0</v>
      </c>
      <c r="V136" s="335">
        <f>'REGIÃO 13 - HISTÓRICO'!AB42</f>
        <v>0</v>
      </c>
      <c r="W136" s="335">
        <f>'REGIÃO 13 - HISTÓRICO'!AD42</f>
        <v>0</v>
      </c>
      <c r="X136" s="335">
        <f>'REGIÃO 13 - HISTÓRICO'!AF42</f>
        <v>0</v>
      </c>
      <c r="Y136" s="335"/>
      <c r="Z136" s="335"/>
      <c r="AA136" s="335" t="str">
        <f>IF($Z136="","",COUNTIFS($H$4:$H$217,$Z136,$B$4:$B$217,$Z$1))</f>
        <v/>
      </c>
      <c r="AB136" s="335" t="str">
        <f>IF($Z136="","",SUMIFS($I$4:$I$217,$H$4:$H$217,$Z136,$B$4:$B$217,$Z$1))</f>
        <v/>
      </c>
      <c r="AC136" s="335" t="str">
        <f>IF($Z136="","",$AB136-ROW()/1000000)</f>
        <v/>
      </c>
      <c r="AD136" s="335" t="str">
        <f>IFERROR(RANK($AC136,$AC$4:$AC$217),"")</f>
        <v/>
      </c>
      <c r="AE136" s="335"/>
      <c r="AF136" s="335" t="str">
        <f>$B136</f>
        <v>R13</v>
      </c>
      <c r="AG136" s="335" t="str">
        <f>$C136&amp;"."&amp;TEXT($D136,"0000")</f>
        <v>051.2024.0111</v>
      </c>
      <c r="AH136" s="335">
        <f>IF($B136="",-1,IF(OR($Z$1="?*",$B136=$Z$1),$I136,-1))</f>
        <v>-1</v>
      </c>
      <c r="AI136" s="335" t="str">
        <f>IF($AH136&lt;0,"",$AH136-ROW()/1000000)</f>
        <v/>
      </c>
      <c r="AJ136" s="335" t="str">
        <f>IFERROR(RANK($AI136,$AI$4:$AI$217),"")</f>
        <v/>
      </c>
    </row>
    <row r="137" spans="2:36" x14ac:dyDescent="0.3">
      <c r="B137" s="335" t="str">
        <f>IF(OR('REGIÃO 13 - RESUMO'!E43="",'REGIÃO 13 - RESUMO'!E43=0),"",'REGIÃO 13 - RESUMO'!C43)</f>
        <v>R13</v>
      </c>
      <c r="C137" s="335" t="str">
        <f>'REGIÃO 13 - RESUMO'!D43</f>
        <v>051.2024</v>
      </c>
      <c r="D137" s="81">
        <f>'REGIÃO 13 - RESUMO'!E43</f>
        <v>112</v>
      </c>
      <c r="E137" s="80" t="str">
        <f>'REGIÃO 13 - RESUMO'!F43</f>
        <v>Maio</v>
      </c>
      <c r="F137" s="82">
        <f>'REGIÃO 13 - RESUMO'!H43</f>
        <v>250</v>
      </c>
      <c r="G137" s="335" t="str">
        <f>'REGIÃO 13 - RESUMO'!I43</f>
        <v>RODOVIA TO-050 - TRECHO ARRAIAS - DIVISA TO-GO</v>
      </c>
      <c r="H137" s="80" t="str">
        <f>'REGIÃO 13 - RESUMO'!J43</f>
        <v xml:space="preserve"> Roçada / Caiação de EDS e pontes</v>
      </c>
      <c r="I137" s="335">
        <f>'REGIÃO 13 - RESUMO'!K43</f>
        <v>7321.94</v>
      </c>
      <c r="J137" s="335">
        <f>'REGIÃO 13 - HISTÓRICO'!F43</f>
        <v>7034.33</v>
      </c>
      <c r="K137" s="335">
        <f>'REGIÃO 13 - HISTÓRICO'!G43</f>
        <v>287.60999999999967</v>
      </c>
      <c r="L137" s="335" t="str">
        <f>IF(OR('REGIÃO 13 - RESUMO'!L43="",'REGIÃO 13 - RESUMO'!L43=0),"",'REGIÃO 13 - RESUMO'!L43)</f>
        <v>Concluída</v>
      </c>
      <c r="M137" s="335">
        <f>'REGIÃO 13 - HISTÓRICO'!J43</f>
        <v>0</v>
      </c>
      <c r="N137" s="335">
        <f>'REGIÃO 13 - HISTÓRICO'!L43</f>
        <v>0</v>
      </c>
      <c r="O137" s="335">
        <f>'REGIÃO 13 - HISTÓRICO'!N43</f>
        <v>0</v>
      </c>
      <c r="P137" s="335">
        <f>'REGIÃO 13 - HISTÓRICO'!P43</f>
        <v>0</v>
      </c>
      <c r="Q137" s="335">
        <f>'REGIÃO 13 - HISTÓRICO'!R43</f>
        <v>7034.33</v>
      </c>
      <c r="R137" s="335">
        <f>'REGIÃO 13 - HISTÓRICO'!T43</f>
        <v>0</v>
      </c>
      <c r="S137" s="335">
        <f>'REGIÃO 13 - HISTÓRICO'!V43</f>
        <v>0</v>
      </c>
      <c r="T137" s="335">
        <f>'REGIÃO 13 - HISTÓRICO'!X43</f>
        <v>0</v>
      </c>
      <c r="U137" s="335">
        <f>'REGIÃO 13 - HISTÓRICO'!Z43</f>
        <v>0</v>
      </c>
      <c r="V137" s="335">
        <f>'REGIÃO 13 - HISTÓRICO'!AB43</f>
        <v>0</v>
      </c>
      <c r="W137" s="335">
        <f>'REGIÃO 13 - HISTÓRICO'!AD43</f>
        <v>0</v>
      </c>
      <c r="X137" s="335">
        <f>'REGIÃO 13 - HISTÓRICO'!AF43</f>
        <v>0</v>
      </c>
      <c r="Y137" s="335"/>
      <c r="Z137" s="335"/>
      <c r="AA137" s="335" t="str">
        <f>IF($Z137="","",COUNTIFS($H$4:$H$217,$Z137,$B$4:$B$217,$Z$1))</f>
        <v/>
      </c>
      <c r="AB137" s="335" t="str">
        <f>IF($Z137="","",SUMIFS($I$4:$I$217,$H$4:$H$217,$Z137,$B$4:$B$217,$Z$1))</f>
        <v/>
      </c>
      <c r="AC137" s="335" t="str">
        <f>IF($Z137="","",$AB137-ROW()/1000000)</f>
        <v/>
      </c>
      <c r="AD137" s="335" t="str">
        <f>IFERROR(RANK($AC137,$AC$4:$AC$217),"")</f>
        <v/>
      </c>
      <c r="AE137" s="335"/>
      <c r="AF137" s="335" t="str">
        <f>$B137</f>
        <v>R13</v>
      </c>
      <c r="AG137" s="335" t="str">
        <f>$C137&amp;"."&amp;TEXT($D137,"0000")</f>
        <v>051.2024.0112</v>
      </c>
      <c r="AH137" s="335">
        <f>IF($B137="",-1,IF(OR($Z$1="?*",$B137=$Z$1),$I137,-1))</f>
        <v>-1</v>
      </c>
      <c r="AI137" s="335" t="str">
        <f>IF($AH137&lt;0,"",$AH137-ROW()/1000000)</f>
        <v/>
      </c>
      <c r="AJ137" s="335" t="str">
        <f>IFERROR(RANK($AI137,$AI$4:$AI$217),"")</f>
        <v/>
      </c>
    </row>
    <row r="138" spans="2:36" x14ac:dyDescent="0.3">
      <c r="B138" s="335" t="str">
        <f>IF(OR('REGIÃO 13 - RESUMO'!E44="",'REGIÃO 13 - RESUMO'!E44=0),"",'REGIÃO 13 - RESUMO'!C44)</f>
        <v>R13</v>
      </c>
      <c r="C138" s="335" t="str">
        <f>'REGIÃO 13 - RESUMO'!D44</f>
        <v>051.2024</v>
      </c>
      <c r="D138" s="81">
        <f>'REGIÃO 13 - RESUMO'!E44</f>
        <v>113</v>
      </c>
      <c r="E138" s="80" t="str">
        <f>'REGIÃO 13 - RESUMO'!F44</f>
        <v>Maio</v>
      </c>
      <c r="F138" s="82">
        <f>'REGIÃO 13 - RESUMO'!H44</f>
        <v>252</v>
      </c>
      <c r="G138" s="335" t="str">
        <f>'REGIÃO 13 - RESUMO'!I44</f>
        <v>RODOVIA TO-050 - TRECHO ENTR. BR-010 (POVOADO PRÍNCIPE) - CONCEIÇÃO DO TOCANTINS</v>
      </c>
      <c r="H138" s="80" t="str">
        <f>'REGIÃO 13 - RESUMO'!J44</f>
        <v xml:space="preserve"> Roçada / Caiação de EDS e pontes</v>
      </c>
      <c r="I138" s="335">
        <f>'REGIÃO 13 - RESUMO'!K44</f>
        <v>20572.21</v>
      </c>
      <c r="J138" s="335">
        <f>'REGIÃO 13 - HISTÓRICO'!F44</f>
        <v>19587.560000000001</v>
      </c>
      <c r="K138" s="335">
        <f>'REGIÃO 13 - HISTÓRICO'!G44</f>
        <v>984.64999999999782</v>
      </c>
      <c r="L138" s="335" t="str">
        <f>IF(OR('REGIÃO 13 - RESUMO'!L44="",'REGIÃO 13 - RESUMO'!L44=0),"",'REGIÃO 13 - RESUMO'!L44)</f>
        <v>Concluída</v>
      </c>
      <c r="M138" s="335">
        <f>'REGIÃO 13 - HISTÓRICO'!J44</f>
        <v>0</v>
      </c>
      <c r="N138" s="335">
        <f>'REGIÃO 13 - HISTÓRICO'!L44</f>
        <v>0</v>
      </c>
      <c r="O138" s="335">
        <f>'REGIÃO 13 - HISTÓRICO'!N44</f>
        <v>0</v>
      </c>
      <c r="P138" s="335">
        <f>'REGIÃO 13 - HISTÓRICO'!P44</f>
        <v>0</v>
      </c>
      <c r="Q138" s="335">
        <f>'REGIÃO 13 - HISTÓRICO'!R44</f>
        <v>0</v>
      </c>
      <c r="R138" s="335">
        <f>'REGIÃO 13 - HISTÓRICO'!T44</f>
        <v>19587.560000000001</v>
      </c>
      <c r="S138" s="335">
        <f>'REGIÃO 13 - HISTÓRICO'!V44</f>
        <v>0</v>
      </c>
      <c r="T138" s="335">
        <f>'REGIÃO 13 - HISTÓRICO'!X44</f>
        <v>0</v>
      </c>
      <c r="U138" s="335">
        <f>'REGIÃO 13 - HISTÓRICO'!Z44</f>
        <v>0</v>
      </c>
      <c r="V138" s="335">
        <f>'REGIÃO 13 - HISTÓRICO'!AB44</f>
        <v>0</v>
      </c>
      <c r="W138" s="335">
        <f>'REGIÃO 13 - HISTÓRICO'!AD44</f>
        <v>0</v>
      </c>
      <c r="X138" s="335">
        <f>'REGIÃO 13 - HISTÓRICO'!AF44</f>
        <v>0</v>
      </c>
      <c r="Y138" s="335"/>
      <c r="Z138" s="335"/>
      <c r="AA138" s="335" t="str">
        <f>IF($Z138="","",COUNTIFS($H$4:$H$217,$Z138,$B$4:$B$217,$Z$1))</f>
        <v/>
      </c>
      <c r="AB138" s="335" t="str">
        <f>IF($Z138="","",SUMIFS($I$4:$I$217,$H$4:$H$217,$Z138,$B$4:$B$217,$Z$1))</f>
        <v/>
      </c>
      <c r="AC138" s="335" t="str">
        <f>IF($Z138="","",$AB138-ROW()/1000000)</f>
        <v/>
      </c>
      <c r="AD138" s="335" t="str">
        <f>IFERROR(RANK($AC138,$AC$4:$AC$217),"")</f>
        <v/>
      </c>
      <c r="AE138" s="335"/>
      <c r="AF138" s="335" t="str">
        <f>$B138</f>
        <v>R13</v>
      </c>
      <c r="AG138" s="335" t="str">
        <f>$C138&amp;"."&amp;TEXT($D138,"0000")</f>
        <v>051.2024.0113</v>
      </c>
      <c r="AH138" s="335">
        <f>IF($B138="",-1,IF(OR($Z$1="?*",$B138=$Z$1),$I138,-1))</f>
        <v>-1</v>
      </c>
      <c r="AI138" s="335" t="str">
        <f>IF($AH138&lt;0,"",$AH138-ROW()/1000000)</f>
        <v/>
      </c>
      <c r="AJ138" s="335" t="str">
        <f>IFERROR(RANK($AI138,$AI$4:$AI$217),"")</f>
        <v/>
      </c>
    </row>
    <row r="139" spans="2:36" x14ac:dyDescent="0.3">
      <c r="B139" s="335" t="str">
        <f>IF(OR('REGIÃO 13 - RESUMO'!E45="",'REGIÃO 13 - RESUMO'!E45=0),"",'REGIÃO 13 - RESUMO'!C45)</f>
        <v>R13</v>
      </c>
      <c r="C139" s="335" t="str">
        <f>'REGIÃO 13 - RESUMO'!D45</f>
        <v>051.2024</v>
      </c>
      <c r="D139" s="81">
        <f>'REGIÃO 13 - RESUMO'!E45</f>
        <v>114</v>
      </c>
      <c r="E139" s="80" t="str">
        <f>'REGIÃO 13 - RESUMO'!F45</f>
        <v>Maio</v>
      </c>
      <c r="F139" s="82">
        <f>'REGIÃO 13 - RESUMO'!H45</f>
        <v>251</v>
      </c>
      <c r="G139" s="335" t="str">
        <f>'REGIÃO 13 - RESUMO'!I45</f>
        <v>RODOVIA TO-050 - TRECHO CONCEIÇÃO DO TOCANTINS - ARRAIAS</v>
      </c>
      <c r="H139" s="80" t="str">
        <f>'REGIÃO 13 - RESUMO'!J45</f>
        <v xml:space="preserve"> Roçada / Caiação de EDS e pontes</v>
      </c>
      <c r="I139" s="335">
        <f>'REGIÃO 13 - RESUMO'!K45</f>
        <v>47211.18</v>
      </c>
      <c r="J139" s="335">
        <f>'REGIÃO 13 - HISTÓRICO'!F45</f>
        <v>45257.29</v>
      </c>
      <c r="K139" s="335">
        <f>'REGIÃO 13 - HISTÓRICO'!G45</f>
        <v>1953.8899999999994</v>
      </c>
      <c r="L139" s="335" t="str">
        <f>IF(OR('REGIÃO 13 - RESUMO'!L45="",'REGIÃO 13 - RESUMO'!L45=0),"",'REGIÃO 13 - RESUMO'!L45)</f>
        <v>Concluída</v>
      </c>
      <c r="M139" s="335">
        <f>'REGIÃO 13 - HISTÓRICO'!J45</f>
        <v>0</v>
      </c>
      <c r="N139" s="335">
        <f>'REGIÃO 13 - HISTÓRICO'!L45</f>
        <v>0</v>
      </c>
      <c r="O139" s="335">
        <f>'REGIÃO 13 - HISTÓRICO'!N45</f>
        <v>0</v>
      </c>
      <c r="P139" s="335">
        <f>'REGIÃO 13 - HISTÓRICO'!P45</f>
        <v>0</v>
      </c>
      <c r="Q139" s="335">
        <f>'REGIÃO 13 - HISTÓRICO'!R45</f>
        <v>45257.29</v>
      </c>
      <c r="R139" s="335">
        <f>'REGIÃO 13 - HISTÓRICO'!T45</f>
        <v>0</v>
      </c>
      <c r="S139" s="335">
        <f>'REGIÃO 13 - HISTÓRICO'!V45</f>
        <v>0</v>
      </c>
      <c r="T139" s="335">
        <f>'REGIÃO 13 - HISTÓRICO'!X45</f>
        <v>0</v>
      </c>
      <c r="U139" s="335">
        <f>'REGIÃO 13 - HISTÓRICO'!Z45</f>
        <v>0</v>
      </c>
      <c r="V139" s="335">
        <f>'REGIÃO 13 - HISTÓRICO'!AB45</f>
        <v>0</v>
      </c>
      <c r="W139" s="335">
        <f>'REGIÃO 13 - HISTÓRICO'!AD45</f>
        <v>0</v>
      </c>
      <c r="X139" s="335">
        <f>'REGIÃO 13 - HISTÓRICO'!AF45</f>
        <v>0</v>
      </c>
      <c r="Y139" s="335"/>
      <c r="Z139" s="335"/>
      <c r="AA139" s="335" t="str">
        <f>IF($Z139="","",COUNTIFS($H$4:$H$217,$Z139,$B$4:$B$217,$Z$1))</f>
        <v/>
      </c>
      <c r="AB139" s="335" t="str">
        <f>IF($Z139="","",SUMIFS($I$4:$I$217,$H$4:$H$217,$Z139,$B$4:$B$217,$Z$1))</f>
        <v/>
      </c>
      <c r="AC139" s="335" t="str">
        <f>IF($Z139="","",$AB139-ROW()/1000000)</f>
        <v/>
      </c>
      <c r="AD139" s="335" t="str">
        <f>IFERROR(RANK($AC139,$AC$4:$AC$217),"")</f>
        <v/>
      </c>
      <c r="AE139" s="335"/>
      <c r="AF139" s="335" t="str">
        <f>$B139</f>
        <v>R13</v>
      </c>
      <c r="AG139" s="335" t="str">
        <f>$C139&amp;"."&amp;TEXT($D139,"0000")</f>
        <v>051.2024.0114</v>
      </c>
      <c r="AH139" s="335">
        <f>IF($B139="",-1,IF(OR($Z$1="?*",$B139=$Z$1),$I139,-1))</f>
        <v>-1</v>
      </c>
      <c r="AI139" s="335" t="str">
        <f>IF($AH139&lt;0,"",$AH139-ROW()/1000000)</f>
        <v/>
      </c>
      <c r="AJ139" s="335" t="str">
        <f>IFERROR(RANK($AI139,$AI$4:$AI$217),"")</f>
        <v/>
      </c>
    </row>
    <row r="140" spans="2:36" x14ac:dyDescent="0.3">
      <c r="B140" s="335" t="str">
        <f>IF(OR('REGIÃO 13 - RESUMO'!E46="",'REGIÃO 13 - RESUMO'!E46=0),"",'REGIÃO 13 - RESUMO'!C46)</f>
        <v>R13</v>
      </c>
      <c r="C140" s="335" t="str">
        <f>'REGIÃO 13 - RESUMO'!D46</f>
        <v>051.2024</v>
      </c>
      <c r="D140" s="81">
        <f>'REGIÃO 13 - RESUMO'!E46</f>
        <v>115</v>
      </c>
      <c r="E140" s="80" t="str">
        <f>'REGIÃO 13 - RESUMO'!F46</f>
        <v>Maio</v>
      </c>
      <c r="F140" s="82">
        <f>'REGIÃO 13 - RESUMO'!H46</f>
        <v>254</v>
      </c>
      <c r="G140" s="335" t="str">
        <f>'REGIÃO 13 - RESUMO'!I46</f>
        <v>RODOVIA TO-110 - TRECHO COMBINADO - NOVO ALEGRE - DIVISA TO-GO</v>
      </c>
      <c r="H140" s="80" t="str">
        <f>'REGIÃO 13 - RESUMO'!J46</f>
        <v xml:space="preserve"> Roçada / Caiação de EDS e pontes</v>
      </c>
      <c r="I140" s="335">
        <f>'REGIÃO 13 - RESUMO'!K46</f>
        <v>7303.59</v>
      </c>
      <c r="J140" s="335">
        <f>'REGIÃO 13 - HISTÓRICO'!F46</f>
        <v>6957.53</v>
      </c>
      <c r="K140" s="335">
        <f>'REGIÃO 13 - HISTÓRICO'!G46</f>
        <v>346.0600000000004</v>
      </c>
      <c r="L140" s="335" t="str">
        <f>IF(OR('REGIÃO 13 - RESUMO'!L46="",'REGIÃO 13 - RESUMO'!L46=0),"",'REGIÃO 13 - RESUMO'!L46)</f>
        <v>Concluída</v>
      </c>
      <c r="M140" s="335">
        <f>'REGIÃO 13 - HISTÓRICO'!J46</f>
        <v>0</v>
      </c>
      <c r="N140" s="335">
        <f>'REGIÃO 13 - HISTÓRICO'!L46</f>
        <v>0</v>
      </c>
      <c r="O140" s="335">
        <f>'REGIÃO 13 - HISTÓRICO'!N46</f>
        <v>0</v>
      </c>
      <c r="P140" s="335">
        <f>'REGIÃO 13 - HISTÓRICO'!P46</f>
        <v>0</v>
      </c>
      <c r="Q140" s="335">
        <f>'REGIÃO 13 - HISTÓRICO'!R46</f>
        <v>6957.53</v>
      </c>
      <c r="R140" s="335">
        <f>'REGIÃO 13 - HISTÓRICO'!T46</f>
        <v>0</v>
      </c>
      <c r="S140" s="335">
        <f>'REGIÃO 13 - HISTÓRICO'!V46</f>
        <v>0</v>
      </c>
      <c r="T140" s="335">
        <f>'REGIÃO 13 - HISTÓRICO'!X46</f>
        <v>0</v>
      </c>
      <c r="U140" s="335">
        <f>'REGIÃO 13 - HISTÓRICO'!Z46</f>
        <v>0</v>
      </c>
      <c r="V140" s="335">
        <f>'REGIÃO 13 - HISTÓRICO'!AB46</f>
        <v>0</v>
      </c>
      <c r="W140" s="335">
        <f>'REGIÃO 13 - HISTÓRICO'!AD46</f>
        <v>0</v>
      </c>
      <c r="X140" s="335">
        <f>'REGIÃO 13 - HISTÓRICO'!AF46</f>
        <v>0</v>
      </c>
      <c r="Y140" s="335"/>
      <c r="Z140" s="335"/>
      <c r="AA140" s="335" t="str">
        <f>IF($Z140="","",COUNTIFS($H$4:$H$217,$Z140,$B$4:$B$217,$Z$1))</f>
        <v/>
      </c>
      <c r="AB140" s="335" t="str">
        <f>IF($Z140="","",SUMIFS($I$4:$I$217,$H$4:$H$217,$Z140,$B$4:$B$217,$Z$1))</f>
        <v/>
      </c>
      <c r="AC140" s="335" t="str">
        <f>IF($Z140="","",$AB140-ROW()/1000000)</f>
        <v/>
      </c>
      <c r="AD140" s="335" t="str">
        <f>IFERROR(RANK($AC140,$AC$4:$AC$217),"")</f>
        <v/>
      </c>
      <c r="AE140" s="335"/>
      <c r="AF140" s="335" t="str">
        <f>$B140</f>
        <v>R13</v>
      </c>
      <c r="AG140" s="335" t="str">
        <f>$C140&amp;"."&amp;TEXT($D140,"0000")</f>
        <v>051.2024.0115</v>
      </c>
      <c r="AH140" s="335">
        <f>IF($B140="",-1,IF(OR($Z$1="?*",$B140=$Z$1),$I140,-1))</f>
        <v>-1</v>
      </c>
      <c r="AI140" s="335" t="str">
        <f>IF($AH140&lt;0,"",$AH140-ROW()/1000000)</f>
        <v/>
      </c>
      <c r="AJ140" s="335" t="str">
        <f>IFERROR(RANK($AI140,$AI$4:$AI$217),"")</f>
        <v/>
      </c>
    </row>
    <row r="141" spans="2:36" x14ac:dyDescent="0.3">
      <c r="B141" s="335" t="str">
        <f>IF(OR('REGIÃO 13 - RESUMO'!E47="",'REGIÃO 13 - RESUMO'!E47=0),"",'REGIÃO 13 - RESUMO'!C47)</f>
        <v>R13</v>
      </c>
      <c r="C141" s="335" t="str">
        <f>'REGIÃO 13 - RESUMO'!D47</f>
        <v>051.2024</v>
      </c>
      <c r="D141" s="81">
        <f>'REGIÃO 13 - RESUMO'!E47</f>
        <v>116</v>
      </c>
      <c r="E141" s="80" t="str">
        <f>'REGIÃO 13 - RESUMO'!F47</f>
        <v>Maio</v>
      </c>
      <c r="F141" s="82">
        <f>'REGIÃO 13 - RESUMO'!H47</f>
        <v>257</v>
      </c>
      <c r="G141" s="335" t="str">
        <f>'REGIÃO 13 - RESUMO'!I47</f>
        <v>RODOVIA TO-110 - TRECHO LAVANDEIRA - COMBINADO</v>
      </c>
      <c r="H141" s="80" t="str">
        <f>'REGIÃO 13 - RESUMO'!J47</f>
        <v xml:space="preserve"> Roçada / Caiação de EDS e pontes</v>
      </c>
      <c r="I141" s="335">
        <f>'REGIÃO 13 - RESUMO'!K47</f>
        <v>2939.67</v>
      </c>
      <c r="J141" s="335">
        <f>'REGIÃO 13 - HISTÓRICO'!F47</f>
        <v>2370.5</v>
      </c>
      <c r="K141" s="335">
        <f>'REGIÃO 13 - HISTÓRICO'!G47</f>
        <v>569.17000000000007</v>
      </c>
      <c r="L141" s="335" t="str">
        <f>IF(OR('REGIÃO 13 - RESUMO'!L47="",'REGIÃO 13 - RESUMO'!L47=0),"",'REGIÃO 13 - RESUMO'!L47)</f>
        <v>Concluída</v>
      </c>
      <c r="M141" s="335">
        <f>'REGIÃO 13 - HISTÓRICO'!J47</f>
        <v>0</v>
      </c>
      <c r="N141" s="335">
        <f>'REGIÃO 13 - HISTÓRICO'!L47</f>
        <v>0</v>
      </c>
      <c r="O141" s="335">
        <f>'REGIÃO 13 - HISTÓRICO'!N47</f>
        <v>0</v>
      </c>
      <c r="P141" s="335">
        <f>'REGIÃO 13 - HISTÓRICO'!P47</f>
        <v>0</v>
      </c>
      <c r="Q141" s="335">
        <f>'REGIÃO 13 - HISTÓRICO'!R47</f>
        <v>2370.5</v>
      </c>
      <c r="R141" s="335">
        <f>'REGIÃO 13 - HISTÓRICO'!T47</f>
        <v>0</v>
      </c>
      <c r="S141" s="335">
        <f>'REGIÃO 13 - HISTÓRICO'!V47</f>
        <v>0</v>
      </c>
      <c r="T141" s="335">
        <f>'REGIÃO 13 - HISTÓRICO'!X47</f>
        <v>0</v>
      </c>
      <c r="U141" s="335">
        <f>'REGIÃO 13 - HISTÓRICO'!Z47</f>
        <v>0</v>
      </c>
      <c r="V141" s="335">
        <f>'REGIÃO 13 - HISTÓRICO'!AB47</f>
        <v>0</v>
      </c>
      <c r="W141" s="335">
        <f>'REGIÃO 13 - HISTÓRICO'!AD47</f>
        <v>0</v>
      </c>
      <c r="X141" s="335">
        <f>'REGIÃO 13 - HISTÓRICO'!AF47</f>
        <v>0</v>
      </c>
      <c r="Y141" s="335"/>
      <c r="Z141" s="335"/>
      <c r="AA141" s="335" t="str">
        <f>IF($Z141="","",COUNTIFS($H$4:$H$217,$Z141,$B$4:$B$217,$Z$1))</f>
        <v/>
      </c>
      <c r="AB141" s="335" t="str">
        <f>IF($Z141="","",SUMIFS($I$4:$I$217,$H$4:$H$217,$Z141,$B$4:$B$217,$Z$1))</f>
        <v/>
      </c>
      <c r="AC141" s="335" t="str">
        <f>IF($Z141="","",$AB141-ROW()/1000000)</f>
        <v/>
      </c>
      <c r="AD141" s="335" t="str">
        <f>IFERROR(RANK($AC141,$AC$4:$AC$217),"")</f>
        <v/>
      </c>
      <c r="AE141" s="335"/>
      <c r="AF141" s="335" t="str">
        <f>$B141</f>
        <v>R13</v>
      </c>
      <c r="AG141" s="335" t="str">
        <f>$C141&amp;"."&amp;TEXT($D141,"0000")</f>
        <v>051.2024.0116</v>
      </c>
      <c r="AH141" s="335">
        <f>IF($B141="",-1,IF(OR($Z$1="?*",$B141=$Z$1),$I141,-1))</f>
        <v>-1</v>
      </c>
      <c r="AI141" s="335" t="str">
        <f>IF($AH141&lt;0,"",$AH141-ROW()/1000000)</f>
        <v/>
      </c>
      <c r="AJ141" s="335" t="str">
        <f>IFERROR(RANK($AI141,$AI$4:$AI$217),"")</f>
        <v/>
      </c>
    </row>
    <row r="142" spans="2:36" x14ac:dyDescent="0.3">
      <c r="B142" s="335" t="str">
        <f>IF(OR('REGIÃO 13 - RESUMO'!E48="",'REGIÃO 13 - RESUMO'!E48=0),"",'REGIÃO 13 - RESUMO'!C48)</f>
        <v>R13</v>
      </c>
      <c r="C142" s="335" t="str">
        <f>'REGIÃO 13 - RESUMO'!D48</f>
        <v>051.2024</v>
      </c>
      <c r="D142" s="81">
        <f>'REGIÃO 13 - RESUMO'!E48</f>
        <v>117</v>
      </c>
      <c r="E142" s="80" t="str">
        <f>'REGIÃO 13 - RESUMO'!F48</f>
        <v>Maio</v>
      </c>
      <c r="F142" s="82">
        <f>'REGIÃO 13 - RESUMO'!H48</f>
        <v>249</v>
      </c>
      <c r="G142" s="335" t="str">
        <f>'REGIÃO 13 - RESUMO'!I48</f>
        <v>RODOVIA TO-040 - TRECHO PORTO ALEGRE DO TOCANTINS - DIANÓPOLIS</v>
      </c>
      <c r="H142" s="80" t="str">
        <f>'REGIÃO 13 - RESUMO'!J48</f>
        <v xml:space="preserve"> Roçada / Caiação de EDS e pontes</v>
      </c>
      <c r="I142" s="335">
        <f>'REGIÃO 13 - RESUMO'!K48</f>
        <v>15577.24</v>
      </c>
      <c r="J142" s="335">
        <f>'REGIÃO 13 - HISTÓRICO'!F48</f>
        <v>14924.13</v>
      </c>
      <c r="K142" s="335">
        <f>'REGIÃO 13 - HISTÓRICO'!G48</f>
        <v>653.11000000000058</v>
      </c>
      <c r="L142" s="335" t="str">
        <f>IF(OR('REGIÃO 13 - RESUMO'!L48="",'REGIÃO 13 - RESUMO'!L48=0),"",'REGIÃO 13 - RESUMO'!L48)</f>
        <v>Concluída</v>
      </c>
      <c r="M142" s="335">
        <f>'REGIÃO 13 - HISTÓRICO'!J48</f>
        <v>0</v>
      </c>
      <c r="N142" s="335">
        <f>'REGIÃO 13 - HISTÓRICO'!L48</f>
        <v>0</v>
      </c>
      <c r="O142" s="335">
        <f>'REGIÃO 13 - HISTÓRICO'!N48</f>
        <v>0</v>
      </c>
      <c r="P142" s="335">
        <f>'REGIÃO 13 - HISTÓRICO'!P48</f>
        <v>0</v>
      </c>
      <c r="Q142" s="335">
        <f>'REGIÃO 13 - HISTÓRICO'!R48</f>
        <v>2370.5</v>
      </c>
      <c r="R142" s="335">
        <f>'REGIÃO 13 - HISTÓRICO'!T48</f>
        <v>12553.63</v>
      </c>
      <c r="S142" s="335">
        <f>'REGIÃO 13 - HISTÓRICO'!V48</f>
        <v>0</v>
      </c>
      <c r="T142" s="335">
        <f>'REGIÃO 13 - HISTÓRICO'!X48</f>
        <v>0</v>
      </c>
      <c r="U142" s="335">
        <f>'REGIÃO 13 - HISTÓRICO'!Z48</f>
        <v>0</v>
      </c>
      <c r="V142" s="335">
        <f>'REGIÃO 13 - HISTÓRICO'!AB48</f>
        <v>0</v>
      </c>
      <c r="W142" s="335">
        <f>'REGIÃO 13 - HISTÓRICO'!AD48</f>
        <v>0</v>
      </c>
      <c r="X142" s="335">
        <f>'REGIÃO 13 - HISTÓRICO'!AF48</f>
        <v>0</v>
      </c>
      <c r="Y142" s="335"/>
      <c r="Z142" s="335"/>
      <c r="AA142" s="335" t="str">
        <f>IF($Z142="","",COUNTIFS($H$4:$H$217,$Z142,$B$4:$B$217,$Z$1))</f>
        <v/>
      </c>
      <c r="AB142" s="335" t="str">
        <f>IF($Z142="","",SUMIFS($I$4:$I$217,$H$4:$H$217,$Z142,$B$4:$B$217,$Z$1))</f>
        <v/>
      </c>
      <c r="AC142" s="335" t="str">
        <f>IF($Z142="","",$AB142-ROW()/1000000)</f>
        <v/>
      </c>
      <c r="AD142" s="335" t="str">
        <f>IFERROR(RANK($AC142,$AC$4:$AC$217),"")</f>
        <v/>
      </c>
      <c r="AE142" s="335"/>
      <c r="AF142" s="335" t="str">
        <f>$B142</f>
        <v>R13</v>
      </c>
      <c r="AG142" s="335" t="str">
        <f>$C142&amp;"."&amp;TEXT($D142,"0000")</f>
        <v>051.2024.0117</v>
      </c>
      <c r="AH142" s="335">
        <f>IF($B142="",-1,IF(OR($Z$1="?*",$B142=$Z$1),$I142,-1))</f>
        <v>-1</v>
      </c>
      <c r="AI142" s="335" t="str">
        <f>IF($AH142&lt;0,"",$AH142-ROW()/1000000)</f>
        <v/>
      </c>
      <c r="AJ142" s="335" t="str">
        <f>IFERROR(RANK($AI142,$AI$4:$AI$217),"")</f>
        <v/>
      </c>
    </row>
    <row r="143" spans="2:36" x14ac:dyDescent="0.3">
      <c r="B143" s="335" t="str">
        <f>IF(OR('REGIÃO 13 - RESUMO'!E49="",'REGIÃO 13 - RESUMO'!E49=0),"",'REGIÃO 13 - RESUMO'!C49)</f>
        <v>R13</v>
      </c>
      <c r="C143" s="335" t="str">
        <f>'REGIÃO 13 - RESUMO'!D49</f>
        <v>051.2024</v>
      </c>
      <c r="D143" s="81">
        <f>'REGIÃO 13 - RESUMO'!E49</f>
        <v>118</v>
      </c>
      <c r="E143" s="80" t="str">
        <f>'REGIÃO 13 - RESUMO'!F49</f>
        <v>Maio</v>
      </c>
      <c r="F143" s="82">
        <f>'REGIÃO 13 - RESUMO'!H49</f>
        <v>246</v>
      </c>
      <c r="G143" s="335" t="str">
        <f>'REGIÃO 13 - RESUMO'!I49</f>
        <v>RODOVIA TO-040 - TRECHO ALMAS - PORTO ALEGRE DO TOCANTINS</v>
      </c>
      <c r="H143" s="80" t="str">
        <f>'REGIÃO 13 - RESUMO'!J49</f>
        <v>Roçada / Tapa-Buraco PMF</v>
      </c>
      <c r="I143" s="335">
        <f>'REGIÃO 13 - RESUMO'!K49</f>
        <v>59112.09</v>
      </c>
      <c r="J143" s="335">
        <f>'REGIÃO 13 - HISTÓRICO'!F49</f>
        <v>58503.100000000006</v>
      </c>
      <c r="K143" s="335">
        <f>'REGIÃO 13 - HISTÓRICO'!G49</f>
        <v>608.98999999999069</v>
      </c>
      <c r="L143" s="335" t="str">
        <f>IF(OR('REGIÃO 13 - RESUMO'!L49="",'REGIÃO 13 - RESUMO'!L49=0),"",'REGIÃO 13 - RESUMO'!L49)</f>
        <v>Concluída</v>
      </c>
      <c r="M143" s="335">
        <f>'REGIÃO 13 - HISTÓRICO'!J49</f>
        <v>0</v>
      </c>
      <c r="N143" s="335">
        <f>'REGIÃO 13 - HISTÓRICO'!L49</f>
        <v>0</v>
      </c>
      <c r="O143" s="335">
        <f>'REGIÃO 13 - HISTÓRICO'!N49</f>
        <v>0</v>
      </c>
      <c r="P143" s="335">
        <f>'REGIÃO 13 - HISTÓRICO'!P49</f>
        <v>0</v>
      </c>
      <c r="Q143" s="335">
        <f>'REGIÃO 13 - HISTÓRICO'!R49</f>
        <v>4292.0200000000004</v>
      </c>
      <c r="R143" s="335">
        <f>'REGIÃO 13 - HISTÓRICO'!T49</f>
        <v>54211.08</v>
      </c>
      <c r="S143" s="335">
        <f>'REGIÃO 13 - HISTÓRICO'!V49</f>
        <v>0</v>
      </c>
      <c r="T143" s="335">
        <f>'REGIÃO 13 - HISTÓRICO'!X49</f>
        <v>0</v>
      </c>
      <c r="U143" s="335">
        <f>'REGIÃO 13 - HISTÓRICO'!Z49</f>
        <v>0</v>
      </c>
      <c r="V143" s="335">
        <f>'REGIÃO 13 - HISTÓRICO'!AB49</f>
        <v>0</v>
      </c>
      <c r="W143" s="335">
        <f>'REGIÃO 13 - HISTÓRICO'!AD49</f>
        <v>0</v>
      </c>
      <c r="X143" s="335">
        <f>'REGIÃO 13 - HISTÓRICO'!AF49</f>
        <v>0</v>
      </c>
      <c r="Y143" s="335"/>
      <c r="Z143" s="335"/>
      <c r="AA143" s="335" t="str">
        <f>IF($Z143="","",COUNTIFS($H$4:$H$217,$Z143,$B$4:$B$217,$Z$1))</f>
        <v/>
      </c>
      <c r="AB143" s="335" t="str">
        <f>IF($Z143="","",SUMIFS($I$4:$I$217,$H$4:$H$217,$Z143,$B$4:$B$217,$Z$1))</f>
        <v/>
      </c>
      <c r="AC143" s="335" t="str">
        <f>IF($Z143="","",$AB143-ROW()/1000000)</f>
        <v/>
      </c>
      <c r="AD143" s="335" t="str">
        <f>IFERROR(RANK($AC143,$AC$4:$AC$217),"")</f>
        <v/>
      </c>
      <c r="AE143" s="335"/>
      <c r="AF143" s="335" t="str">
        <f>$B143</f>
        <v>R13</v>
      </c>
      <c r="AG143" s="335" t="str">
        <f>$C143&amp;"."&amp;TEXT($D143,"0000")</f>
        <v>051.2024.0118</v>
      </c>
      <c r="AH143" s="335">
        <f>IF($B143="",-1,IF(OR($Z$1="?*",$B143=$Z$1),$I143,-1))</f>
        <v>-1</v>
      </c>
      <c r="AI143" s="335" t="str">
        <f>IF($AH143&lt;0,"",$AH143-ROW()/1000000)</f>
        <v/>
      </c>
      <c r="AJ143" s="335" t="str">
        <f>IFERROR(RANK($AI143,$AI$4:$AI$217),"")</f>
        <v/>
      </c>
    </row>
    <row r="144" spans="2:36" x14ac:dyDescent="0.3">
      <c r="B144" s="335" t="str">
        <f>IF(OR('REGIÃO 13 - RESUMO'!E50="",'REGIÃO 13 - RESUMO'!E50=0),"",'REGIÃO 13 - RESUMO'!C50)</f>
        <v>R13</v>
      </c>
      <c r="C144" s="335" t="str">
        <f>'REGIÃO 13 - RESUMO'!D50</f>
        <v>051.2024</v>
      </c>
      <c r="D144" s="81">
        <f>'REGIÃO 13 - RESUMO'!E50</f>
        <v>119</v>
      </c>
      <c r="E144" s="80" t="str">
        <f>'REGIÃO 13 - RESUMO'!F50</f>
        <v>Maio</v>
      </c>
      <c r="F144" s="82">
        <f>'REGIÃO 13 - RESUMO'!H50</f>
        <v>247</v>
      </c>
      <c r="G144" s="335" t="str">
        <f>'REGIÃO 13 - RESUMO'!I50</f>
        <v>RODOVIA TO-040 - TRECHO DIANÓPOLIS - NOVO JARDIM</v>
      </c>
      <c r="H144" s="80" t="str">
        <f>'REGIÃO 13 - RESUMO'!J50</f>
        <v>Tapa-Buraco PMF / Remendo Profundo</v>
      </c>
      <c r="I144" s="335">
        <f>'REGIÃO 13 - RESUMO'!K50</f>
        <v>175856.52</v>
      </c>
      <c r="J144" s="335">
        <f>'REGIÃO 13 - HISTÓRICO'!F50</f>
        <v>163530.84</v>
      </c>
      <c r="K144" s="335">
        <f>'REGIÃO 13 - HISTÓRICO'!G50</f>
        <v>12325.679999999993</v>
      </c>
      <c r="L144" s="335" t="str">
        <f>IF(OR('REGIÃO 13 - RESUMO'!L50="",'REGIÃO 13 - RESUMO'!L50=0),"",'REGIÃO 13 - RESUMO'!L50)</f>
        <v>Concluída</v>
      </c>
      <c r="M144" s="335">
        <f>'REGIÃO 13 - HISTÓRICO'!J50</f>
        <v>0</v>
      </c>
      <c r="N144" s="335">
        <f>'REGIÃO 13 - HISTÓRICO'!L50</f>
        <v>0</v>
      </c>
      <c r="O144" s="335">
        <f>'REGIÃO 13 - HISTÓRICO'!N50</f>
        <v>0</v>
      </c>
      <c r="P144" s="335">
        <f>'REGIÃO 13 - HISTÓRICO'!P50</f>
        <v>0</v>
      </c>
      <c r="Q144" s="335">
        <f>'REGIÃO 13 - HISTÓRICO'!R50</f>
        <v>163530.84</v>
      </c>
      <c r="R144" s="335">
        <f>'REGIÃO 13 - HISTÓRICO'!T50</f>
        <v>0</v>
      </c>
      <c r="S144" s="335">
        <f>'REGIÃO 13 - HISTÓRICO'!V50</f>
        <v>0</v>
      </c>
      <c r="T144" s="335">
        <f>'REGIÃO 13 - HISTÓRICO'!X50</f>
        <v>0</v>
      </c>
      <c r="U144" s="335">
        <f>'REGIÃO 13 - HISTÓRICO'!Z50</f>
        <v>0</v>
      </c>
      <c r="V144" s="335">
        <f>'REGIÃO 13 - HISTÓRICO'!AB50</f>
        <v>0</v>
      </c>
      <c r="W144" s="335">
        <f>'REGIÃO 13 - HISTÓRICO'!AD50</f>
        <v>0</v>
      </c>
      <c r="X144" s="335">
        <f>'REGIÃO 13 - HISTÓRICO'!AF50</f>
        <v>0</v>
      </c>
      <c r="Y144" s="335"/>
      <c r="Z144" s="335"/>
      <c r="AA144" s="335" t="str">
        <f>IF($Z144="","",COUNTIFS($H$4:$H$217,$Z144,$B$4:$B$217,$Z$1))</f>
        <v/>
      </c>
      <c r="AB144" s="335" t="str">
        <f>IF($Z144="","",SUMIFS($I$4:$I$217,$H$4:$H$217,$Z144,$B$4:$B$217,$Z$1))</f>
        <v/>
      </c>
      <c r="AC144" s="335" t="str">
        <f>IF($Z144="","",$AB144-ROW()/1000000)</f>
        <v/>
      </c>
      <c r="AD144" s="335" t="str">
        <f>IFERROR(RANK($AC144,$AC$4:$AC$217),"")</f>
        <v/>
      </c>
      <c r="AE144" s="335"/>
      <c r="AF144" s="335" t="str">
        <f>$B144</f>
        <v>R13</v>
      </c>
      <c r="AG144" s="335" t="str">
        <f>$C144&amp;"."&amp;TEXT($D144,"0000")</f>
        <v>051.2024.0119</v>
      </c>
      <c r="AH144" s="335">
        <f>IF($B144="",-1,IF(OR($Z$1="?*",$B144=$Z$1),$I144,-1))</f>
        <v>-1</v>
      </c>
      <c r="AI144" s="335" t="str">
        <f>IF($AH144&lt;0,"",$AH144-ROW()/1000000)</f>
        <v/>
      </c>
      <c r="AJ144" s="335" t="str">
        <f>IFERROR(RANK($AI144,$AI$4:$AI$217),"")</f>
        <v/>
      </c>
    </row>
    <row r="145" spans="2:36" x14ac:dyDescent="0.3">
      <c r="B145" s="335" t="str">
        <f>IF(OR('REGIÃO 13 - RESUMO'!E51="",'REGIÃO 13 - RESUMO'!E51=0),"",'REGIÃO 13 - RESUMO'!C51)</f>
        <v>R13</v>
      </c>
      <c r="C145" s="335" t="str">
        <f>'REGIÃO 13 - RESUMO'!D51</f>
        <v>051.2024</v>
      </c>
      <c r="D145" s="81">
        <f>'REGIÃO 13 - RESUMO'!E51</f>
        <v>120</v>
      </c>
      <c r="E145" s="80" t="str">
        <f>'REGIÃO 13 - RESUMO'!F51</f>
        <v>Junho</v>
      </c>
      <c r="F145" s="82">
        <f>'REGIÃO 13 - RESUMO'!H51</f>
        <v>251</v>
      </c>
      <c r="G145" s="335" t="str">
        <f>'REGIÃO 13 - RESUMO'!I51</f>
        <v>RODOVIA TO-050 - TRECHO CONCEIÇÃO DO TOCANTINS - ARRAIAS</v>
      </c>
      <c r="H145" s="80" t="str">
        <f>'REGIÃO 13 - RESUMO'!J51</f>
        <v>Tapa-Buraco PMF / Recomposição manual de aterro / Enrocamento de pedra jogada / Reparo EDS / Caiação de EDS e pontes</v>
      </c>
      <c r="I145" s="335">
        <f>'REGIÃO 13 - RESUMO'!K51</f>
        <v>87575.96</v>
      </c>
      <c r="J145" s="335">
        <f>'REGIÃO 13 - HISTÓRICO'!F51</f>
        <v>87213.71</v>
      </c>
      <c r="K145" s="335">
        <f>'REGIÃO 13 - HISTÓRICO'!G51</f>
        <v>362.25</v>
      </c>
      <c r="L145" s="335" t="str">
        <f>IF(OR('REGIÃO 13 - RESUMO'!L51="",'REGIÃO 13 - RESUMO'!L51=0),"",'REGIÃO 13 - RESUMO'!L51)</f>
        <v>Concluída</v>
      </c>
      <c r="M145" s="335">
        <f>'REGIÃO 13 - HISTÓRICO'!J51</f>
        <v>0</v>
      </c>
      <c r="N145" s="335">
        <f>'REGIÃO 13 - HISTÓRICO'!L51</f>
        <v>0</v>
      </c>
      <c r="O145" s="335">
        <f>'REGIÃO 13 - HISTÓRICO'!N51</f>
        <v>0</v>
      </c>
      <c r="P145" s="335">
        <f>'REGIÃO 13 - HISTÓRICO'!P51</f>
        <v>0</v>
      </c>
      <c r="Q145" s="335">
        <f>'REGIÃO 13 - HISTÓRICO'!R51</f>
        <v>0</v>
      </c>
      <c r="R145" s="335">
        <f>'REGIÃO 13 - HISTÓRICO'!T51</f>
        <v>87213.71</v>
      </c>
      <c r="S145" s="335">
        <f>'REGIÃO 13 - HISTÓRICO'!V51</f>
        <v>0</v>
      </c>
      <c r="T145" s="335">
        <f>'REGIÃO 13 - HISTÓRICO'!X51</f>
        <v>0</v>
      </c>
      <c r="U145" s="335">
        <f>'REGIÃO 13 - HISTÓRICO'!Z51</f>
        <v>0</v>
      </c>
      <c r="V145" s="335">
        <f>'REGIÃO 13 - HISTÓRICO'!AB51</f>
        <v>0</v>
      </c>
      <c r="W145" s="335">
        <f>'REGIÃO 13 - HISTÓRICO'!AD51</f>
        <v>0</v>
      </c>
      <c r="X145" s="335">
        <f>'REGIÃO 13 - HISTÓRICO'!AF51</f>
        <v>0</v>
      </c>
      <c r="Y145" s="335"/>
      <c r="Z145" s="335"/>
      <c r="AA145" s="335" t="str">
        <f>IF($Z145="","",COUNTIFS($H$4:$H$217,$Z145,$B$4:$B$217,$Z$1))</f>
        <v/>
      </c>
      <c r="AB145" s="335" t="str">
        <f>IF($Z145="","",SUMIFS($I$4:$I$217,$H$4:$H$217,$Z145,$B$4:$B$217,$Z$1))</f>
        <v/>
      </c>
      <c r="AC145" s="335" t="str">
        <f>IF($Z145="","",$AB145-ROW()/1000000)</f>
        <v/>
      </c>
      <c r="AD145" s="335" t="str">
        <f>IFERROR(RANK($AC145,$AC$4:$AC$217),"")</f>
        <v/>
      </c>
      <c r="AE145" s="335"/>
      <c r="AF145" s="335" t="str">
        <f>$B145</f>
        <v>R13</v>
      </c>
      <c r="AG145" s="335" t="str">
        <f>$C145&amp;"."&amp;TEXT($D145,"0000")</f>
        <v>051.2024.0120</v>
      </c>
      <c r="AH145" s="335">
        <f>IF($B145="",-1,IF(OR($Z$1="?*",$B145=$Z$1),$I145,-1))</f>
        <v>-1</v>
      </c>
      <c r="AI145" s="335" t="str">
        <f>IF($AH145&lt;0,"",$AH145-ROW()/1000000)</f>
        <v/>
      </c>
      <c r="AJ145" s="335" t="str">
        <f>IFERROR(RANK($AI145,$AI$4:$AI$217),"")</f>
        <v/>
      </c>
    </row>
    <row r="146" spans="2:36" x14ac:dyDescent="0.3">
      <c r="B146" s="335" t="str">
        <f>IF(OR('REGIÃO 13 - RESUMO'!E52="",'REGIÃO 13 - RESUMO'!E52=0),"",'REGIÃO 13 - RESUMO'!C52)</f>
        <v>R13</v>
      </c>
      <c r="C146" s="335" t="str">
        <f>'REGIÃO 13 - RESUMO'!D52</f>
        <v>051.2024</v>
      </c>
      <c r="D146" s="81">
        <f>'REGIÃO 13 - RESUMO'!E52</f>
        <v>121</v>
      </c>
      <c r="E146" s="80" t="str">
        <f>'REGIÃO 13 - RESUMO'!F52</f>
        <v>Maio</v>
      </c>
      <c r="F146" s="82">
        <f>'REGIÃO 13 - RESUMO'!H52</f>
        <v>266</v>
      </c>
      <c r="G146" s="335" t="str">
        <f>'REGIÃO 13 - RESUMO'!I52</f>
        <v>RODOVIA TO-476 - TRECHO RIO DA CONCEIÇÃO - DIANÓPOLIS</v>
      </c>
      <c r="H146" s="80" t="str">
        <f>'REGIÃO 13 - RESUMO'!J52</f>
        <v>Roçada / Tapa-Buraco PMF / Recomposição manual de aterro / Enrocamento de pedra arrumada / Reparo EDS / Caiação de EDS e pontes</v>
      </c>
      <c r="I146" s="335">
        <f>'REGIÃO 13 - RESUMO'!K52</f>
        <v>100565.04</v>
      </c>
      <c r="J146" s="335">
        <f>'REGIÃO 13 - HISTÓRICO'!F52</f>
        <v>99435.97</v>
      </c>
      <c r="K146" s="335">
        <f>'REGIÃO 13 - HISTÓRICO'!G52</f>
        <v>1129.0699999999924</v>
      </c>
      <c r="L146" s="335" t="str">
        <f>IF(OR('REGIÃO 13 - RESUMO'!L52="",'REGIÃO 13 - RESUMO'!L52=0),"",'REGIÃO 13 - RESUMO'!L52)</f>
        <v>Concluída</v>
      </c>
      <c r="M146" s="335">
        <f>'REGIÃO 13 - HISTÓRICO'!J52</f>
        <v>0</v>
      </c>
      <c r="N146" s="335">
        <f>'REGIÃO 13 - HISTÓRICO'!L52</f>
        <v>0</v>
      </c>
      <c r="O146" s="335">
        <f>'REGIÃO 13 - HISTÓRICO'!N52</f>
        <v>0</v>
      </c>
      <c r="P146" s="335">
        <f>'REGIÃO 13 - HISTÓRICO'!P52</f>
        <v>0</v>
      </c>
      <c r="Q146" s="335">
        <f>'REGIÃO 13 - HISTÓRICO'!R52</f>
        <v>79531.509999999995</v>
      </c>
      <c r="R146" s="335">
        <f>'REGIÃO 13 - HISTÓRICO'!T52</f>
        <v>19904.46</v>
      </c>
      <c r="S146" s="335">
        <f>'REGIÃO 13 - HISTÓRICO'!V52</f>
        <v>0</v>
      </c>
      <c r="T146" s="335">
        <f>'REGIÃO 13 - HISTÓRICO'!X52</f>
        <v>0</v>
      </c>
      <c r="U146" s="335">
        <f>'REGIÃO 13 - HISTÓRICO'!Z52</f>
        <v>0</v>
      </c>
      <c r="V146" s="335">
        <f>'REGIÃO 13 - HISTÓRICO'!AB52</f>
        <v>0</v>
      </c>
      <c r="W146" s="335">
        <f>'REGIÃO 13 - HISTÓRICO'!AD52</f>
        <v>0</v>
      </c>
      <c r="X146" s="335">
        <f>'REGIÃO 13 - HISTÓRICO'!AF52</f>
        <v>0</v>
      </c>
      <c r="Y146" s="335"/>
      <c r="Z146" s="335"/>
      <c r="AA146" s="335" t="str">
        <f>IF($Z146="","",COUNTIFS($H$4:$H$217,$Z146,$B$4:$B$217,$Z$1))</f>
        <v/>
      </c>
      <c r="AB146" s="335" t="str">
        <f>IF($Z146="","",SUMIFS($I$4:$I$217,$H$4:$H$217,$Z146,$B$4:$B$217,$Z$1))</f>
        <v/>
      </c>
      <c r="AC146" s="335" t="str">
        <f>IF($Z146="","",$AB146-ROW()/1000000)</f>
        <v/>
      </c>
      <c r="AD146" s="335" t="str">
        <f>IFERROR(RANK($AC146,$AC$4:$AC$217),"")</f>
        <v/>
      </c>
      <c r="AE146" s="335"/>
      <c r="AF146" s="335" t="str">
        <f>$B146</f>
        <v>R13</v>
      </c>
      <c r="AG146" s="335" t="str">
        <f>$C146&amp;"."&amp;TEXT($D146,"0000")</f>
        <v>051.2024.0121</v>
      </c>
      <c r="AH146" s="335">
        <f>IF($B146="",-1,IF(OR($Z$1="?*",$B146=$Z$1),$I146,-1))</f>
        <v>-1</v>
      </c>
      <c r="AI146" s="335" t="str">
        <f>IF($AH146&lt;0,"",$AH146-ROW()/1000000)</f>
        <v/>
      </c>
      <c r="AJ146" s="335" t="str">
        <f>IFERROR(RANK($AI146,$AI$4:$AI$217),"")</f>
        <v/>
      </c>
    </row>
    <row r="147" spans="2:36" x14ac:dyDescent="0.3">
      <c r="B147" s="335" t="str">
        <f>IF(OR('REGIÃO 13 - RESUMO'!E53="",'REGIÃO 13 - RESUMO'!E53=0),"",'REGIÃO 13 - RESUMO'!C53)</f>
        <v>R13</v>
      </c>
      <c r="C147" s="335" t="str">
        <f>'REGIÃO 13 - RESUMO'!D53</f>
        <v>051.2024</v>
      </c>
      <c r="D147" s="81">
        <f>'REGIÃO 13 - RESUMO'!E53</f>
        <v>122</v>
      </c>
      <c r="E147" s="80" t="str">
        <f>'REGIÃO 13 - RESUMO'!F53</f>
        <v>Maio</v>
      </c>
      <c r="F147" s="82">
        <f>'REGIÃO 13 - RESUMO'!H53</f>
        <v>265</v>
      </c>
      <c r="G147" s="335" t="str">
        <f>'REGIÃO 13 - RESUMO'!I53</f>
        <v>RODOVIA TO-387 - TRECHO ENTR. TO-040 - TAIPAS DO TOCANTINS</v>
      </c>
      <c r="H147" s="80" t="str">
        <f>'REGIÃO 13 - RESUMO'!J53</f>
        <v>Terraplenagem / Execução de BSTC 100 / Recomposição do revestimento primário</v>
      </c>
      <c r="I147" s="335">
        <f>'REGIÃO 13 - RESUMO'!K53</f>
        <v>1195633.1000000001</v>
      </c>
      <c r="J147" s="335">
        <f>'REGIÃO 13 - HISTÓRICO'!F53</f>
        <v>1194211.72</v>
      </c>
      <c r="K147" s="335">
        <f>'REGIÃO 13 - HISTÓRICO'!G53</f>
        <v>1421.3800000001211</v>
      </c>
      <c r="L147" s="335" t="str">
        <f>IF(OR('REGIÃO 13 - RESUMO'!L53="",'REGIÃO 13 - RESUMO'!L53=0),"",'REGIÃO 13 - RESUMO'!L53)</f>
        <v>Concluída</v>
      </c>
      <c r="M147" s="335">
        <f>'REGIÃO 13 - HISTÓRICO'!J53</f>
        <v>0</v>
      </c>
      <c r="N147" s="335">
        <f>'REGIÃO 13 - HISTÓRICO'!L53</f>
        <v>0</v>
      </c>
      <c r="O147" s="335">
        <f>'REGIÃO 13 - HISTÓRICO'!N53</f>
        <v>0</v>
      </c>
      <c r="P147" s="335">
        <f>'REGIÃO 13 - HISTÓRICO'!P53</f>
        <v>0</v>
      </c>
      <c r="Q147" s="335">
        <f>'REGIÃO 13 - HISTÓRICO'!R53</f>
        <v>432322.41</v>
      </c>
      <c r="R147" s="335">
        <f>'REGIÃO 13 - HISTÓRICO'!T53</f>
        <v>761889.31</v>
      </c>
      <c r="S147" s="335">
        <f>'REGIÃO 13 - HISTÓRICO'!V53</f>
        <v>0</v>
      </c>
      <c r="T147" s="335">
        <f>'REGIÃO 13 - HISTÓRICO'!X53</f>
        <v>0</v>
      </c>
      <c r="U147" s="335">
        <f>'REGIÃO 13 - HISTÓRICO'!Z53</f>
        <v>0</v>
      </c>
      <c r="V147" s="335">
        <f>'REGIÃO 13 - HISTÓRICO'!AB53</f>
        <v>0</v>
      </c>
      <c r="W147" s="335">
        <f>'REGIÃO 13 - HISTÓRICO'!AD53</f>
        <v>0</v>
      </c>
      <c r="X147" s="335">
        <f>'REGIÃO 13 - HISTÓRICO'!AF53</f>
        <v>0</v>
      </c>
      <c r="Y147" s="335"/>
      <c r="Z147" s="335"/>
      <c r="AA147" s="335" t="str">
        <f>IF($Z147="","",COUNTIFS($H$4:$H$217,$Z147,$B$4:$B$217,$Z$1))</f>
        <v/>
      </c>
      <c r="AB147" s="335" t="str">
        <f>IF($Z147="","",SUMIFS($I$4:$I$217,$H$4:$H$217,$Z147,$B$4:$B$217,$Z$1))</f>
        <v/>
      </c>
      <c r="AC147" s="335" t="str">
        <f>IF($Z147="","",$AB147-ROW()/1000000)</f>
        <v/>
      </c>
      <c r="AD147" s="335" t="str">
        <f>IFERROR(RANK($AC147,$AC$4:$AC$217),"")</f>
        <v/>
      </c>
      <c r="AE147" s="335"/>
      <c r="AF147" s="335" t="str">
        <f>$B147</f>
        <v>R13</v>
      </c>
      <c r="AG147" s="335" t="str">
        <f>$C147&amp;"."&amp;TEXT($D147,"0000")</f>
        <v>051.2024.0122</v>
      </c>
      <c r="AH147" s="335">
        <f>IF($B147="",-1,IF(OR($Z$1="?*",$B147=$Z$1),$I147,-1))</f>
        <v>-1</v>
      </c>
      <c r="AI147" s="335" t="str">
        <f>IF($AH147&lt;0,"",$AH147-ROW()/1000000)</f>
        <v/>
      </c>
      <c r="AJ147" s="335" t="str">
        <f>IFERROR(RANK($AI147,$AI$4:$AI$217),"")</f>
        <v/>
      </c>
    </row>
    <row r="148" spans="2:36" x14ac:dyDescent="0.3">
      <c r="B148" s="335" t="str">
        <f>IF(OR('REGIÃO 13 - RESUMO'!E54="",'REGIÃO 13 - RESUMO'!E54=0),"",'REGIÃO 13 - RESUMO'!C54)</f>
        <v>R13</v>
      </c>
      <c r="C148" s="335" t="str">
        <f>'REGIÃO 13 - RESUMO'!D54</f>
        <v>051.2024</v>
      </c>
      <c r="D148" s="81">
        <f>'REGIÃO 13 - RESUMO'!E54</f>
        <v>123</v>
      </c>
      <c r="E148" s="80" t="str">
        <f>'REGIÃO 13 - RESUMO'!F54</f>
        <v>Maio</v>
      </c>
      <c r="F148" s="82">
        <f>'REGIÃO 13 - RESUMO'!H54</f>
        <v>245</v>
      </c>
      <c r="G148" s="335" t="str">
        <f>'REGIÃO 13 - RESUMO'!I54</f>
        <v>RODOVIA TO-040 - TRECHO ENTR. TO-369 - ENTR. TO-280 (ALMAS)</v>
      </c>
      <c r="H148" s="80" t="str">
        <f>'REGIÃO 13 - RESUMO'!J54</f>
        <v>Terraplenagem / Reconformação da plataforma / Recomposição do revestimento primário</v>
      </c>
      <c r="I148" s="335">
        <f>'REGIÃO 13 - RESUMO'!K54</f>
        <v>756922.17</v>
      </c>
      <c r="J148" s="335">
        <f>'REGIÃO 13 - HISTÓRICO'!F54</f>
        <v>756239.52</v>
      </c>
      <c r="K148" s="335">
        <f>'REGIÃO 13 - HISTÓRICO'!G54</f>
        <v>682.65000000002328</v>
      </c>
      <c r="L148" s="335" t="str">
        <f>IF(OR('REGIÃO 13 - RESUMO'!L54="",'REGIÃO 13 - RESUMO'!L54=0),"",'REGIÃO 13 - RESUMO'!L54)</f>
        <v>Concluída</v>
      </c>
      <c r="M148" s="335">
        <f>'REGIÃO 13 - HISTÓRICO'!J54</f>
        <v>0</v>
      </c>
      <c r="N148" s="335">
        <f>'REGIÃO 13 - HISTÓRICO'!L54</f>
        <v>0</v>
      </c>
      <c r="O148" s="335">
        <f>'REGIÃO 13 - HISTÓRICO'!N54</f>
        <v>0</v>
      </c>
      <c r="P148" s="335">
        <f>'REGIÃO 13 - HISTÓRICO'!P54</f>
        <v>0</v>
      </c>
      <c r="Q148" s="335">
        <f>'REGIÃO 13 - HISTÓRICO'!R54</f>
        <v>0</v>
      </c>
      <c r="R148" s="335">
        <f>'REGIÃO 13 - HISTÓRICO'!T54</f>
        <v>0</v>
      </c>
      <c r="S148" s="335">
        <f>'REGIÃO 13 - HISTÓRICO'!V54</f>
        <v>756239.52</v>
      </c>
      <c r="T148" s="335">
        <f>'REGIÃO 13 - HISTÓRICO'!X54</f>
        <v>0</v>
      </c>
      <c r="U148" s="335">
        <f>'REGIÃO 13 - HISTÓRICO'!Z54</f>
        <v>0</v>
      </c>
      <c r="V148" s="335">
        <f>'REGIÃO 13 - HISTÓRICO'!AB54</f>
        <v>0</v>
      </c>
      <c r="W148" s="335">
        <f>'REGIÃO 13 - HISTÓRICO'!AD54</f>
        <v>0</v>
      </c>
      <c r="X148" s="335">
        <f>'REGIÃO 13 - HISTÓRICO'!AF54</f>
        <v>0</v>
      </c>
      <c r="Y148" s="335"/>
      <c r="Z148" s="335"/>
      <c r="AA148" s="335" t="str">
        <f>IF($Z148="","",COUNTIFS($H$4:$H$217,$Z148,$B$4:$B$217,$Z$1))</f>
        <v/>
      </c>
      <c r="AB148" s="335" t="str">
        <f>IF($Z148="","",SUMIFS($I$4:$I$217,$H$4:$H$217,$Z148,$B$4:$B$217,$Z$1))</f>
        <v/>
      </c>
      <c r="AC148" s="335" t="str">
        <f>IF($Z148="","",$AB148-ROW()/1000000)</f>
        <v/>
      </c>
      <c r="AD148" s="335" t="str">
        <f>IFERROR(RANK($AC148,$AC$4:$AC$217),"")</f>
        <v/>
      </c>
      <c r="AE148" s="335"/>
      <c r="AF148" s="335" t="str">
        <f>$B148</f>
        <v>R13</v>
      </c>
      <c r="AG148" s="335" t="str">
        <f>$C148&amp;"."&amp;TEXT($D148,"0000")</f>
        <v>051.2024.0123</v>
      </c>
      <c r="AH148" s="335">
        <f>IF($B148="",-1,IF(OR($Z$1="?*",$B148=$Z$1),$I148,-1))</f>
        <v>-1</v>
      </c>
      <c r="AI148" s="335" t="str">
        <f>IF($AH148&lt;0,"",$AH148-ROW()/1000000)</f>
        <v/>
      </c>
      <c r="AJ148" s="335" t="str">
        <f>IFERROR(RANK($AI148,$AI$4:$AI$217),"")</f>
        <v/>
      </c>
    </row>
    <row r="149" spans="2:36" x14ac:dyDescent="0.3">
      <c r="B149" s="335" t="str">
        <f>IF(OR('REGIÃO 13 - RESUMO'!E55="",'REGIÃO 13 - RESUMO'!E55=0),"",'REGIÃO 13 - RESUMO'!C55)</f>
        <v>R13</v>
      </c>
      <c r="C149" s="335" t="str">
        <f>'REGIÃO 13 - RESUMO'!D55</f>
        <v>051.2024</v>
      </c>
      <c r="D149" s="81">
        <f>'REGIÃO 13 - RESUMO'!E55</f>
        <v>124</v>
      </c>
      <c r="E149" s="80" t="str">
        <f>'REGIÃO 13 - RESUMO'!F55</f>
        <v>Junho</v>
      </c>
      <c r="F149" s="82">
        <f>'REGIÃO 13 - RESUMO'!H55</f>
        <v>247</v>
      </c>
      <c r="G149" s="335" t="str">
        <f>'REGIÃO 13 - RESUMO'!I55</f>
        <v>RODOVIA TO-040 - TRECHO DIANÓPOLIS - NOVO JARDIM</v>
      </c>
      <c r="H149" s="80" t="str">
        <f>'REGIÃO 13 - RESUMO'!J55</f>
        <v>Roçada / Tapa-Buraco PMF / Caiação de EDS e pontes</v>
      </c>
      <c r="I149" s="335">
        <f>'REGIÃO 13 - RESUMO'!K55</f>
        <v>149397.29</v>
      </c>
      <c r="J149" s="335">
        <f>'REGIÃO 13 - HISTÓRICO'!F55</f>
        <v>148347.86000000002</v>
      </c>
      <c r="K149" s="335">
        <f>'REGIÃO 13 - HISTÓRICO'!G55</f>
        <v>1049.429999999993</v>
      </c>
      <c r="L149" s="335" t="str">
        <f>IF(OR('REGIÃO 13 - RESUMO'!L55="",'REGIÃO 13 - RESUMO'!L55=0),"",'REGIÃO 13 - RESUMO'!L55)</f>
        <v>Concluída</v>
      </c>
      <c r="M149" s="335">
        <f>'REGIÃO 13 - HISTÓRICO'!J55</f>
        <v>0</v>
      </c>
      <c r="N149" s="335">
        <f>'REGIÃO 13 - HISTÓRICO'!L55</f>
        <v>0</v>
      </c>
      <c r="O149" s="335">
        <f>'REGIÃO 13 - HISTÓRICO'!N55</f>
        <v>0</v>
      </c>
      <c r="P149" s="335">
        <f>'REGIÃO 13 - HISTÓRICO'!P55</f>
        <v>0</v>
      </c>
      <c r="Q149" s="335">
        <f>'REGIÃO 13 - HISTÓRICO'!R55</f>
        <v>0</v>
      </c>
      <c r="R149" s="335">
        <f>'REGIÃO 13 - HISTÓRICO'!T55</f>
        <v>138507.51</v>
      </c>
      <c r="S149" s="335">
        <f>'REGIÃO 13 - HISTÓRICO'!V55</f>
        <v>9840.35</v>
      </c>
      <c r="T149" s="335">
        <f>'REGIÃO 13 - HISTÓRICO'!X55</f>
        <v>0</v>
      </c>
      <c r="U149" s="335">
        <f>'REGIÃO 13 - HISTÓRICO'!Z55</f>
        <v>0</v>
      </c>
      <c r="V149" s="335">
        <f>'REGIÃO 13 - HISTÓRICO'!AB55</f>
        <v>0</v>
      </c>
      <c r="W149" s="335">
        <f>'REGIÃO 13 - HISTÓRICO'!AD55</f>
        <v>0</v>
      </c>
      <c r="X149" s="335">
        <f>'REGIÃO 13 - HISTÓRICO'!AF55</f>
        <v>0</v>
      </c>
      <c r="Y149" s="335"/>
      <c r="Z149" s="335"/>
      <c r="AA149" s="335" t="str">
        <f>IF($Z149="","",COUNTIFS($H$4:$H$217,$Z149,$B$4:$B$217,$Z$1))</f>
        <v/>
      </c>
      <c r="AB149" s="335" t="str">
        <f>IF($Z149="","",SUMIFS($I$4:$I$217,$H$4:$H$217,$Z149,$B$4:$B$217,$Z$1))</f>
        <v/>
      </c>
      <c r="AC149" s="335" t="str">
        <f>IF($Z149="","",$AB149-ROW()/1000000)</f>
        <v/>
      </c>
      <c r="AD149" s="335" t="str">
        <f>IFERROR(RANK($AC149,$AC$4:$AC$217),"")</f>
        <v/>
      </c>
      <c r="AE149" s="335"/>
      <c r="AF149" s="335" t="str">
        <f>$B149</f>
        <v>R13</v>
      </c>
      <c r="AG149" s="335" t="str">
        <f>$C149&amp;"."&amp;TEXT($D149,"0000")</f>
        <v>051.2024.0124</v>
      </c>
      <c r="AH149" s="335">
        <f>IF($B149="",-1,IF(OR($Z$1="?*",$B149=$Z$1),$I149,-1))</f>
        <v>-1</v>
      </c>
      <c r="AI149" s="335" t="str">
        <f>IF($AH149&lt;0,"",$AH149-ROW()/1000000)</f>
        <v/>
      </c>
      <c r="AJ149" s="335" t="str">
        <f>IFERROR(RANK($AI149,$AI$4:$AI$217),"")</f>
        <v/>
      </c>
    </row>
    <row r="150" spans="2:36" x14ac:dyDescent="0.3">
      <c r="B150" s="335" t="str">
        <f>IF(OR('REGIÃO 13 - RESUMO'!E56="",'REGIÃO 13 - RESUMO'!E56=0),"",'REGIÃO 13 - RESUMO'!C56)</f>
        <v>R13</v>
      </c>
      <c r="C150" s="335" t="str">
        <f>'REGIÃO 13 - RESUMO'!D56</f>
        <v>051.2024</v>
      </c>
      <c r="D150" s="81">
        <f>'REGIÃO 13 - RESUMO'!E56</f>
        <v>125</v>
      </c>
      <c r="E150" s="80" t="str">
        <f>'REGIÃO 13 - RESUMO'!F56</f>
        <v>Junho</v>
      </c>
      <c r="F150" s="82">
        <f>'REGIÃO 13 - RESUMO'!H56</f>
        <v>248</v>
      </c>
      <c r="G150" s="335" t="str">
        <f>'REGIÃO 13 - RESUMO'!I56</f>
        <v>RODOVIA TO-040 - TRECHO NOVO JARDIM - DIVISA TO-BA</v>
      </c>
      <c r="H150" s="80" t="str">
        <f>'REGIÃO 13 - RESUMO'!J56</f>
        <v>Roçada / Tapa-Buraco PMF / Caiação de EDS e pontes</v>
      </c>
      <c r="I150" s="335">
        <f>'REGIÃO 13 - RESUMO'!K56</f>
        <v>107878.55</v>
      </c>
      <c r="J150" s="335">
        <f>'REGIÃO 13 - HISTÓRICO'!F56</f>
        <v>106171.62</v>
      </c>
      <c r="K150" s="335">
        <f>'REGIÃO 13 - HISTÓRICO'!G56</f>
        <v>1706.9300000000076</v>
      </c>
      <c r="L150" s="335" t="str">
        <f>IF(OR('REGIÃO 13 - RESUMO'!L56="",'REGIÃO 13 - RESUMO'!L56=0),"",'REGIÃO 13 - RESUMO'!L56)</f>
        <v>Concluída</v>
      </c>
      <c r="M150" s="335">
        <f>'REGIÃO 13 - HISTÓRICO'!J56</f>
        <v>0</v>
      </c>
      <c r="N150" s="335">
        <f>'REGIÃO 13 - HISTÓRICO'!L56</f>
        <v>0</v>
      </c>
      <c r="O150" s="335">
        <f>'REGIÃO 13 - HISTÓRICO'!N56</f>
        <v>0</v>
      </c>
      <c r="P150" s="335">
        <f>'REGIÃO 13 - HISTÓRICO'!P56</f>
        <v>0</v>
      </c>
      <c r="Q150" s="335">
        <f>'REGIÃO 13 - HISTÓRICO'!R56</f>
        <v>0</v>
      </c>
      <c r="R150" s="335">
        <f>'REGIÃO 13 - HISTÓRICO'!T56</f>
        <v>106171.62</v>
      </c>
      <c r="S150" s="335">
        <f>'REGIÃO 13 - HISTÓRICO'!V56</f>
        <v>0</v>
      </c>
      <c r="T150" s="335">
        <f>'REGIÃO 13 - HISTÓRICO'!X56</f>
        <v>0</v>
      </c>
      <c r="U150" s="335">
        <f>'REGIÃO 13 - HISTÓRICO'!Z56</f>
        <v>0</v>
      </c>
      <c r="V150" s="335">
        <f>'REGIÃO 13 - HISTÓRICO'!AB56</f>
        <v>0</v>
      </c>
      <c r="W150" s="335">
        <f>'REGIÃO 13 - HISTÓRICO'!AD56</f>
        <v>0</v>
      </c>
      <c r="X150" s="335">
        <f>'REGIÃO 13 - HISTÓRICO'!AF56</f>
        <v>0</v>
      </c>
      <c r="Y150" s="335"/>
      <c r="Z150" s="335"/>
      <c r="AA150" s="335" t="str">
        <f>IF($Z150="","",COUNTIFS($H$4:$H$217,$Z150,$B$4:$B$217,$Z$1))</f>
        <v/>
      </c>
      <c r="AB150" s="335" t="str">
        <f>IF($Z150="","",SUMIFS($I$4:$I$217,$H$4:$H$217,$Z150,$B$4:$B$217,$Z$1))</f>
        <v/>
      </c>
      <c r="AC150" s="335" t="str">
        <f>IF($Z150="","",$AB150-ROW()/1000000)</f>
        <v/>
      </c>
      <c r="AD150" s="335" t="str">
        <f>IFERROR(RANK($AC150,$AC$4:$AC$217),"")</f>
        <v/>
      </c>
      <c r="AE150" s="335"/>
      <c r="AF150" s="335" t="str">
        <f>$B150</f>
        <v>R13</v>
      </c>
      <c r="AG150" s="335" t="str">
        <f>$C150&amp;"."&amp;TEXT($D150,"0000")</f>
        <v>051.2024.0125</v>
      </c>
      <c r="AH150" s="335">
        <f>IF($B150="",-1,IF(OR($Z$1="?*",$B150=$Z$1),$I150,-1))</f>
        <v>-1</v>
      </c>
      <c r="AI150" s="335" t="str">
        <f>IF($AH150&lt;0,"",$AH150-ROW()/1000000)</f>
        <v/>
      </c>
      <c r="AJ150" s="335" t="str">
        <f>IFERROR(RANK($AI150,$AI$4:$AI$217),"")</f>
        <v/>
      </c>
    </row>
    <row r="151" spans="2:36" x14ac:dyDescent="0.3">
      <c r="B151" s="335" t="str">
        <f>IF(OR('REGIÃO 13 - RESUMO'!E57="",'REGIÃO 13 - RESUMO'!E57=0),"",'REGIÃO 13 - RESUMO'!C57)</f>
        <v>R13</v>
      </c>
      <c r="C151" s="335" t="str">
        <f>'REGIÃO 13 - RESUMO'!D57</f>
        <v>051.2024</v>
      </c>
      <c r="D151" s="81">
        <f>'REGIÃO 13 - RESUMO'!E57</f>
        <v>126</v>
      </c>
      <c r="E151" s="80" t="str">
        <f>'REGIÃO 13 - RESUMO'!F57</f>
        <v>Junho</v>
      </c>
      <c r="F151" s="82">
        <f>'REGIÃO 13 - RESUMO'!H57</f>
        <v>255</v>
      </c>
      <c r="G151" s="335" t="str">
        <f>'REGIÃO 13 - RESUMO'!I57</f>
        <v>RODOVIA TO-110 - TRECHO ENTR. TO-040 (DIANÓPOLIS) - DIVISA TO-BA (GARGANTA)</v>
      </c>
      <c r="H151" s="80" t="str">
        <f>'REGIÃO 13 - RESUMO'!J57</f>
        <v>Roçada / Tapa-Buraco PMF / Caiação de EDS e pontes</v>
      </c>
      <c r="I151" s="335">
        <f>'REGIÃO 13 - RESUMO'!K57</f>
        <v>46047.78</v>
      </c>
      <c r="J151" s="335">
        <f>'REGIÃO 13 - HISTÓRICO'!F57</f>
        <v>45239.27</v>
      </c>
      <c r="K151" s="335">
        <f>'REGIÃO 13 - HISTÓRICO'!G57</f>
        <v>808.51000000000204</v>
      </c>
      <c r="L151" s="335" t="str">
        <f>IF(OR('REGIÃO 13 - RESUMO'!L57="",'REGIÃO 13 - RESUMO'!L57=0),"",'REGIÃO 13 - RESUMO'!L57)</f>
        <v>Concluída</v>
      </c>
      <c r="M151" s="335">
        <f>'REGIÃO 13 - HISTÓRICO'!J57</f>
        <v>0</v>
      </c>
      <c r="N151" s="335">
        <f>'REGIÃO 13 - HISTÓRICO'!L57</f>
        <v>0</v>
      </c>
      <c r="O151" s="335">
        <f>'REGIÃO 13 - HISTÓRICO'!N57</f>
        <v>0</v>
      </c>
      <c r="P151" s="335">
        <f>'REGIÃO 13 - HISTÓRICO'!P57</f>
        <v>0</v>
      </c>
      <c r="Q151" s="335">
        <f>'REGIÃO 13 - HISTÓRICO'!R57</f>
        <v>0</v>
      </c>
      <c r="R151" s="335">
        <f>'REGIÃO 13 - HISTÓRICO'!T57</f>
        <v>45239.27</v>
      </c>
      <c r="S151" s="335">
        <f>'REGIÃO 13 - HISTÓRICO'!V57</f>
        <v>0</v>
      </c>
      <c r="T151" s="335">
        <f>'REGIÃO 13 - HISTÓRICO'!X57</f>
        <v>0</v>
      </c>
      <c r="U151" s="335">
        <f>'REGIÃO 13 - HISTÓRICO'!Z57</f>
        <v>0</v>
      </c>
      <c r="V151" s="335">
        <f>'REGIÃO 13 - HISTÓRICO'!AB57</f>
        <v>0</v>
      </c>
      <c r="W151" s="335">
        <f>'REGIÃO 13 - HISTÓRICO'!AD57</f>
        <v>0</v>
      </c>
      <c r="X151" s="335">
        <f>'REGIÃO 13 - HISTÓRICO'!AF57</f>
        <v>0</v>
      </c>
      <c r="Y151" s="335"/>
      <c r="Z151" s="335"/>
      <c r="AA151" s="335" t="str">
        <f>IF($Z151="","",COUNTIFS($H$4:$H$217,$Z151,$B$4:$B$217,$Z$1))</f>
        <v/>
      </c>
      <c r="AB151" s="335" t="str">
        <f>IF($Z151="","",SUMIFS($I$4:$I$217,$H$4:$H$217,$Z151,$B$4:$B$217,$Z$1))</f>
        <v/>
      </c>
      <c r="AC151" s="335" t="str">
        <f>IF($Z151="","",$AB151-ROW()/1000000)</f>
        <v/>
      </c>
      <c r="AD151" s="335" t="str">
        <f>IFERROR(RANK($AC151,$AC$4:$AC$217),"")</f>
        <v/>
      </c>
      <c r="AE151" s="335"/>
      <c r="AF151" s="335" t="str">
        <f>$B151</f>
        <v>R13</v>
      </c>
      <c r="AG151" s="335" t="str">
        <f>$C151&amp;"."&amp;TEXT($D151,"0000")</f>
        <v>051.2024.0126</v>
      </c>
      <c r="AH151" s="335">
        <f>IF($B151="",-1,IF(OR($Z$1="?*",$B151=$Z$1),$I151,-1))</f>
        <v>-1</v>
      </c>
      <c r="AI151" s="335" t="str">
        <f>IF($AH151&lt;0,"",$AH151-ROW()/1000000)</f>
        <v/>
      </c>
      <c r="AJ151" s="335" t="str">
        <f>IFERROR(RANK($AI151,$AI$4:$AI$217),"")</f>
        <v/>
      </c>
    </row>
    <row r="152" spans="2:36" x14ac:dyDescent="0.3">
      <c r="B152" s="335" t="str">
        <f>IF(OR('REGIÃO 13 - RESUMO'!E58="",'REGIÃO 13 - RESUMO'!E58=0),"",'REGIÃO 13 - RESUMO'!C58)</f>
        <v>R13</v>
      </c>
      <c r="C152" s="335" t="str">
        <f>'REGIÃO 13 - RESUMO'!D58</f>
        <v>051.2024</v>
      </c>
      <c r="D152" s="81">
        <f>'REGIÃO 13 - RESUMO'!E58</f>
        <v>127</v>
      </c>
      <c r="E152" s="80" t="str">
        <f>'REGIÃO 13 - RESUMO'!F58</f>
        <v>Junho</v>
      </c>
      <c r="F152" s="82">
        <f>'REGIÃO 13 - RESUMO'!H58</f>
        <v>249</v>
      </c>
      <c r="G152" s="335" t="str">
        <f>'REGIÃO 13 - RESUMO'!I58</f>
        <v>RODOVIA TO-040 - TRECHO PORTO ALEGRE DO TOCANTINS - DIANÓPOLIS</v>
      </c>
      <c r="H152" s="80" t="str">
        <f>'REGIÃO 13 - RESUMO'!J58</f>
        <v>Tapa-Buraco PMF</v>
      </c>
      <c r="I152" s="335">
        <f>'REGIÃO 13 - RESUMO'!K58</f>
        <v>41401.660000000003</v>
      </c>
      <c r="J152" s="335">
        <f>'REGIÃO 13 - HISTÓRICO'!F58</f>
        <v>40329.120000000003</v>
      </c>
      <c r="K152" s="335">
        <f>'REGIÃO 13 - HISTÓRICO'!G58</f>
        <v>1072.5400000000009</v>
      </c>
      <c r="L152" s="335" t="str">
        <f>IF(OR('REGIÃO 13 - RESUMO'!L58="",'REGIÃO 13 - RESUMO'!L58=0),"",'REGIÃO 13 - RESUMO'!L58)</f>
        <v>Concluída</v>
      </c>
      <c r="M152" s="335">
        <f>'REGIÃO 13 - HISTÓRICO'!J58</f>
        <v>0</v>
      </c>
      <c r="N152" s="335">
        <f>'REGIÃO 13 - HISTÓRICO'!L58</f>
        <v>0</v>
      </c>
      <c r="O152" s="335">
        <f>'REGIÃO 13 - HISTÓRICO'!N58</f>
        <v>0</v>
      </c>
      <c r="P152" s="335">
        <f>'REGIÃO 13 - HISTÓRICO'!P58</f>
        <v>0</v>
      </c>
      <c r="Q152" s="335">
        <f>'REGIÃO 13 - HISTÓRICO'!R58</f>
        <v>0</v>
      </c>
      <c r="R152" s="335">
        <f>'REGIÃO 13 - HISTÓRICO'!T58</f>
        <v>40329.120000000003</v>
      </c>
      <c r="S152" s="335">
        <f>'REGIÃO 13 - HISTÓRICO'!V58</f>
        <v>0</v>
      </c>
      <c r="T152" s="335">
        <f>'REGIÃO 13 - HISTÓRICO'!X58</f>
        <v>0</v>
      </c>
      <c r="U152" s="335">
        <f>'REGIÃO 13 - HISTÓRICO'!Z58</f>
        <v>0</v>
      </c>
      <c r="V152" s="335">
        <f>'REGIÃO 13 - HISTÓRICO'!AB58</f>
        <v>0</v>
      </c>
      <c r="W152" s="335">
        <f>'REGIÃO 13 - HISTÓRICO'!AD58</f>
        <v>0</v>
      </c>
      <c r="X152" s="335">
        <f>'REGIÃO 13 - HISTÓRICO'!AF58</f>
        <v>0</v>
      </c>
      <c r="Y152" s="335"/>
      <c r="Z152" s="335"/>
      <c r="AA152" s="335" t="str">
        <f>IF($Z152="","",COUNTIFS($H$4:$H$217,$Z152,$B$4:$B$217,$Z$1))</f>
        <v/>
      </c>
      <c r="AB152" s="335" t="str">
        <f>IF($Z152="","",SUMIFS($I$4:$I$217,$H$4:$H$217,$Z152,$B$4:$B$217,$Z$1))</f>
        <v/>
      </c>
      <c r="AC152" s="335" t="str">
        <f>IF($Z152="","",$AB152-ROW()/1000000)</f>
        <v/>
      </c>
      <c r="AD152" s="335" t="str">
        <f>IFERROR(RANK($AC152,$AC$4:$AC$217),"")</f>
        <v/>
      </c>
      <c r="AE152" s="335"/>
      <c r="AF152" s="335" t="str">
        <f>$B152</f>
        <v>R13</v>
      </c>
      <c r="AG152" s="335" t="str">
        <f>$C152&amp;"."&amp;TEXT($D152,"0000")</f>
        <v>051.2024.0127</v>
      </c>
      <c r="AH152" s="335">
        <f>IF($B152="",-1,IF(OR($Z$1="?*",$B152=$Z$1),$I152,-1))</f>
        <v>-1</v>
      </c>
      <c r="AI152" s="335" t="str">
        <f>IF($AH152&lt;0,"",$AH152-ROW()/1000000)</f>
        <v/>
      </c>
      <c r="AJ152" s="335" t="str">
        <f>IFERROR(RANK($AI152,$AI$4:$AI$217),"")</f>
        <v/>
      </c>
    </row>
    <row r="153" spans="2:36" x14ac:dyDescent="0.3">
      <c r="B153" s="335" t="str">
        <f>IF(OR('REGIÃO 13 - RESUMO'!E59="",'REGIÃO 13 - RESUMO'!E59=0),"",'REGIÃO 13 - RESUMO'!C59)</f>
        <v>R13</v>
      </c>
      <c r="C153" s="335" t="str">
        <f>'REGIÃO 13 - RESUMO'!D59</f>
        <v>051.2024</v>
      </c>
      <c r="D153" s="81">
        <f>'REGIÃO 13 - RESUMO'!E59</f>
        <v>128</v>
      </c>
      <c r="E153" s="80" t="str">
        <f>'REGIÃO 13 - RESUMO'!F59</f>
        <v>Junho</v>
      </c>
      <c r="F153" s="82">
        <f>'REGIÃO 13 - RESUMO'!H59</f>
        <v>266</v>
      </c>
      <c r="G153" s="335" t="str">
        <f>'REGIÃO 13 - RESUMO'!I59</f>
        <v>RODOVIA TO-476 - TRECHO RIO DA CONCEIÇÃO - DIANÓPOLIS</v>
      </c>
      <c r="H153" s="80" t="str">
        <f>'REGIÃO 13 - RESUMO'!J59</f>
        <v>Tapa-Buraco PMF / Recomposição manual de aterro / Enrocamento de pedra arrumada / Reparo EDS</v>
      </c>
      <c r="I153" s="335">
        <f>'REGIÃO 13 - RESUMO'!K59</f>
        <v>159130.31</v>
      </c>
      <c r="J153" s="335">
        <f>'REGIÃO 13 - HISTÓRICO'!F59</f>
        <v>158408.68</v>
      </c>
      <c r="K153" s="335">
        <f>'REGIÃO 13 - HISTÓRICO'!G59</f>
        <v>721.63000000000466</v>
      </c>
      <c r="L153" s="335" t="str">
        <f>IF(OR('REGIÃO 13 - RESUMO'!L59="",'REGIÃO 13 - RESUMO'!L59=0),"",'REGIÃO 13 - RESUMO'!L59)</f>
        <v>Concluída</v>
      </c>
      <c r="M153" s="335">
        <f>'REGIÃO 13 - HISTÓRICO'!J59</f>
        <v>0</v>
      </c>
      <c r="N153" s="335">
        <f>'REGIÃO 13 - HISTÓRICO'!L59</f>
        <v>0</v>
      </c>
      <c r="O153" s="335">
        <f>'REGIÃO 13 - HISTÓRICO'!N59</f>
        <v>0</v>
      </c>
      <c r="P153" s="335">
        <f>'REGIÃO 13 - HISTÓRICO'!P59</f>
        <v>0</v>
      </c>
      <c r="Q153" s="335">
        <f>'REGIÃO 13 - HISTÓRICO'!R59</f>
        <v>0</v>
      </c>
      <c r="R153" s="335">
        <f>'REGIÃO 13 - HISTÓRICO'!T59</f>
        <v>158408.68</v>
      </c>
      <c r="S153" s="335">
        <f>'REGIÃO 13 - HISTÓRICO'!V59</f>
        <v>0</v>
      </c>
      <c r="T153" s="335">
        <f>'REGIÃO 13 - HISTÓRICO'!X59</f>
        <v>0</v>
      </c>
      <c r="U153" s="335">
        <f>'REGIÃO 13 - HISTÓRICO'!Z59</f>
        <v>0</v>
      </c>
      <c r="V153" s="335">
        <f>'REGIÃO 13 - HISTÓRICO'!AB59</f>
        <v>0</v>
      </c>
      <c r="W153" s="335">
        <f>'REGIÃO 13 - HISTÓRICO'!AD59</f>
        <v>0</v>
      </c>
      <c r="X153" s="335">
        <f>'REGIÃO 13 - HISTÓRICO'!AF59</f>
        <v>0</v>
      </c>
      <c r="Y153" s="335"/>
      <c r="Z153" s="335"/>
      <c r="AA153" s="335" t="str">
        <f>IF($Z153="","",COUNTIFS($H$4:$H$217,$Z153,$B$4:$B$217,$Z$1))</f>
        <v/>
      </c>
      <c r="AB153" s="335" t="str">
        <f>IF($Z153="","",SUMIFS($I$4:$I$217,$H$4:$H$217,$Z153,$B$4:$B$217,$Z$1))</f>
        <v/>
      </c>
      <c r="AC153" s="335" t="str">
        <f>IF($Z153="","",$AB153-ROW()/1000000)</f>
        <v/>
      </c>
      <c r="AD153" s="335" t="str">
        <f>IFERROR(RANK($AC153,$AC$4:$AC$217),"")</f>
        <v/>
      </c>
      <c r="AE153" s="335"/>
      <c r="AF153" s="335" t="str">
        <f>$B153</f>
        <v>R13</v>
      </c>
      <c r="AG153" s="335" t="str">
        <f>$C153&amp;"."&amp;TEXT($D153,"0000")</f>
        <v>051.2024.0128</v>
      </c>
      <c r="AH153" s="335">
        <f>IF($B153="",-1,IF(OR($Z$1="?*",$B153=$Z$1),$I153,-1))</f>
        <v>-1</v>
      </c>
      <c r="AI153" s="335" t="str">
        <f>IF($AH153&lt;0,"",$AH153-ROW()/1000000)</f>
        <v/>
      </c>
      <c r="AJ153" s="335" t="str">
        <f>IFERROR(RANK($AI153,$AI$4:$AI$217),"")</f>
        <v/>
      </c>
    </row>
    <row r="154" spans="2:36" x14ac:dyDescent="0.3">
      <c r="B154" s="335" t="str">
        <f>IF(OR('REGIÃO 13 - RESUMO'!E60="",'REGIÃO 13 - RESUMO'!E60=0),"",'REGIÃO 13 - RESUMO'!C60)</f>
        <v>R13</v>
      </c>
      <c r="C154" s="335" t="str">
        <f>'REGIÃO 13 - RESUMO'!D60</f>
        <v>051.2024</v>
      </c>
      <c r="D154" s="81">
        <f>'REGIÃO 13 - RESUMO'!E60</f>
        <v>129</v>
      </c>
      <c r="E154" s="80" t="str">
        <f>'REGIÃO 13 - RESUMO'!F60</f>
        <v>Setembro</v>
      </c>
      <c r="F154" s="82">
        <f>'REGIÃO 13 - RESUMO'!H60</f>
        <v>264</v>
      </c>
      <c r="G154" s="335" t="str">
        <f>'REGIÃO 13 - RESUMO'!I60</f>
        <v>RODOVIA TO-387 - TRECHO ENTR. BR-010 - ENTR. TO-050 (CONCEIÇÃO DO TOCANTINS)</v>
      </c>
      <c r="H154" s="80" t="str">
        <f>'REGIÃO 13 - RESUMO'!J60</f>
        <v>Reconformação da plataforma</v>
      </c>
      <c r="I154" s="335">
        <f>'REGIÃO 13 - RESUMO'!K60</f>
        <v>42064.800000000003</v>
      </c>
      <c r="J154" s="335">
        <f>'REGIÃO 13 - HISTÓRICO'!F60</f>
        <v>0</v>
      </c>
      <c r="K154" s="335">
        <f>'REGIÃO 13 - HISTÓRICO'!G60</f>
        <v>42064.800000000003</v>
      </c>
      <c r="L154" s="335" t="str">
        <f>IF(OR('REGIÃO 13 - RESUMO'!L60="",'REGIÃO 13 - RESUMO'!L60=0),"",'REGIÃO 13 - RESUMO'!L60)</f>
        <v>Em elaboração</v>
      </c>
      <c r="M154" s="335">
        <f>'REGIÃO 13 - HISTÓRICO'!J60</f>
        <v>0</v>
      </c>
      <c r="N154" s="335">
        <f>'REGIÃO 13 - HISTÓRICO'!L60</f>
        <v>0</v>
      </c>
      <c r="O154" s="335">
        <f>'REGIÃO 13 - HISTÓRICO'!N60</f>
        <v>0</v>
      </c>
      <c r="P154" s="335">
        <f>'REGIÃO 13 - HISTÓRICO'!P60</f>
        <v>0</v>
      </c>
      <c r="Q154" s="335">
        <f>'REGIÃO 13 - HISTÓRICO'!R60</f>
        <v>0</v>
      </c>
      <c r="R154" s="335">
        <f>'REGIÃO 13 - HISTÓRICO'!T60</f>
        <v>0</v>
      </c>
      <c r="S154" s="335">
        <f>'REGIÃO 13 - HISTÓRICO'!V60</f>
        <v>0</v>
      </c>
      <c r="T154" s="335">
        <f>'REGIÃO 13 - HISTÓRICO'!X60</f>
        <v>0</v>
      </c>
      <c r="U154" s="335">
        <f>'REGIÃO 13 - HISTÓRICO'!Z60</f>
        <v>0</v>
      </c>
      <c r="V154" s="335">
        <f>'REGIÃO 13 - HISTÓRICO'!AB60</f>
        <v>0</v>
      </c>
      <c r="W154" s="335">
        <f>'REGIÃO 13 - HISTÓRICO'!AD60</f>
        <v>0</v>
      </c>
      <c r="X154" s="335">
        <f>'REGIÃO 13 - HISTÓRICO'!AF60</f>
        <v>0</v>
      </c>
      <c r="Y154" s="335"/>
      <c r="Z154" s="335"/>
      <c r="AA154" s="335" t="str">
        <f>IF($Z154="","",COUNTIFS($H$4:$H$217,$Z154,$B$4:$B$217,$Z$1))</f>
        <v/>
      </c>
      <c r="AB154" s="335" t="str">
        <f>IF($Z154="","",SUMIFS($I$4:$I$217,$H$4:$H$217,$Z154,$B$4:$B$217,$Z$1))</f>
        <v/>
      </c>
      <c r="AC154" s="335" t="str">
        <f>IF($Z154="","",$AB154-ROW()/1000000)</f>
        <v/>
      </c>
      <c r="AD154" s="335" t="str">
        <f>IFERROR(RANK($AC154,$AC$4:$AC$217),"")</f>
        <v/>
      </c>
      <c r="AE154" s="335"/>
      <c r="AF154" s="335" t="str">
        <f>$B154</f>
        <v>R13</v>
      </c>
      <c r="AG154" s="335" t="str">
        <f>$C154&amp;"."&amp;TEXT($D154,"0000")</f>
        <v>051.2024.0129</v>
      </c>
      <c r="AH154" s="335">
        <f>IF($B154="",-1,IF(OR($Z$1="?*",$B154=$Z$1),$I154,-1))</f>
        <v>-1</v>
      </c>
      <c r="AI154" s="335" t="str">
        <f>IF($AH154&lt;0,"",$AH154-ROW()/1000000)</f>
        <v/>
      </c>
      <c r="AJ154" s="335" t="str">
        <f>IFERROR(RANK($AI154,$AI$4:$AI$217),"")</f>
        <v/>
      </c>
    </row>
    <row r="155" spans="2:36" x14ac:dyDescent="0.3">
      <c r="B155" s="335" t="str">
        <f>IF(OR('REGIÃO 13 - RESUMO'!E61="",'REGIÃO 13 - RESUMO'!E61=0),"",'REGIÃO 13 - RESUMO'!C61)</f>
        <v>R13</v>
      </c>
      <c r="C155" s="335" t="str">
        <f>'REGIÃO 13 - RESUMO'!D61</f>
        <v>051.2024</v>
      </c>
      <c r="D155" s="81">
        <f>'REGIÃO 13 - RESUMO'!E61</f>
        <v>130</v>
      </c>
      <c r="E155" s="80" t="str">
        <f>'REGIÃO 13 - RESUMO'!F61</f>
        <v>Julho</v>
      </c>
      <c r="F155" s="82">
        <f>'REGIÃO 13 - RESUMO'!H61</f>
        <v>249</v>
      </c>
      <c r="G155" s="335" t="str">
        <f>'REGIÃO 13 - RESUMO'!I61</f>
        <v>RODOVIA TO-040 - TRECHO PORTO ALEGRE DO TOCANTINS - DIANÓPOLIS</v>
      </c>
      <c r="H155" s="80" t="str">
        <f>'REGIÃO 13 - RESUMO'!J61</f>
        <v>Tapa-Buraco PMF</v>
      </c>
      <c r="I155" s="335">
        <f>'REGIÃO 13 - RESUMO'!K61</f>
        <v>98704.7</v>
      </c>
      <c r="J155" s="335">
        <f>'REGIÃO 13 - HISTÓRICO'!F61</f>
        <v>98697.93</v>
      </c>
      <c r="K155" s="335">
        <f>'REGIÃO 13 - HISTÓRICO'!G61</f>
        <v>6.7700000000040745</v>
      </c>
      <c r="L155" s="335" t="str">
        <f>IF(OR('REGIÃO 13 - RESUMO'!L61="",'REGIÃO 13 - RESUMO'!L61=0),"",'REGIÃO 13 - RESUMO'!L61)</f>
        <v>Concluída</v>
      </c>
      <c r="M155" s="335">
        <f>'REGIÃO 13 - HISTÓRICO'!J61</f>
        <v>0</v>
      </c>
      <c r="N155" s="335">
        <f>'REGIÃO 13 - HISTÓRICO'!L61</f>
        <v>0</v>
      </c>
      <c r="O155" s="335">
        <f>'REGIÃO 13 - HISTÓRICO'!N61</f>
        <v>0</v>
      </c>
      <c r="P155" s="335">
        <f>'REGIÃO 13 - HISTÓRICO'!P61</f>
        <v>0</v>
      </c>
      <c r="Q155" s="335">
        <f>'REGIÃO 13 - HISTÓRICO'!R61</f>
        <v>0</v>
      </c>
      <c r="R155" s="335">
        <f>'REGIÃO 13 - HISTÓRICO'!T61</f>
        <v>0</v>
      </c>
      <c r="S155" s="335">
        <f>'REGIÃO 13 - HISTÓRICO'!V61</f>
        <v>98697.93</v>
      </c>
      <c r="T155" s="335">
        <f>'REGIÃO 13 - HISTÓRICO'!X61</f>
        <v>0</v>
      </c>
      <c r="U155" s="335">
        <f>'REGIÃO 13 - HISTÓRICO'!Z61</f>
        <v>0</v>
      </c>
      <c r="V155" s="335">
        <f>'REGIÃO 13 - HISTÓRICO'!AB61</f>
        <v>0</v>
      </c>
      <c r="W155" s="335">
        <f>'REGIÃO 13 - HISTÓRICO'!AD61</f>
        <v>0</v>
      </c>
      <c r="X155" s="335">
        <f>'REGIÃO 13 - HISTÓRICO'!AF61</f>
        <v>0</v>
      </c>
      <c r="Y155" s="335"/>
      <c r="Z155" s="335"/>
      <c r="AA155" s="335" t="str">
        <f>IF($Z155="","",COUNTIFS($H$4:$H$217,$Z155,$B$4:$B$217,$Z$1))</f>
        <v/>
      </c>
      <c r="AB155" s="335" t="str">
        <f>IF($Z155="","",SUMIFS($I$4:$I$217,$H$4:$H$217,$Z155,$B$4:$B$217,$Z$1))</f>
        <v/>
      </c>
      <c r="AC155" s="335" t="str">
        <f>IF($Z155="","",$AB155-ROW()/1000000)</f>
        <v/>
      </c>
      <c r="AD155" s="335" t="str">
        <f>IFERROR(RANK($AC155,$AC$4:$AC$217),"")</f>
        <v/>
      </c>
      <c r="AE155" s="335"/>
      <c r="AF155" s="335" t="str">
        <f>$B155</f>
        <v>R13</v>
      </c>
      <c r="AG155" s="335" t="str">
        <f>$C155&amp;"."&amp;TEXT($D155,"0000")</f>
        <v>051.2024.0130</v>
      </c>
      <c r="AH155" s="335">
        <f>IF($B155="",-1,IF(OR($Z$1="?*",$B155=$Z$1),$I155,-1))</f>
        <v>-1</v>
      </c>
      <c r="AI155" s="335" t="str">
        <f>IF($AH155&lt;0,"",$AH155-ROW()/1000000)</f>
        <v/>
      </c>
      <c r="AJ155" s="335" t="str">
        <f>IFERROR(RANK($AI155,$AI$4:$AI$217),"")</f>
        <v/>
      </c>
    </row>
    <row r="156" spans="2:36" x14ac:dyDescent="0.3">
      <c r="B156" s="335" t="str">
        <f>IF(OR('REGIÃO 13 - RESUMO'!E62="",'REGIÃO 13 - RESUMO'!E62=0),"",'REGIÃO 13 - RESUMO'!C62)</f>
        <v>R13</v>
      </c>
      <c r="C156" s="335" t="str">
        <f>'REGIÃO 13 - RESUMO'!D62</f>
        <v>051.2024</v>
      </c>
      <c r="D156" s="81">
        <f>'REGIÃO 13 - RESUMO'!E62</f>
        <v>131</v>
      </c>
      <c r="E156" s="80" t="str">
        <f>'REGIÃO 13 - RESUMO'!F62</f>
        <v>Julho</v>
      </c>
      <c r="F156" s="82">
        <f>'REGIÃO 13 - RESUMO'!H62</f>
        <v>260</v>
      </c>
      <c r="G156" s="335" t="str">
        <f>'REGIÃO 13 - RESUMO'!I62</f>
        <v>RODOVIA TO-296 - TRECHO ENTR. TO-050 - ENTR. TO-110 (COMBINADO)</v>
      </c>
      <c r="H156" s="80" t="str">
        <f>'REGIÃO 13 - RESUMO'!J62</f>
        <v>Reconformação da plataforma</v>
      </c>
      <c r="I156" s="335">
        <f>'REGIÃO 13 - RESUMO'!K62</f>
        <v>56637</v>
      </c>
      <c r="J156" s="335">
        <f>'REGIÃO 13 - HISTÓRICO'!F62</f>
        <v>0</v>
      </c>
      <c r="K156" s="335">
        <f>'REGIÃO 13 - HISTÓRICO'!G62</f>
        <v>56637</v>
      </c>
      <c r="L156" s="335" t="str">
        <f>IF(OR('REGIÃO 13 - RESUMO'!L62="",'REGIÃO 13 - RESUMO'!L62=0),"",'REGIÃO 13 - RESUMO'!L62)</f>
        <v>Justificada</v>
      </c>
      <c r="M156" s="335">
        <f>'REGIÃO 13 - HISTÓRICO'!J62</f>
        <v>0</v>
      </c>
      <c r="N156" s="335">
        <f>'REGIÃO 13 - HISTÓRICO'!L62</f>
        <v>0</v>
      </c>
      <c r="O156" s="335">
        <f>'REGIÃO 13 - HISTÓRICO'!N62</f>
        <v>0</v>
      </c>
      <c r="P156" s="335">
        <f>'REGIÃO 13 - HISTÓRICO'!P62</f>
        <v>0</v>
      </c>
      <c r="Q156" s="335">
        <f>'REGIÃO 13 - HISTÓRICO'!R62</f>
        <v>0</v>
      </c>
      <c r="R156" s="335">
        <f>'REGIÃO 13 - HISTÓRICO'!T62</f>
        <v>0</v>
      </c>
      <c r="S156" s="335">
        <f>'REGIÃO 13 - HISTÓRICO'!V62</f>
        <v>0</v>
      </c>
      <c r="T156" s="335">
        <f>'REGIÃO 13 - HISTÓRICO'!X62</f>
        <v>0</v>
      </c>
      <c r="U156" s="335">
        <f>'REGIÃO 13 - HISTÓRICO'!Z62</f>
        <v>0</v>
      </c>
      <c r="V156" s="335">
        <f>'REGIÃO 13 - HISTÓRICO'!AB62</f>
        <v>0</v>
      </c>
      <c r="W156" s="335">
        <f>'REGIÃO 13 - HISTÓRICO'!AD62</f>
        <v>0</v>
      </c>
      <c r="X156" s="335">
        <f>'REGIÃO 13 - HISTÓRICO'!AF62</f>
        <v>0</v>
      </c>
      <c r="Y156" s="335"/>
      <c r="Z156" s="335"/>
      <c r="AA156" s="335" t="str">
        <f>IF($Z156="","",COUNTIFS($H$4:$H$217,$Z156,$B$4:$B$217,$Z$1))</f>
        <v/>
      </c>
      <c r="AB156" s="335" t="str">
        <f>IF($Z156="","",SUMIFS($I$4:$I$217,$H$4:$H$217,$Z156,$B$4:$B$217,$Z$1))</f>
        <v/>
      </c>
      <c r="AC156" s="335" t="str">
        <f>IF($Z156="","",$AB156-ROW()/1000000)</f>
        <v/>
      </c>
      <c r="AD156" s="335" t="str">
        <f>IFERROR(RANK($AC156,$AC$4:$AC$217),"")</f>
        <v/>
      </c>
      <c r="AE156" s="335"/>
      <c r="AF156" s="335" t="str">
        <f>$B156</f>
        <v>R13</v>
      </c>
      <c r="AG156" s="335" t="str">
        <f>$C156&amp;"."&amp;TEXT($D156,"0000")</f>
        <v>051.2024.0131</v>
      </c>
      <c r="AH156" s="335">
        <f>IF($B156="",-1,IF(OR($Z$1="?*",$B156=$Z$1),$I156,-1))</f>
        <v>-1</v>
      </c>
      <c r="AI156" s="335" t="str">
        <f>IF($AH156&lt;0,"",$AH156-ROW()/1000000)</f>
        <v/>
      </c>
      <c r="AJ156" s="335" t="str">
        <f>IFERROR(RANK($AI156,$AI$4:$AI$217),"")</f>
        <v/>
      </c>
    </row>
    <row r="157" spans="2:36" x14ac:dyDescent="0.3">
      <c r="B157" s="335" t="str">
        <f>IF(OR('REGIÃO 13 - RESUMO'!E63="",'REGIÃO 13 - RESUMO'!E63=0),"",'REGIÃO 13 - RESUMO'!C63)</f>
        <v>R13</v>
      </c>
      <c r="C157" s="335" t="str">
        <f>'REGIÃO 13 - RESUMO'!D63</f>
        <v>051.2024</v>
      </c>
      <c r="D157" s="81">
        <f>'REGIÃO 13 - RESUMO'!E63</f>
        <v>132</v>
      </c>
      <c r="E157" s="80" t="str">
        <f>'REGIÃO 13 - RESUMO'!F63</f>
        <v>Julho</v>
      </c>
      <c r="F157" s="82">
        <f>'REGIÃO 13 - RESUMO'!H63</f>
        <v>272</v>
      </c>
      <c r="G157" s="335" t="str">
        <f>'REGIÃO 13 - RESUMO'!I63</f>
        <v>RODOVIA TO-497 - TRECHO ENTR. BR-242 - ENTR. TO-296 (POVOADO JACARÉ)</v>
      </c>
      <c r="H157" s="80" t="str">
        <f>'REGIÃO 13 - RESUMO'!J63</f>
        <v>Reconformação da plataforma / Recomposição do revestimento primário</v>
      </c>
      <c r="I157" s="335">
        <f>'REGIÃO 13 - RESUMO'!K63</f>
        <v>606412.76</v>
      </c>
      <c r="J157" s="335">
        <f>'REGIÃO 13 - HISTÓRICO'!F63</f>
        <v>606412.75</v>
      </c>
      <c r="K157" s="335">
        <f>'REGIÃO 13 - HISTÓRICO'!G63</f>
        <v>1.0000000009313226E-2</v>
      </c>
      <c r="L157" s="335" t="str">
        <f>IF(OR('REGIÃO 13 - RESUMO'!L63="",'REGIÃO 13 - RESUMO'!L63=0),"",'REGIÃO 13 - RESUMO'!L63)</f>
        <v>Concluída</v>
      </c>
      <c r="M157" s="335">
        <f>'REGIÃO 13 - HISTÓRICO'!J63</f>
        <v>0</v>
      </c>
      <c r="N157" s="335">
        <f>'REGIÃO 13 - HISTÓRICO'!L63</f>
        <v>0</v>
      </c>
      <c r="O157" s="335">
        <f>'REGIÃO 13 - HISTÓRICO'!N63</f>
        <v>0</v>
      </c>
      <c r="P157" s="335">
        <f>'REGIÃO 13 - HISTÓRICO'!P63</f>
        <v>0</v>
      </c>
      <c r="Q157" s="335">
        <f>'REGIÃO 13 - HISTÓRICO'!R63</f>
        <v>0</v>
      </c>
      <c r="R157" s="335">
        <f>'REGIÃO 13 - HISTÓRICO'!T63</f>
        <v>0</v>
      </c>
      <c r="S157" s="335">
        <f>'REGIÃO 13 - HISTÓRICO'!V63</f>
        <v>606412.75</v>
      </c>
      <c r="T157" s="335">
        <f>'REGIÃO 13 - HISTÓRICO'!X63</f>
        <v>0</v>
      </c>
      <c r="U157" s="335">
        <f>'REGIÃO 13 - HISTÓRICO'!Z63</f>
        <v>0</v>
      </c>
      <c r="V157" s="335">
        <f>'REGIÃO 13 - HISTÓRICO'!AB63</f>
        <v>0</v>
      </c>
      <c r="W157" s="335">
        <f>'REGIÃO 13 - HISTÓRICO'!AD63</f>
        <v>0</v>
      </c>
      <c r="X157" s="335">
        <f>'REGIÃO 13 - HISTÓRICO'!AF63</f>
        <v>0</v>
      </c>
      <c r="Y157" s="335"/>
      <c r="Z157" s="335"/>
      <c r="AA157" s="335" t="str">
        <f>IF($Z157="","",COUNTIFS($H$4:$H$217,$Z157,$B$4:$B$217,$Z$1))</f>
        <v/>
      </c>
      <c r="AB157" s="335" t="str">
        <f>IF($Z157="","",SUMIFS($I$4:$I$217,$H$4:$H$217,$Z157,$B$4:$B$217,$Z$1))</f>
        <v/>
      </c>
      <c r="AC157" s="335" t="str">
        <f>IF($Z157="","",$AB157-ROW()/1000000)</f>
        <v/>
      </c>
      <c r="AD157" s="335" t="str">
        <f>IFERROR(RANK($AC157,$AC$4:$AC$217),"")</f>
        <v/>
      </c>
      <c r="AE157" s="335"/>
      <c r="AF157" s="335" t="str">
        <f>$B157</f>
        <v>R13</v>
      </c>
      <c r="AG157" s="335" t="str">
        <f>$C157&amp;"."&amp;TEXT($D157,"0000")</f>
        <v>051.2024.0132</v>
      </c>
      <c r="AH157" s="335">
        <f>IF($B157="",-1,IF(OR($Z$1="?*",$B157=$Z$1),$I157,-1))</f>
        <v>-1</v>
      </c>
      <c r="AI157" s="335" t="str">
        <f>IF($AH157&lt;0,"",$AH157-ROW()/1000000)</f>
        <v/>
      </c>
      <c r="AJ157" s="335" t="str">
        <f>IFERROR(RANK($AI157,$AI$4:$AI$217),"")</f>
        <v/>
      </c>
    </row>
    <row r="158" spans="2:36" x14ac:dyDescent="0.3">
      <c r="B158" s="335" t="str">
        <f>IF(OR('REGIÃO 13 - RESUMO'!E64="",'REGIÃO 13 - RESUMO'!E64=0),"",'REGIÃO 13 - RESUMO'!C64)</f>
        <v>R13</v>
      </c>
      <c r="C158" s="335" t="str">
        <f>'REGIÃO 13 - RESUMO'!D64</f>
        <v>051.2024</v>
      </c>
      <c r="D158" s="81">
        <f>'REGIÃO 13 - RESUMO'!E64</f>
        <v>133</v>
      </c>
      <c r="E158" s="80" t="str">
        <f>'REGIÃO 13 - RESUMO'!F64</f>
        <v>Setembro</v>
      </c>
      <c r="F158" s="82">
        <f>'REGIÃO 13 - RESUMO'!H64</f>
        <v>261</v>
      </c>
      <c r="G158" s="335" t="str">
        <f>'REGIÃO 13 - RESUMO'!I64</f>
        <v>RODOVIA TO-296 - TRECHO ENTR. BR-242 (POVOADO SÃO BOM JESUS DAS PALMAS) - ENTR. TO-050</v>
      </c>
      <c r="H158" s="80" t="str">
        <f>'REGIÃO 13 - RESUMO'!J64</f>
        <v>Reconformação da plataforma</v>
      </c>
      <c r="I158" s="335">
        <f>'REGIÃO 13 - RESUMO'!K64</f>
        <v>49898.400000000001</v>
      </c>
      <c r="J158" s="335">
        <f>'REGIÃO 13 - HISTÓRICO'!F64</f>
        <v>0</v>
      </c>
      <c r="K158" s="335">
        <f>'REGIÃO 13 - HISTÓRICO'!G64</f>
        <v>49898.400000000001</v>
      </c>
      <c r="L158" s="335" t="str">
        <f>IF(OR('REGIÃO 13 - RESUMO'!L64="",'REGIÃO 13 - RESUMO'!L64=0),"",'REGIÃO 13 - RESUMO'!L64)</f>
        <v>Justificada</v>
      </c>
      <c r="M158" s="335">
        <f>'REGIÃO 13 - HISTÓRICO'!J64</f>
        <v>0</v>
      </c>
      <c r="N158" s="335">
        <f>'REGIÃO 13 - HISTÓRICO'!L64</f>
        <v>0</v>
      </c>
      <c r="O158" s="335">
        <f>'REGIÃO 13 - HISTÓRICO'!N64</f>
        <v>0</v>
      </c>
      <c r="P158" s="335">
        <f>'REGIÃO 13 - HISTÓRICO'!P64</f>
        <v>0</v>
      </c>
      <c r="Q158" s="335">
        <f>'REGIÃO 13 - HISTÓRICO'!R64</f>
        <v>0</v>
      </c>
      <c r="R158" s="335">
        <f>'REGIÃO 13 - HISTÓRICO'!T64</f>
        <v>0</v>
      </c>
      <c r="S158" s="335">
        <f>'REGIÃO 13 - HISTÓRICO'!V64</f>
        <v>0</v>
      </c>
      <c r="T158" s="335">
        <f>'REGIÃO 13 - HISTÓRICO'!X64</f>
        <v>0</v>
      </c>
      <c r="U158" s="335">
        <f>'REGIÃO 13 - HISTÓRICO'!Z64</f>
        <v>0</v>
      </c>
      <c r="V158" s="335">
        <f>'REGIÃO 13 - HISTÓRICO'!AB64</f>
        <v>0</v>
      </c>
      <c r="W158" s="335">
        <f>'REGIÃO 13 - HISTÓRICO'!AD64</f>
        <v>0</v>
      </c>
      <c r="X158" s="335">
        <f>'REGIÃO 13 - HISTÓRICO'!AF64</f>
        <v>0</v>
      </c>
      <c r="Y158" s="335"/>
      <c r="Z158" s="335"/>
      <c r="AA158" s="335" t="str">
        <f>IF($Z158="","",COUNTIFS($H$4:$H$217,$Z158,$B$4:$B$217,$Z$1))</f>
        <v/>
      </c>
      <c r="AB158" s="335" t="str">
        <f>IF($Z158="","",SUMIFS($I$4:$I$217,$H$4:$H$217,$Z158,$B$4:$B$217,$Z$1))</f>
        <v/>
      </c>
      <c r="AC158" s="335" t="str">
        <f>IF($Z158="","",$AB158-ROW()/1000000)</f>
        <v/>
      </c>
      <c r="AD158" s="335" t="str">
        <f>IFERROR(RANK($AC158,$AC$4:$AC$217),"")</f>
        <v/>
      </c>
      <c r="AE158" s="335"/>
      <c r="AF158" s="335" t="str">
        <f>$B158</f>
        <v>R13</v>
      </c>
      <c r="AG158" s="335" t="str">
        <f>$C158&amp;"."&amp;TEXT($D158,"0000")</f>
        <v>051.2024.0133</v>
      </c>
      <c r="AH158" s="335">
        <f>IF($B158="",-1,IF(OR($Z$1="?*",$B158=$Z$1),$I158,-1))</f>
        <v>-1</v>
      </c>
      <c r="AI158" s="335" t="str">
        <f>IF($AH158&lt;0,"",$AH158-ROW()/1000000)</f>
        <v/>
      </c>
      <c r="AJ158" s="335" t="str">
        <f>IFERROR(RANK($AI158,$AI$4:$AI$217),"")</f>
        <v/>
      </c>
    </row>
    <row r="159" spans="2:36" x14ac:dyDescent="0.3">
      <c r="B159" s="335" t="str">
        <f>IF(OR('REGIÃO 13 - RESUMO'!E65="",'REGIÃO 13 - RESUMO'!E65=0),"",'REGIÃO 13 - RESUMO'!C65)</f>
        <v>R13</v>
      </c>
      <c r="C159" s="335" t="str">
        <f>'REGIÃO 13 - RESUMO'!D65</f>
        <v>051.2024</v>
      </c>
      <c r="D159" s="81">
        <f>'REGIÃO 13 - RESUMO'!E65</f>
        <v>134</v>
      </c>
      <c r="E159" s="80" t="str">
        <f>'REGIÃO 13 - RESUMO'!F65</f>
        <v>Julho</v>
      </c>
      <c r="F159" s="82">
        <f>'REGIÃO 13 - RESUMO'!H65</f>
        <v>269</v>
      </c>
      <c r="G159" s="335" t="str">
        <f>'REGIÃO 13 - RESUMO'!I65</f>
        <v>RODOVIA TO-477 - TRECHO ENTR. BR-010 (POVOADO BONFIM) - ALMAS</v>
      </c>
      <c r="H159" s="80" t="str">
        <f>'REGIÃO 13 - RESUMO'!J65</f>
        <v>Reconformação da plataforma</v>
      </c>
      <c r="I159" s="335">
        <f>'REGIÃO 13 - RESUMO'!K65</f>
        <v>79209</v>
      </c>
      <c r="J159" s="335">
        <f>'REGIÃO 13 - HISTÓRICO'!F65</f>
        <v>79209</v>
      </c>
      <c r="K159" s="335">
        <f>'REGIÃO 13 - HISTÓRICO'!G65</f>
        <v>0</v>
      </c>
      <c r="L159" s="335" t="str">
        <f>IF(OR('REGIÃO 13 - RESUMO'!L65="",'REGIÃO 13 - RESUMO'!L65=0),"",'REGIÃO 13 - RESUMO'!L65)</f>
        <v>Concluída</v>
      </c>
      <c r="M159" s="335">
        <f>'REGIÃO 13 - HISTÓRICO'!J65</f>
        <v>0</v>
      </c>
      <c r="N159" s="335">
        <f>'REGIÃO 13 - HISTÓRICO'!L65</f>
        <v>0</v>
      </c>
      <c r="O159" s="335">
        <f>'REGIÃO 13 - HISTÓRICO'!N65</f>
        <v>0</v>
      </c>
      <c r="P159" s="335">
        <f>'REGIÃO 13 - HISTÓRICO'!P65</f>
        <v>0</v>
      </c>
      <c r="Q159" s="335">
        <f>'REGIÃO 13 - HISTÓRICO'!R65</f>
        <v>0</v>
      </c>
      <c r="R159" s="335">
        <f>'REGIÃO 13 - HISTÓRICO'!T65</f>
        <v>0</v>
      </c>
      <c r="S159" s="335">
        <f>'REGIÃO 13 - HISTÓRICO'!V65</f>
        <v>0</v>
      </c>
      <c r="T159" s="335">
        <f>'REGIÃO 13 - HISTÓRICO'!X65</f>
        <v>79209</v>
      </c>
      <c r="U159" s="335">
        <f>'REGIÃO 13 - HISTÓRICO'!Z65</f>
        <v>0</v>
      </c>
      <c r="V159" s="335">
        <f>'REGIÃO 13 - HISTÓRICO'!AB65</f>
        <v>0</v>
      </c>
      <c r="W159" s="335">
        <f>'REGIÃO 13 - HISTÓRICO'!AD65</f>
        <v>0</v>
      </c>
      <c r="X159" s="335">
        <f>'REGIÃO 13 - HISTÓRICO'!AF65</f>
        <v>0</v>
      </c>
      <c r="Y159" s="335"/>
      <c r="Z159" s="335"/>
      <c r="AA159" s="335" t="str">
        <f>IF($Z159="","",COUNTIFS($H$4:$H$217,$Z159,$B$4:$B$217,$Z$1))</f>
        <v/>
      </c>
      <c r="AB159" s="335" t="str">
        <f>IF($Z159="","",SUMIFS($I$4:$I$217,$H$4:$H$217,$Z159,$B$4:$B$217,$Z$1))</f>
        <v/>
      </c>
      <c r="AC159" s="335" t="str">
        <f>IF($Z159="","",$AB159-ROW()/1000000)</f>
        <v/>
      </c>
      <c r="AD159" s="335" t="str">
        <f>IFERROR(RANK($AC159,$AC$4:$AC$217),"")</f>
        <v/>
      </c>
      <c r="AE159" s="335"/>
      <c r="AF159" s="335" t="str">
        <f>$B159</f>
        <v>R13</v>
      </c>
      <c r="AG159" s="335" t="str">
        <f>$C159&amp;"."&amp;TEXT($D159,"0000")</f>
        <v>051.2024.0134</v>
      </c>
      <c r="AH159" s="335">
        <f>IF($B159="",-1,IF(OR($Z$1="?*",$B159=$Z$1),$I159,-1))</f>
        <v>-1</v>
      </c>
      <c r="AI159" s="335" t="str">
        <f>IF($AH159&lt;0,"",$AH159-ROW()/1000000)</f>
        <v/>
      </c>
      <c r="AJ159" s="335" t="str">
        <f>IFERROR(RANK($AI159,$AI$4:$AI$217),"")</f>
        <v/>
      </c>
    </row>
    <row r="160" spans="2:36" x14ac:dyDescent="0.3">
      <c r="B160" s="335" t="str">
        <f>IF(OR('REGIÃO 13 - RESUMO'!E66="",'REGIÃO 13 - RESUMO'!E66=0),"",'REGIÃO 13 - RESUMO'!C66)</f>
        <v>R13</v>
      </c>
      <c r="C160" s="335" t="str">
        <f>'REGIÃO 13 - RESUMO'!D66</f>
        <v>051.2024</v>
      </c>
      <c r="D160" s="81">
        <f>'REGIÃO 13 - RESUMO'!E66</f>
        <v>135</v>
      </c>
      <c r="E160" s="80" t="str">
        <f>'REGIÃO 13 - RESUMO'!F66</f>
        <v>Julho</v>
      </c>
      <c r="F160" s="82">
        <f>'REGIÃO 13 - RESUMO'!H66</f>
        <v>251</v>
      </c>
      <c r="G160" s="335" t="str">
        <f>'REGIÃO 13 - RESUMO'!I66</f>
        <v>RODOVIA TO-050 - TRECHO CONCEIÇÃO DO TOCANTINS - ARRAIAS</v>
      </c>
      <c r="H160" s="80" t="str">
        <f>'REGIÃO 13 - RESUMO'!J66</f>
        <v>Tapa-Buraco PMF / Recomposição manual de aterro / Enrocamento de pedra arrumada / Reparo EDS</v>
      </c>
      <c r="I160" s="335">
        <f>'REGIÃO 13 - RESUMO'!K66</f>
        <v>107981.74</v>
      </c>
      <c r="J160" s="335">
        <f>'REGIÃO 13 - HISTÓRICO'!F66</f>
        <v>107324.57</v>
      </c>
      <c r="K160" s="335">
        <f>'REGIÃO 13 - HISTÓRICO'!G66</f>
        <v>657.16999999999825</v>
      </c>
      <c r="L160" s="335" t="str">
        <f>IF(OR('REGIÃO 13 - RESUMO'!L66="",'REGIÃO 13 - RESUMO'!L66=0),"",'REGIÃO 13 - RESUMO'!L66)</f>
        <v>Concluída</v>
      </c>
      <c r="M160" s="335">
        <f>'REGIÃO 13 - HISTÓRICO'!J66</f>
        <v>0</v>
      </c>
      <c r="N160" s="335">
        <f>'REGIÃO 13 - HISTÓRICO'!L66</f>
        <v>0</v>
      </c>
      <c r="O160" s="335">
        <f>'REGIÃO 13 - HISTÓRICO'!N66</f>
        <v>0</v>
      </c>
      <c r="P160" s="335">
        <f>'REGIÃO 13 - HISTÓRICO'!P66</f>
        <v>0</v>
      </c>
      <c r="Q160" s="335">
        <f>'REGIÃO 13 - HISTÓRICO'!R66</f>
        <v>0</v>
      </c>
      <c r="R160" s="335">
        <f>'REGIÃO 13 - HISTÓRICO'!T66</f>
        <v>0</v>
      </c>
      <c r="S160" s="335">
        <f>'REGIÃO 13 - HISTÓRICO'!V66</f>
        <v>107324.57</v>
      </c>
      <c r="T160" s="335">
        <f>'REGIÃO 13 - HISTÓRICO'!X66</f>
        <v>0</v>
      </c>
      <c r="U160" s="335">
        <f>'REGIÃO 13 - HISTÓRICO'!Z66</f>
        <v>0</v>
      </c>
      <c r="V160" s="335">
        <f>'REGIÃO 13 - HISTÓRICO'!AB66</f>
        <v>0</v>
      </c>
      <c r="W160" s="335">
        <f>'REGIÃO 13 - HISTÓRICO'!AD66</f>
        <v>0</v>
      </c>
      <c r="X160" s="335">
        <f>'REGIÃO 13 - HISTÓRICO'!AF66</f>
        <v>0</v>
      </c>
      <c r="Y160" s="335"/>
      <c r="Z160" s="335"/>
      <c r="AA160" s="335" t="str">
        <f>IF($Z160="","",COUNTIFS($H$4:$H$217,$Z160,$B$4:$B$217,$Z$1))</f>
        <v/>
      </c>
      <c r="AB160" s="335" t="str">
        <f>IF($Z160="","",SUMIFS($I$4:$I$217,$H$4:$H$217,$Z160,$B$4:$B$217,$Z$1))</f>
        <v/>
      </c>
      <c r="AC160" s="335" t="str">
        <f>IF($Z160="","",$AB160-ROW()/1000000)</f>
        <v/>
      </c>
      <c r="AD160" s="335" t="str">
        <f>IFERROR(RANK($AC160,$AC$4:$AC$217),"")</f>
        <v/>
      </c>
      <c r="AE160" s="335"/>
      <c r="AF160" s="335" t="str">
        <f>$B160</f>
        <v>R13</v>
      </c>
      <c r="AG160" s="335" t="str">
        <f>$C160&amp;"."&amp;TEXT($D160,"0000")</f>
        <v>051.2024.0135</v>
      </c>
      <c r="AH160" s="335">
        <f>IF($B160="",-1,IF(OR($Z$1="?*",$B160=$Z$1),$I160,-1))</f>
        <v>-1</v>
      </c>
      <c r="AI160" s="335" t="str">
        <f>IF($AH160&lt;0,"",$AH160-ROW()/1000000)</f>
        <v/>
      </c>
      <c r="AJ160" s="335" t="str">
        <f>IFERROR(RANK($AI160,$AI$4:$AI$217),"")</f>
        <v/>
      </c>
    </row>
    <row r="161" spans="2:36" x14ac:dyDescent="0.3">
      <c r="B161" s="335" t="str">
        <f>IF(OR('REGIÃO 13 - RESUMO'!E67="",'REGIÃO 13 - RESUMO'!E67=0),"",'REGIÃO 13 - RESUMO'!C67)</f>
        <v>R13</v>
      </c>
      <c r="C161" s="335" t="str">
        <f>'REGIÃO 13 - RESUMO'!D67</f>
        <v>051.2024</v>
      </c>
      <c r="D161" s="81">
        <f>'REGIÃO 13 - RESUMO'!E67</f>
        <v>136</v>
      </c>
      <c r="E161" s="80" t="str">
        <f>'REGIÃO 13 - RESUMO'!F67</f>
        <v>Setembro</v>
      </c>
      <c r="F161" s="82">
        <f>'REGIÃO 13 - RESUMO'!H67</f>
        <v>245</v>
      </c>
      <c r="G161" s="335" t="str">
        <f>'REGIÃO 13 - RESUMO'!I67</f>
        <v>RODOVIA TO-040 - TRECHO ENTR. TO-369 - ENTR. TO-280 (ALMAS)</v>
      </c>
      <c r="H161" s="80" t="str">
        <f>'REGIÃO 13 - RESUMO'!J67</f>
        <v>Terraplenagem / Execução de BSTC 100 / Reconformação da plataforma</v>
      </c>
      <c r="I161" s="335">
        <f>'REGIÃO 13 - RESUMO'!K67</f>
        <v>322716.33</v>
      </c>
      <c r="J161" s="335">
        <f>'REGIÃO 13 - HISTÓRICO'!F67</f>
        <v>0</v>
      </c>
      <c r="K161" s="335">
        <f>'REGIÃO 13 - HISTÓRICO'!G67</f>
        <v>322716.33</v>
      </c>
      <c r="L161" s="335" t="str">
        <f>IF(OR('REGIÃO 13 - RESUMO'!L67="",'REGIÃO 13 - RESUMO'!L67=0),"",'REGIÃO 13 - RESUMO'!L67)</f>
        <v>Análise Gestor</v>
      </c>
      <c r="M161" s="335">
        <f>'REGIÃO 13 - HISTÓRICO'!J67</f>
        <v>0</v>
      </c>
      <c r="N161" s="335">
        <f>'REGIÃO 13 - HISTÓRICO'!L67</f>
        <v>0</v>
      </c>
      <c r="O161" s="335">
        <f>'REGIÃO 13 - HISTÓRICO'!N67</f>
        <v>0</v>
      </c>
      <c r="P161" s="335">
        <f>'REGIÃO 13 - HISTÓRICO'!P67</f>
        <v>0</v>
      </c>
      <c r="Q161" s="335">
        <f>'REGIÃO 13 - HISTÓRICO'!R67</f>
        <v>0</v>
      </c>
      <c r="R161" s="335">
        <f>'REGIÃO 13 - HISTÓRICO'!T67</f>
        <v>0</v>
      </c>
      <c r="S161" s="335">
        <f>'REGIÃO 13 - HISTÓRICO'!V67</f>
        <v>0</v>
      </c>
      <c r="T161" s="335">
        <f>'REGIÃO 13 - HISTÓRICO'!X67</f>
        <v>0</v>
      </c>
      <c r="U161" s="335">
        <f>'REGIÃO 13 - HISTÓRICO'!Z67</f>
        <v>0</v>
      </c>
      <c r="V161" s="335">
        <f>'REGIÃO 13 - HISTÓRICO'!AB67</f>
        <v>0</v>
      </c>
      <c r="W161" s="335">
        <f>'REGIÃO 13 - HISTÓRICO'!AD67</f>
        <v>0</v>
      </c>
      <c r="X161" s="335">
        <f>'REGIÃO 13 - HISTÓRICO'!AF67</f>
        <v>0</v>
      </c>
      <c r="Y161" s="335"/>
      <c r="Z161" s="335"/>
      <c r="AA161" s="335" t="str">
        <f>IF($Z161="","",COUNTIFS($H$4:$H$217,$Z161,$B$4:$B$217,$Z$1))</f>
        <v/>
      </c>
      <c r="AB161" s="335" t="str">
        <f>IF($Z161="","",SUMIFS($I$4:$I$217,$H$4:$H$217,$Z161,$B$4:$B$217,$Z$1))</f>
        <v/>
      </c>
      <c r="AC161" s="335" t="str">
        <f>IF($Z161="","",$AB161-ROW()/1000000)</f>
        <v/>
      </c>
      <c r="AD161" s="335" t="str">
        <f>IFERROR(RANK($AC161,$AC$4:$AC$217),"")</f>
        <v/>
      </c>
      <c r="AE161" s="335"/>
      <c r="AF161" s="335" t="str">
        <f>$B161</f>
        <v>R13</v>
      </c>
      <c r="AG161" s="335" t="str">
        <f>$C161&amp;"."&amp;TEXT($D161,"0000")</f>
        <v>051.2024.0136</v>
      </c>
      <c r="AH161" s="335">
        <f>IF($B161="",-1,IF(OR($Z$1="?*",$B161=$Z$1),$I161,-1))</f>
        <v>-1</v>
      </c>
      <c r="AI161" s="335" t="str">
        <f>IF($AH161&lt;0,"",$AH161-ROW()/1000000)</f>
        <v/>
      </c>
      <c r="AJ161" s="335" t="str">
        <f>IFERROR(RANK($AI161,$AI$4:$AI$217),"")</f>
        <v/>
      </c>
    </row>
    <row r="162" spans="2:36" x14ac:dyDescent="0.3">
      <c r="B162" s="335" t="str">
        <f>IF(OR('REGIÃO 13 - RESUMO'!E68="",'REGIÃO 13 - RESUMO'!E68=0),"",'REGIÃO 13 - RESUMO'!C68)</f>
        <v>R13</v>
      </c>
      <c r="C162" s="335" t="str">
        <f>'REGIÃO 13 - RESUMO'!D68</f>
        <v>051.2024</v>
      </c>
      <c r="D162" s="81">
        <f>'REGIÃO 13 - RESUMO'!E68</f>
        <v>137</v>
      </c>
      <c r="E162" s="80" t="str">
        <f>'REGIÃO 13 - RESUMO'!F68</f>
        <v>Julho</v>
      </c>
      <c r="F162" s="82">
        <f>'REGIÃO 13 - RESUMO'!H68</f>
        <v>251</v>
      </c>
      <c r="G162" s="335" t="str">
        <f>'REGIÃO 13 - RESUMO'!I68</f>
        <v>RODOVIA TO-050 - TRECHO CONCEIÇÃO DO TOCANTINS - ARRAIAS</v>
      </c>
      <c r="H162" s="80" t="str">
        <f>'REGIÃO 13 - RESUMO'!J68</f>
        <v>Tapa-Buraco PMF</v>
      </c>
      <c r="I162" s="335">
        <f>'REGIÃO 13 - RESUMO'!K68</f>
        <v>245722.63</v>
      </c>
      <c r="J162" s="335">
        <f>'REGIÃO 13 - HISTÓRICO'!F68</f>
        <v>245051.69</v>
      </c>
      <c r="K162" s="335">
        <f>'REGIÃO 13 - HISTÓRICO'!G68</f>
        <v>670.94000000000233</v>
      </c>
      <c r="L162" s="335" t="str">
        <f>IF(OR('REGIÃO 13 - RESUMO'!L68="",'REGIÃO 13 - RESUMO'!L68=0),"",'REGIÃO 13 - RESUMO'!L68)</f>
        <v>Concluída</v>
      </c>
      <c r="M162" s="335">
        <f>'REGIÃO 13 - HISTÓRICO'!J68</f>
        <v>0</v>
      </c>
      <c r="N162" s="335">
        <f>'REGIÃO 13 - HISTÓRICO'!L68</f>
        <v>0</v>
      </c>
      <c r="O162" s="335">
        <f>'REGIÃO 13 - HISTÓRICO'!N68</f>
        <v>0</v>
      </c>
      <c r="P162" s="335">
        <f>'REGIÃO 13 - HISTÓRICO'!P68</f>
        <v>0</v>
      </c>
      <c r="Q162" s="335">
        <f>'REGIÃO 13 - HISTÓRICO'!R68</f>
        <v>0</v>
      </c>
      <c r="R162" s="335">
        <f>'REGIÃO 13 - HISTÓRICO'!T68</f>
        <v>0</v>
      </c>
      <c r="S162" s="335">
        <f>'REGIÃO 13 - HISTÓRICO'!V68</f>
        <v>149064.91</v>
      </c>
      <c r="T162" s="335">
        <f>'REGIÃO 13 - HISTÓRICO'!X68</f>
        <v>95986.78</v>
      </c>
      <c r="U162" s="335">
        <f>'REGIÃO 13 - HISTÓRICO'!Z68</f>
        <v>0</v>
      </c>
      <c r="V162" s="335">
        <f>'REGIÃO 13 - HISTÓRICO'!AB68</f>
        <v>0</v>
      </c>
      <c r="W162" s="335">
        <f>'REGIÃO 13 - HISTÓRICO'!AD68</f>
        <v>0</v>
      </c>
      <c r="X162" s="335">
        <f>'REGIÃO 13 - HISTÓRICO'!AF68</f>
        <v>0</v>
      </c>
      <c r="Y162" s="335"/>
      <c r="Z162" s="335"/>
      <c r="AA162" s="335" t="str">
        <f>IF($Z162="","",COUNTIFS($H$4:$H$217,$Z162,$B$4:$B$217,$Z$1))</f>
        <v/>
      </c>
      <c r="AB162" s="335" t="str">
        <f>IF($Z162="","",SUMIFS($I$4:$I$217,$H$4:$H$217,$Z162,$B$4:$B$217,$Z$1))</f>
        <v/>
      </c>
      <c r="AC162" s="335" t="str">
        <f>IF($Z162="","",$AB162-ROW()/1000000)</f>
        <v/>
      </c>
      <c r="AD162" s="335" t="str">
        <f>IFERROR(RANK($AC162,$AC$4:$AC$217),"")</f>
        <v/>
      </c>
      <c r="AE162" s="335"/>
      <c r="AF162" s="335" t="str">
        <f>$B162</f>
        <v>R13</v>
      </c>
      <c r="AG162" s="335" t="str">
        <f>$C162&amp;"."&amp;TEXT($D162,"0000")</f>
        <v>051.2024.0137</v>
      </c>
      <c r="AH162" s="335">
        <f>IF($B162="",-1,IF(OR($Z$1="?*",$B162=$Z$1),$I162,-1))</f>
        <v>-1</v>
      </c>
      <c r="AI162" s="335" t="str">
        <f>IF($AH162&lt;0,"",$AH162-ROW()/1000000)</f>
        <v/>
      </c>
      <c r="AJ162" s="335" t="str">
        <f>IFERROR(RANK($AI162,$AI$4:$AI$217),"")</f>
        <v/>
      </c>
    </row>
    <row r="163" spans="2:36" x14ac:dyDescent="0.3">
      <c r="B163" s="335" t="str">
        <f>IF(OR('REGIÃO 13 - RESUMO'!E69="",'REGIÃO 13 - RESUMO'!E69=0),"",'REGIÃO 13 - RESUMO'!C69)</f>
        <v>R13</v>
      </c>
      <c r="C163" s="335" t="str">
        <f>'REGIÃO 13 - RESUMO'!D69</f>
        <v>051.2024</v>
      </c>
      <c r="D163" s="81">
        <f>'REGIÃO 13 - RESUMO'!E69</f>
        <v>138</v>
      </c>
      <c r="E163" s="80" t="str">
        <f>'REGIÃO 13 - RESUMO'!F69</f>
        <v>Julho</v>
      </c>
      <c r="F163" s="82">
        <f>'REGIÃO 13 - RESUMO'!H69</f>
        <v>259</v>
      </c>
      <c r="G163" s="335" t="str">
        <f>'REGIÃO 13 - RESUMO'!I69</f>
        <v>RODOVIA TO-110 - TRECHO TAGUATINGA - AURORA DO TOCANTINS</v>
      </c>
      <c r="H163" s="80" t="str">
        <f>'REGIÃO 13 - RESUMO'!J69</f>
        <v>Roçada / Tapa-Buraco PMF / Caiação de EDS e pontes</v>
      </c>
      <c r="I163" s="335">
        <f>'REGIÃO 13 - RESUMO'!K69</f>
        <v>107300.67</v>
      </c>
      <c r="J163" s="335">
        <f>'REGIÃO 13 - HISTÓRICO'!F69</f>
        <v>95210.040000000008</v>
      </c>
      <c r="K163" s="335">
        <f>'REGIÃO 13 - HISTÓRICO'!G69</f>
        <v>12090.62999999999</v>
      </c>
      <c r="L163" s="335" t="str">
        <f>IF(OR('REGIÃO 13 - RESUMO'!L69="",'REGIÃO 13 - RESUMO'!L69=0),"",'REGIÃO 13 - RESUMO'!L69)</f>
        <v>Concluída</v>
      </c>
      <c r="M163" s="335">
        <f>'REGIÃO 13 - HISTÓRICO'!J69</f>
        <v>0</v>
      </c>
      <c r="N163" s="335">
        <f>'REGIÃO 13 - HISTÓRICO'!L69</f>
        <v>0</v>
      </c>
      <c r="O163" s="335">
        <f>'REGIÃO 13 - HISTÓRICO'!N69</f>
        <v>0</v>
      </c>
      <c r="P163" s="335">
        <f>'REGIÃO 13 - HISTÓRICO'!P69</f>
        <v>0</v>
      </c>
      <c r="Q163" s="335">
        <f>'REGIÃO 13 - HISTÓRICO'!R69</f>
        <v>0</v>
      </c>
      <c r="R163" s="335">
        <f>'REGIÃO 13 - HISTÓRICO'!T69</f>
        <v>0</v>
      </c>
      <c r="S163" s="335">
        <f>'REGIÃO 13 - HISTÓRICO'!V69</f>
        <v>18658.490000000002</v>
      </c>
      <c r="T163" s="335">
        <f>'REGIÃO 13 - HISTÓRICO'!X69</f>
        <v>76551.55</v>
      </c>
      <c r="U163" s="335">
        <f>'REGIÃO 13 - HISTÓRICO'!Z69</f>
        <v>0</v>
      </c>
      <c r="V163" s="335">
        <f>'REGIÃO 13 - HISTÓRICO'!AB69</f>
        <v>0</v>
      </c>
      <c r="W163" s="335">
        <f>'REGIÃO 13 - HISTÓRICO'!AD69</f>
        <v>0</v>
      </c>
      <c r="X163" s="335">
        <f>'REGIÃO 13 - HISTÓRICO'!AF69</f>
        <v>0</v>
      </c>
      <c r="Y163" s="335"/>
      <c r="Z163" s="335"/>
      <c r="AA163" s="335" t="str">
        <f>IF($Z163="","",COUNTIFS($H$4:$H$217,$Z163,$B$4:$B$217,$Z$1))</f>
        <v/>
      </c>
      <c r="AB163" s="335" t="str">
        <f>IF($Z163="","",SUMIFS($I$4:$I$217,$H$4:$H$217,$Z163,$B$4:$B$217,$Z$1))</f>
        <v/>
      </c>
      <c r="AC163" s="335" t="str">
        <f>IF($Z163="","",$AB163-ROW()/1000000)</f>
        <v/>
      </c>
      <c r="AD163" s="335" t="str">
        <f>IFERROR(RANK($AC163,$AC$4:$AC$217),"")</f>
        <v/>
      </c>
      <c r="AE163" s="335"/>
      <c r="AF163" s="335" t="str">
        <f>$B163</f>
        <v>R13</v>
      </c>
      <c r="AG163" s="335" t="str">
        <f>$C163&amp;"."&amp;TEXT($D163,"0000")</f>
        <v>051.2024.0138</v>
      </c>
      <c r="AH163" s="335">
        <f>IF($B163="",-1,IF(OR($Z$1="?*",$B163=$Z$1),$I163,-1))</f>
        <v>-1</v>
      </c>
      <c r="AI163" s="335" t="str">
        <f>IF($AH163&lt;0,"",$AH163-ROW()/1000000)</f>
        <v/>
      </c>
      <c r="AJ163" s="335" t="str">
        <f>IFERROR(RANK($AI163,$AI$4:$AI$217),"")</f>
        <v/>
      </c>
    </row>
    <row r="164" spans="2:36" x14ac:dyDescent="0.3">
      <c r="B164" s="335" t="str">
        <f>IF(OR('REGIÃO 13 - RESUMO'!E70="",'REGIÃO 13 - RESUMO'!E70=0),"",'REGIÃO 13 - RESUMO'!C70)</f>
        <v>R13</v>
      </c>
      <c r="C164" s="335" t="str">
        <f>'REGIÃO 13 - RESUMO'!D70</f>
        <v>051.2024</v>
      </c>
      <c r="D164" s="81">
        <f>'REGIÃO 13 - RESUMO'!E70</f>
        <v>139</v>
      </c>
      <c r="E164" s="80" t="str">
        <f>'REGIÃO 13 - RESUMO'!F70</f>
        <v>Julho</v>
      </c>
      <c r="F164" s="82">
        <f>'REGIÃO 13 - RESUMO'!H70</f>
        <v>258</v>
      </c>
      <c r="G164" s="335" t="str">
        <f>'REGIÃO 13 - RESUMO'!I70</f>
        <v>RODOVIA TO-110 - TRECHO PONTE ALTA DO BOM JESUS - ENTR. BR-242(TAGUATINGA)</v>
      </c>
      <c r="H164" s="80" t="str">
        <f>'REGIÃO 13 - RESUMO'!J70</f>
        <v>Roçada / Tapa-Buraco PMF / Caiação de EDS e pontes</v>
      </c>
      <c r="I164" s="335">
        <f>'REGIÃO 13 - RESUMO'!K70</f>
        <v>91034.06</v>
      </c>
      <c r="J164" s="335">
        <f>'REGIÃO 13 - HISTÓRICO'!F70</f>
        <v>81288.03</v>
      </c>
      <c r="K164" s="335">
        <f>'REGIÃO 13 - HISTÓRICO'!G70</f>
        <v>9746.0299999999988</v>
      </c>
      <c r="L164" s="335" t="str">
        <f>IF(OR('REGIÃO 13 - RESUMO'!L70="",'REGIÃO 13 - RESUMO'!L70=0),"",'REGIÃO 13 - RESUMO'!L70)</f>
        <v>Concluída</v>
      </c>
      <c r="M164" s="335">
        <f>'REGIÃO 13 - HISTÓRICO'!J70</f>
        <v>0</v>
      </c>
      <c r="N164" s="335">
        <f>'REGIÃO 13 - HISTÓRICO'!L70</f>
        <v>0</v>
      </c>
      <c r="O164" s="335">
        <f>'REGIÃO 13 - HISTÓRICO'!N70</f>
        <v>0</v>
      </c>
      <c r="P164" s="335">
        <f>'REGIÃO 13 - HISTÓRICO'!P70</f>
        <v>0</v>
      </c>
      <c r="Q164" s="335">
        <f>'REGIÃO 13 - HISTÓRICO'!R70</f>
        <v>0</v>
      </c>
      <c r="R164" s="335">
        <f>'REGIÃO 13 - HISTÓRICO'!T70</f>
        <v>0</v>
      </c>
      <c r="S164" s="335">
        <f>'REGIÃO 13 - HISTÓRICO'!V70</f>
        <v>13730.57</v>
      </c>
      <c r="T164" s="335">
        <f>'REGIÃO 13 - HISTÓRICO'!X70</f>
        <v>67557.460000000006</v>
      </c>
      <c r="U164" s="335">
        <f>'REGIÃO 13 - HISTÓRICO'!Z70</f>
        <v>0</v>
      </c>
      <c r="V164" s="335">
        <f>'REGIÃO 13 - HISTÓRICO'!AB70</f>
        <v>0</v>
      </c>
      <c r="W164" s="335">
        <f>'REGIÃO 13 - HISTÓRICO'!AD70</f>
        <v>0</v>
      </c>
      <c r="X164" s="335">
        <f>'REGIÃO 13 - HISTÓRICO'!AF70</f>
        <v>0</v>
      </c>
      <c r="Y164" s="335"/>
      <c r="Z164" s="335"/>
      <c r="AA164" s="335" t="str">
        <f>IF($Z164="","",COUNTIFS($H$4:$H$217,$Z164,$B$4:$B$217,$Z$1))</f>
        <v/>
      </c>
      <c r="AB164" s="335" t="str">
        <f>IF($Z164="","",SUMIFS($I$4:$I$217,$H$4:$H$217,$Z164,$B$4:$B$217,$Z$1))</f>
        <v/>
      </c>
      <c r="AC164" s="335" t="str">
        <f>IF($Z164="","",$AB164-ROW()/1000000)</f>
        <v/>
      </c>
      <c r="AD164" s="335" t="str">
        <f>IFERROR(RANK($AC164,$AC$4:$AC$217),"")</f>
        <v/>
      </c>
      <c r="AE164" s="335"/>
      <c r="AF164" s="335" t="str">
        <f>$B164</f>
        <v>R13</v>
      </c>
      <c r="AG164" s="335" t="str">
        <f>$C164&amp;"."&amp;TEXT($D164,"0000")</f>
        <v>051.2024.0139</v>
      </c>
      <c r="AH164" s="335">
        <f>IF($B164="",-1,IF(OR($Z$1="?*",$B164=$Z$1),$I164,-1))</f>
        <v>-1</v>
      </c>
      <c r="AI164" s="335" t="str">
        <f>IF($AH164&lt;0,"",$AH164-ROW()/1000000)</f>
        <v/>
      </c>
      <c r="AJ164" s="335" t="str">
        <f>IFERROR(RANK($AI164,$AI$4:$AI$217),"")</f>
        <v/>
      </c>
    </row>
    <row r="165" spans="2:36" x14ac:dyDescent="0.3">
      <c r="B165" s="335" t="str">
        <f>IF(OR('REGIÃO 13 - RESUMO'!E71="",'REGIÃO 13 - RESUMO'!E71=0),"",'REGIÃO 13 - RESUMO'!C71)</f>
        <v>R13</v>
      </c>
      <c r="C165" s="335" t="str">
        <f>'REGIÃO 13 - RESUMO'!D71</f>
        <v>051.2024</v>
      </c>
      <c r="D165" s="81">
        <f>'REGIÃO 13 - RESUMO'!E71</f>
        <v>140</v>
      </c>
      <c r="E165" s="80" t="str">
        <f>'REGIÃO 13 - RESUMO'!F71</f>
        <v>Julho</v>
      </c>
      <c r="F165" s="82">
        <f>'REGIÃO 13 - RESUMO'!H71</f>
        <v>256</v>
      </c>
      <c r="G165" s="335" t="str">
        <f>'REGIÃO 13 - RESUMO'!I71</f>
        <v>RODOVIA TO-110 - TRECHO ENTR. TO-040 - PONTE ALTA DO BOM JESUS</v>
      </c>
      <c r="H165" s="80" t="str">
        <f>'REGIÃO 13 - RESUMO'!J71</f>
        <v>Roçada / Tapa-Buraco PMF / Caiação de EDS e pontes</v>
      </c>
      <c r="I165" s="335">
        <f>'REGIÃO 13 - RESUMO'!K71</f>
        <v>100136.05</v>
      </c>
      <c r="J165" s="335">
        <f>'REGIÃO 13 - HISTÓRICO'!F71</f>
        <v>90662.75</v>
      </c>
      <c r="K165" s="335">
        <f>'REGIÃO 13 - HISTÓRICO'!G71</f>
        <v>9473.3000000000029</v>
      </c>
      <c r="L165" s="335" t="str">
        <f>IF(OR('REGIÃO 13 - RESUMO'!L71="",'REGIÃO 13 - RESUMO'!L71=0),"",'REGIÃO 13 - RESUMO'!L71)</f>
        <v>Concluída</v>
      </c>
      <c r="M165" s="335">
        <f>'REGIÃO 13 - HISTÓRICO'!J71</f>
        <v>0</v>
      </c>
      <c r="N165" s="335">
        <f>'REGIÃO 13 - HISTÓRICO'!L71</f>
        <v>0</v>
      </c>
      <c r="O165" s="335">
        <f>'REGIÃO 13 - HISTÓRICO'!N71</f>
        <v>0</v>
      </c>
      <c r="P165" s="335">
        <f>'REGIÃO 13 - HISTÓRICO'!P71</f>
        <v>0</v>
      </c>
      <c r="Q165" s="335">
        <f>'REGIÃO 13 - HISTÓRICO'!R71</f>
        <v>0</v>
      </c>
      <c r="R165" s="335">
        <f>'REGIÃO 13 - HISTÓRICO'!T71</f>
        <v>0</v>
      </c>
      <c r="S165" s="335">
        <f>'REGIÃO 13 - HISTÓRICO'!V71</f>
        <v>15188.95</v>
      </c>
      <c r="T165" s="335">
        <f>'REGIÃO 13 - HISTÓRICO'!X71</f>
        <v>75473.8</v>
      </c>
      <c r="U165" s="335">
        <f>'REGIÃO 13 - HISTÓRICO'!Z71</f>
        <v>0</v>
      </c>
      <c r="V165" s="335">
        <f>'REGIÃO 13 - HISTÓRICO'!AB71</f>
        <v>0</v>
      </c>
      <c r="W165" s="335">
        <f>'REGIÃO 13 - HISTÓRICO'!AD71</f>
        <v>0</v>
      </c>
      <c r="X165" s="335">
        <f>'REGIÃO 13 - HISTÓRICO'!AF71</f>
        <v>0</v>
      </c>
      <c r="Y165" s="335"/>
      <c r="Z165" s="335"/>
      <c r="AA165" s="335" t="str">
        <f>IF($Z165="","",COUNTIFS($H$4:$H$217,$Z165,$B$4:$B$217,$Z$1))</f>
        <v/>
      </c>
      <c r="AB165" s="335" t="str">
        <f>IF($Z165="","",SUMIFS($I$4:$I$217,$H$4:$H$217,$Z165,$B$4:$B$217,$Z$1))</f>
        <v/>
      </c>
      <c r="AC165" s="335" t="str">
        <f>IF($Z165="","",$AB165-ROW()/1000000)</f>
        <v/>
      </c>
      <c r="AD165" s="335" t="str">
        <f>IFERROR(RANK($AC165,$AC$4:$AC$217),"")</f>
        <v/>
      </c>
      <c r="AE165" s="335"/>
      <c r="AF165" s="335" t="str">
        <f>$B165</f>
        <v>R13</v>
      </c>
      <c r="AG165" s="335" t="str">
        <f>$C165&amp;"."&amp;TEXT($D165,"0000")</f>
        <v>051.2024.0140</v>
      </c>
      <c r="AH165" s="335">
        <f>IF($B165="",-1,IF(OR($Z$1="?*",$B165=$Z$1),$I165,-1))</f>
        <v>-1</v>
      </c>
      <c r="AI165" s="335" t="str">
        <f>IF($AH165&lt;0,"",$AH165-ROW()/1000000)</f>
        <v/>
      </c>
      <c r="AJ165" s="335" t="str">
        <f>IFERROR(RANK($AI165,$AI$4:$AI$217),"")</f>
        <v/>
      </c>
    </row>
    <row r="166" spans="2:36" x14ac:dyDescent="0.3">
      <c r="B166" s="335" t="str">
        <f>IF(OR('REGIÃO 13 - RESUMO'!E72="",'REGIÃO 13 - RESUMO'!E72=0),"",'REGIÃO 13 - RESUMO'!C72)</f>
        <v>R13</v>
      </c>
      <c r="C166" s="335" t="str">
        <f>'REGIÃO 13 - RESUMO'!D72</f>
        <v>051.2024</v>
      </c>
      <c r="D166" s="81">
        <f>'REGIÃO 13 - RESUMO'!E72</f>
        <v>141</v>
      </c>
      <c r="E166" s="80" t="str">
        <f>'REGIÃO 13 - RESUMO'!F72</f>
        <v>Julho</v>
      </c>
      <c r="F166" s="82">
        <f>'REGIÃO 13 - RESUMO'!H72</f>
        <v>257</v>
      </c>
      <c r="G166" s="335" t="str">
        <f>'REGIÃO 13 - RESUMO'!I72</f>
        <v>RODOVIA TO-110 - TRECHO LAVANDEIRA - COMBINADO</v>
      </c>
      <c r="H166" s="80" t="str">
        <f>'REGIÃO 13 - RESUMO'!J72</f>
        <v>Roçada / Tapa-Buraco PMF</v>
      </c>
      <c r="I166" s="335">
        <f>'REGIÃO 13 - RESUMO'!K72</f>
        <v>21439.75</v>
      </c>
      <c r="J166" s="335">
        <f>'REGIÃO 13 - HISTÓRICO'!F72</f>
        <v>3335.79</v>
      </c>
      <c r="K166" s="335">
        <f>'REGIÃO 13 - HISTÓRICO'!G72</f>
        <v>18103.96</v>
      </c>
      <c r="L166" s="335" t="str">
        <f>IF(OR('REGIÃO 13 - RESUMO'!L72="",'REGIÃO 13 - RESUMO'!L72=0),"",'REGIÃO 13 - RESUMO'!L72)</f>
        <v>Em andamento</v>
      </c>
      <c r="M166" s="335">
        <f>'REGIÃO 13 - HISTÓRICO'!J72</f>
        <v>0</v>
      </c>
      <c r="N166" s="335">
        <f>'REGIÃO 13 - HISTÓRICO'!L72</f>
        <v>0</v>
      </c>
      <c r="O166" s="335">
        <f>'REGIÃO 13 - HISTÓRICO'!N72</f>
        <v>0</v>
      </c>
      <c r="P166" s="335">
        <f>'REGIÃO 13 - HISTÓRICO'!P72</f>
        <v>0</v>
      </c>
      <c r="Q166" s="335">
        <f>'REGIÃO 13 - HISTÓRICO'!R72</f>
        <v>0</v>
      </c>
      <c r="R166" s="335">
        <f>'REGIÃO 13 - HISTÓRICO'!T72</f>
        <v>0</v>
      </c>
      <c r="S166" s="335">
        <f>'REGIÃO 13 - HISTÓRICO'!V72</f>
        <v>84.08</v>
      </c>
      <c r="T166" s="335">
        <f>'REGIÃO 13 - HISTÓRICO'!X72</f>
        <v>3251.71</v>
      </c>
      <c r="U166" s="335">
        <f>'REGIÃO 13 - HISTÓRICO'!Z72</f>
        <v>0</v>
      </c>
      <c r="V166" s="335">
        <f>'REGIÃO 13 - HISTÓRICO'!AB72</f>
        <v>0</v>
      </c>
      <c r="W166" s="335">
        <f>'REGIÃO 13 - HISTÓRICO'!AD72</f>
        <v>0</v>
      </c>
      <c r="X166" s="335">
        <f>'REGIÃO 13 - HISTÓRICO'!AF72</f>
        <v>0</v>
      </c>
      <c r="Y166" s="335"/>
      <c r="Z166" s="335"/>
      <c r="AA166" s="335" t="str">
        <f>IF($Z166="","",COUNTIFS($H$4:$H$217,$Z166,$B$4:$B$217,$Z$1))</f>
        <v/>
      </c>
      <c r="AB166" s="335" t="str">
        <f>IF($Z166="","",SUMIFS($I$4:$I$217,$H$4:$H$217,$Z166,$B$4:$B$217,$Z$1))</f>
        <v/>
      </c>
      <c r="AC166" s="335" t="str">
        <f>IF($Z166="","",$AB166-ROW()/1000000)</f>
        <v/>
      </c>
      <c r="AD166" s="335" t="str">
        <f>IFERROR(RANK($AC166,$AC$4:$AC$217),"")</f>
        <v/>
      </c>
      <c r="AE166" s="335"/>
      <c r="AF166" s="335" t="str">
        <f>$B166</f>
        <v>R13</v>
      </c>
      <c r="AG166" s="335" t="str">
        <f>$C166&amp;"."&amp;TEXT($D166,"0000")</f>
        <v>051.2024.0141</v>
      </c>
      <c r="AH166" s="335">
        <f>IF($B166="",-1,IF(OR($Z$1="?*",$B166=$Z$1),$I166,-1))</f>
        <v>-1</v>
      </c>
      <c r="AI166" s="335" t="str">
        <f>IF($AH166&lt;0,"",$AH166-ROW()/1000000)</f>
        <v/>
      </c>
      <c r="AJ166" s="335" t="str">
        <f>IFERROR(RANK($AI166,$AI$4:$AI$217),"")</f>
        <v/>
      </c>
    </row>
    <row r="167" spans="2:36" x14ac:dyDescent="0.3">
      <c r="B167" s="335" t="str">
        <f>IF(OR('REGIÃO 13 - RESUMO'!E73="",'REGIÃO 13 - RESUMO'!E73=0),"",'REGIÃO 13 - RESUMO'!C73)</f>
        <v>R13</v>
      </c>
      <c r="C167" s="335" t="str">
        <f>'REGIÃO 13 - RESUMO'!D73</f>
        <v>051.2024</v>
      </c>
      <c r="D167" s="81">
        <f>'REGIÃO 13 - RESUMO'!E73</f>
        <v>142</v>
      </c>
      <c r="E167" s="80" t="str">
        <f>'REGIÃO 13 - RESUMO'!F73</f>
        <v>Julho</v>
      </c>
      <c r="F167" s="82">
        <f>'REGIÃO 13 - RESUMO'!H73</f>
        <v>253</v>
      </c>
      <c r="G167" s="335" t="str">
        <f>'REGIÃO 13 - RESUMO'!I73</f>
        <v>RODOVIA TO-110 - TRECHO AURORA DO TOCANTINS - LAVANDEIRA</v>
      </c>
      <c r="H167" s="80" t="str">
        <f>'REGIÃO 13 - RESUMO'!J73</f>
        <v>Roçada / Tapa-Buraco PMF</v>
      </c>
      <c r="I167" s="335">
        <f>'REGIÃO 13 - RESUMO'!K73</f>
        <v>46302.31</v>
      </c>
      <c r="J167" s="335">
        <f>'REGIÃO 13 - HISTÓRICO'!F73</f>
        <v>9468.4499999999989</v>
      </c>
      <c r="K167" s="335">
        <f>'REGIÃO 13 - HISTÓRICO'!G73</f>
        <v>36833.86</v>
      </c>
      <c r="L167" s="335" t="str">
        <f>IF(OR('REGIÃO 13 - RESUMO'!L73="",'REGIÃO 13 - RESUMO'!L73=0),"",'REGIÃO 13 - RESUMO'!L73)</f>
        <v>Em andamento</v>
      </c>
      <c r="M167" s="335">
        <f>'REGIÃO 13 - HISTÓRICO'!J73</f>
        <v>0</v>
      </c>
      <c r="N167" s="335">
        <f>'REGIÃO 13 - HISTÓRICO'!L73</f>
        <v>0</v>
      </c>
      <c r="O167" s="335">
        <f>'REGIÃO 13 - HISTÓRICO'!N73</f>
        <v>0</v>
      </c>
      <c r="P167" s="335">
        <f>'REGIÃO 13 - HISTÓRICO'!P73</f>
        <v>0</v>
      </c>
      <c r="Q167" s="335">
        <f>'REGIÃO 13 - HISTÓRICO'!R73</f>
        <v>0</v>
      </c>
      <c r="R167" s="335">
        <f>'REGIÃO 13 - HISTÓRICO'!T73</f>
        <v>0</v>
      </c>
      <c r="S167" s="335">
        <f>'REGIÃO 13 - HISTÓRICO'!V73</f>
        <v>252.23</v>
      </c>
      <c r="T167" s="335">
        <f>'REGIÃO 13 - HISTÓRICO'!X73</f>
        <v>9216.2199999999993</v>
      </c>
      <c r="U167" s="335">
        <f>'REGIÃO 13 - HISTÓRICO'!Z73</f>
        <v>0</v>
      </c>
      <c r="V167" s="335">
        <f>'REGIÃO 13 - HISTÓRICO'!AB73</f>
        <v>0</v>
      </c>
      <c r="W167" s="335">
        <f>'REGIÃO 13 - HISTÓRICO'!AD73</f>
        <v>0</v>
      </c>
      <c r="X167" s="335">
        <f>'REGIÃO 13 - HISTÓRICO'!AF73</f>
        <v>0</v>
      </c>
      <c r="Y167" s="335"/>
      <c r="Z167" s="335"/>
      <c r="AA167" s="335" t="str">
        <f>IF($Z167="","",COUNTIFS($H$4:$H$217,$Z167,$B$4:$B$217,$Z$1))</f>
        <v/>
      </c>
      <c r="AB167" s="335" t="str">
        <f>IF($Z167="","",SUMIFS($I$4:$I$217,$H$4:$H$217,$Z167,$B$4:$B$217,$Z$1))</f>
        <v/>
      </c>
      <c r="AC167" s="335" t="str">
        <f>IF($Z167="","",$AB167-ROW()/1000000)</f>
        <v/>
      </c>
      <c r="AD167" s="335" t="str">
        <f>IFERROR(RANK($AC167,$AC$4:$AC$217),"")</f>
        <v/>
      </c>
      <c r="AE167" s="335"/>
      <c r="AF167" s="335" t="str">
        <f>$B167</f>
        <v>R13</v>
      </c>
      <c r="AG167" s="335" t="str">
        <f>$C167&amp;"."&amp;TEXT($D167,"0000")</f>
        <v>051.2024.0142</v>
      </c>
      <c r="AH167" s="335">
        <f>IF($B167="",-1,IF(OR($Z$1="?*",$B167=$Z$1),$I167,-1))</f>
        <v>-1</v>
      </c>
      <c r="AI167" s="335" t="str">
        <f>IF($AH167&lt;0,"",$AH167-ROW()/1000000)</f>
        <v/>
      </c>
      <c r="AJ167" s="335" t="str">
        <f>IFERROR(RANK($AI167,$AI$4:$AI$217),"")</f>
        <v/>
      </c>
    </row>
    <row r="168" spans="2:36" x14ac:dyDescent="0.3">
      <c r="B168" s="335" t="str">
        <f>IF(OR('REGIÃO 13 - RESUMO'!E74="",'REGIÃO 13 - RESUMO'!E74=0),"",'REGIÃO 13 - RESUMO'!C74)</f>
        <v>R13</v>
      </c>
      <c r="C168" s="335" t="str">
        <f>'REGIÃO 13 - RESUMO'!D74</f>
        <v>051.2024</v>
      </c>
      <c r="D168" s="81">
        <f>'REGIÃO 13 - RESUMO'!E74</f>
        <v>143</v>
      </c>
      <c r="E168" s="80" t="str">
        <f>'REGIÃO 13 - RESUMO'!F74</f>
        <v>Julho</v>
      </c>
      <c r="F168" s="82">
        <f>'REGIÃO 13 - RESUMO'!H74</f>
        <v>254</v>
      </c>
      <c r="G168" s="335" t="str">
        <f>'REGIÃO 13 - RESUMO'!I74</f>
        <v>RODOVIA TO-110 - TRECHO COMBINADO - NOVO ALEGRE - DIVISA TO-GO</v>
      </c>
      <c r="H168" s="80" t="str">
        <f>'REGIÃO 13 - RESUMO'!J74</f>
        <v>Roçada / Tapa-Buraco PMF</v>
      </c>
      <c r="I168" s="335">
        <f>'REGIÃO 13 - RESUMO'!K74</f>
        <v>57043.47</v>
      </c>
      <c r="J168" s="335">
        <f>'REGIÃO 13 - HISTÓRICO'!F74</f>
        <v>9423.7699999999986</v>
      </c>
      <c r="K168" s="335">
        <f>'REGIÃO 13 - HISTÓRICO'!G74</f>
        <v>47619.700000000004</v>
      </c>
      <c r="L168" s="335" t="str">
        <f>IF(OR('REGIÃO 13 - RESUMO'!L74="",'REGIÃO 13 - RESUMO'!L74=0),"",'REGIÃO 13 - RESUMO'!L74)</f>
        <v>Em andamento</v>
      </c>
      <c r="M168" s="335">
        <f>'REGIÃO 13 - HISTÓRICO'!J74</f>
        <v>0</v>
      </c>
      <c r="N168" s="335">
        <f>'REGIÃO 13 - HISTÓRICO'!L74</f>
        <v>0</v>
      </c>
      <c r="O168" s="335">
        <f>'REGIÃO 13 - HISTÓRICO'!N74</f>
        <v>0</v>
      </c>
      <c r="P168" s="335">
        <f>'REGIÃO 13 - HISTÓRICO'!P74</f>
        <v>0</v>
      </c>
      <c r="Q168" s="335">
        <f>'REGIÃO 13 - HISTÓRICO'!R74</f>
        <v>0</v>
      </c>
      <c r="R168" s="335">
        <f>'REGIÃO 13 - HISTÓRICO'!T74</f>
        <v>0</v>
      </c>
      <c r="S168" s="335">
        <f>'REGIÃO 13 - HISTÓRICO'!V74</f>
        <v>420.39</v>
      </c>
      <c r="T168" s="335">
        <f>'REGIÃO 13 - HISTÓRICO'!X74</f>
        <v>9003.3799999999992</v>
      </c>
      <c r="U168" s="335">
        <f>'REGIÃO 13 - HISTÓRICO'!Z74</f>
        <v>0</v>
      </c>
      <c r="V168" s="335">
        <f>'REGIÃO 13 - HISTÓRICO'!AB74</f>
        <v>0</v>
      </c>
      <c r="W168" s="335">
        <f>'REGIÃO 13 - HISTÓRICO'!AD74</f>
        <v>0</v>
      </c>
      <c r="X168" s="335">
        <f>'REGIÃO 13 - HISTÓRICO'!AF74</f>
        <v>0</v>
      </c>
      <c r="Y168" s="335"/>
      <c r="Z168" s="335"/>
      <c r="AA168" s="335" t="str">
        <f>IF($Z168="","",COUNTIFS($H$4:$H$217,$Z168,$B$4:$B$217,$Z$1))</f>
        <v/>
      </c>
      <c r="AB168" s="335" t="str">
        <f>IF($Z168="","",SUMIFS($I$4:$I$217,$H$4:$H$217,$Z168,$B$4:$B$217,$Z$1))</f>
        <v/>
      </c>
      <c r="AC168" s="335" t="str">
        <f>IF($Z168="","",$AB168-ROW()/1000000)</f>
        <v/>
      </c>
      <c r="AD168" s="335" t="str">
        <f>IFERROR(RANK($AC168,$AC$4:$AC$217),"")</f>
        <v/>
      </c>
      <c r="AE168" s="335"/>
      <c r="AF168" s="335" t="str">
        <f>$B168</f>
        <v>R13</v>
      </c>
      <c r="AG168" s="335" t="str">
        <f>$C168&amp;"."&amp;TEXT($D168,"0000")</f>
        <v>051.2024.0143</v>
      </c>
      <c r="AH168" s="335">
        <f>IF($B168="",-1,IF(OR($Z$1="?*",$B168=$Z$1),$I168,-1))</f>
        <v>-1</v>
      </c>
      <c r="AI168" s="335" t="str">
        <f>IF($AH168&lt;0,"",$AH168-ROW()/1000000)</f>
        <v/>
      </c>
      <c r="AJ168" s="335" t="str">
        <f>IFERROR(RANK($AI168,$AI$4:$AI$217),"")</f>
        <v/>
      </c>
    </row>
    <row r="169" spans="2:36" x14ac:dyDescent="0.3">
      <c r="B169" s="335" t="str">
        <f>IF(OR('REGIÃO 13 - RESUMO'!E75="",'REGIÃO 13 - RESUMO'!E75=0),"",'REGIÃO 13 - RESUMO'!C75)</f>
        <v>R13</v>
      </c>
      <c r="C169" s="335" t="str">
        <f>'REGIÃO 13 - RESUMO'!D75</f>
        <v>051.2024</v>
      </c>
      <c r="D169" s="81">
        <f>'REGIÃO 13 - RESUMO'!E75</f>
        <v>144</v>
      </c>
      <c r="E169" s="80" t="str">
        <f>'REGIÃO 13 - RESUMO'!F75</f>
        <v>Agosto</v>
      </c>
      <c r="F169" s="82">
        <f>'REGIÃO 13 - RESUMO'!H75</f>
        <v>249</v>
      </c>
      <c r="G169" s="335" t="str">
        <f>'REGIÃO 13 - RESUMO'!I75</f>
        <v>RODOVIA TO-040 - TRECHO PORTO ALEGRE DO TOCANTINS - DIANÓPOLIS</v>
      </c>
      <c r="H169" s="80" t="str">
        <f>'REGIÃO 13 - RESUMO'!J75</f>
        <v xml:space="preserve"> Roçada / Caiação de EDS e pontes</v>
      </c>
      <c r="I169" s="335">
        <f>'REGIÃO 13 - RESUMO'!K75</f>
        <v>68167.67</v>
      </c>
      <c r="J169" s="335">
        <f>'REGIÃO 13 - HISTÓRICO'!F75</f>
        <v>2383.7800000000002</v>
      </c>
      <c r="K169" s="335">
        <f>'REGIÃO 13 - HISTÓRICO'!G75</f>
        <v>65783.89</v>
      </c>
      <c r="L169" s="335" t="str">
        <f>IF(OR('REGIÃO 13 - RESUMO'!L75="",'REGIÃO 13 - RESUMO'!L75=0),"",'REGIÃO 13 - RESUMO'!L75)</f>
        <v>Em andamento</v>
      </c>
      <c r="M169" s="335">
        <f>'REGIÃO 13 - HISTÓRICO'!J75</f>
        <v>0</v>
      </c>
      <c r="N169" s="335">
        <f>'REGIÃO 13 - HISTÓRICO'!L75</f>
        <v>0</v>
      </c>
      <c r="O169" s="335">
        <f>'REGIÃO 13 - HISTÓRICO'!N75</f>
        <v>0</v>
      </c>
      <c r="P169" s="335">
        <f>'REGIÃO 13 - HISTÓRICO'!P75</f>
        <v>0</v>
      </c>
      <c r="Q169" s="335">
        <f>'REGIÃO 13 - HISTÓRICO'!R75</f>
        <v>0</v>
      </c>
      <c r="R169" s="335">
        <f>'REGIÃO 13 - HISTÓRICO'!T75</f>
        <v>0</v>
      </c>
      <c r="S169" s="335">
        <f>'REGIÃO 13 - HISTÓRICO'!V75</f>
        <v>0</v>
      </c>
      <c r="T169" s="335">
        <f>'REGIÃO 13 - HISTÓRICO'!X75</f>
        <v>2383.7800000000002</v>
      </c>
      <c r="U169" s="335">
        <f>'REGIÃO 13 - HISTÓRICO'!Z75</f>
        <v>0</v>
      </c>
      <c r="V169" s="335">
        <f>'REGIÃO 13 - HISTÓRICO'!AB75</f>
        <v>0</v>
      </c>
      <c r="W169" s="335">
        <f>'REGIÃO 13 - HISTÓRICO'!AD75</f>
        <v>0</v>
      </c>
      <c r="X169" s="335">
        <f>'REGIÃO 13 - HISTÓRICO'!AF75</f>
        <v>0</v>
      </c>
      <c r="Y169" s="335"/>
      <c r="Z169" s="335"/>
      <c r="AA169" s="335" t="str">
        <f>IF($Z169="","",COUNTIFS($H$4:$H$217,$Z169,$B$4:$B$217,$Z$1))</f>
        <v/>
      </c>
      <c r="AB169" s="335" t="str">
        <f>IF($Z169="","",SUMIFS($I$4:$I$217,$H$4:$H$217,$Z169,$B$4:$B$217,$Z$1))</f>
        <v/>
      </c>
      <c r="AC169" s="335" t="str">
        <f>IF($Z169="","",$AB169-ROW()/1000000)</f>
        <v/>
      </c>
      <c r="AD169" s="335" t="str">
        <f>IFERROR(RANK($AC169,$AC$4:$AC$217),"")</f>
        <v/>
      </c>
      <c r="AE169" s="335"/>
      <c r="AF169" s="335" t="str">
        <f>$B169</f>
        <v>R13</v>
      </c>
      <c r="AG169" s="335" t="str">
        <f>$C169&amp;"."&amp;TEXT($D169,"0000")</f>
        <v>051.2024.0144</v>
      </c>
      <c r="AH169" s="335">
        <f>IF($B169="",-1,IF(OR($Z$1="?*",$B169=$Z$1),$I169,-1))</f>
        <v>-1</v>
      </c>
      <c r="AI169" s="335" t="str">
        <f>IF($AH169&lt;0,"",$AH169-ROW()/1000000)</f>
        <v/>
      </c>
      <c r="AJ169" s="335" t="str">
        <f>IFERROR(RANK($AI169,$AI$4:$AI$217),"")</f>
        <v/>
      </c>
    </row>
    <row r="170" spans="2:36" x14ac:dyDescent="0.3">
      <c r="B170" s="335" t="str">
        <f>IF(OR('REGIÃO 13 - RESUMO'!E76="",'REGIÃO 13 - RESUMO'!E76=0),"",'REGIÃO 13 - RESUMO'!C76)</f>
        <v>R13</v>
      </c>
      <c r="C170" s="335" t="str">
        <f>'REGIÃO 13 - RESUMO'!D76</f>
        <v>051.2024</v>
      </c>
      <c r="D170" s="81">
        <f>'REGIÃO 13 - RESUMO'!E76</f>
        <v>145</v>
      </c>
      <c r="E170" s="80" t="str">
        <f>'REGIÃO 13 - RESUMO'!F76</f>
        <v>Julho</v>
      </c>
      <c r="F170" s="82">
        <f>'REGIÃO 13 - RESUMO'!H76</f>
        <v>268</v>
      </c>
      <c r="G170" s="335" t="str">
        <f>'REGIÃO 13 - RESUMO'!I76</f>
        <v>RODOVIA TO-477 - TRECHO ALMAS - ENTR. TO-476</v>
      </c>
      <c r="H170" s="80" t="str">
        <f>'REGIÃO 13 - RESUMO'!J76</f>
        <v>Enrocamento de pedra arrumada / Enrocamento de pedra jogada / Terraplenagem / Reconformação da plataforma / Recomposição do revestimento primário</v>
      </c>
      <c r="I170" s="335">
        <f>'REGIÃO 13 - RESUMO'!K76</f>
        <v>540998.06999999995</v>
      </c>
      <c r="J170" s="335">
        <f>'REGIÃO 13 - HISTÓRICO'!F76</f>
        <v>300916.39</v>
      </c>
      <c r="K170" s="335">
        <f>'REGIÃO 13 - HISTÓRICO'!G76</f>
        <v>240081.67999999993</v>
      </c>
      <c r="L170" s="335" t="str">
        <f>IF(OR('REGIÃO 13 - RESUMO'!L76="",'REGIÃO 13 - RESUMO'!L76=0),"",'REGIÃO 13 - RESUMO'!L76)</f>
        <v>Justificada</v>
      </c>
      <c r="M170" s="335">
        <f>'REGIÃO 13 - HISTÓRICO'!J76</f>
        <v>0</v>
      </c>
      <c r="N170" s="335">
        <f>'REGIÃO 13 - HISTÓRICO'!L76</f>
        <v>0</v>
      </c>
      <c r="O170" s="335">
        <f>'REGIÃO 13 - HISTÓRICO'!N76</f>
        <v>0</v>
      </c>
      <c r="P170" s="335">
        <f>'REGIÃO 13 - HISTÓRICO'!P76</f>
        <v>0</v>
      </c>
      <c r="Q170" s="335">
        <f>'REGIÃO 13 - HISTÓRICO'!R76</f>
        <v>0</v>
      </c>
      <c r="R170" s="335">
        <f>'REGIÃO 13 - HISTÓRICO'!T76</f>
        <v>0</v>
      </c>
      <c r="S170" s="335">
        <f>'REGIÃO 13 - HISTÓRICO'!V76</f>
        <v>300916.39</v>
      </c>
      <c r="T170" s="335">
        <f>'REGIÃO 13 - HISTÓRICO'!X76</f>
        <v>0</v>
      </c>
      <c r="U170" s="335">
        <f>'REGIÃO 13 - HISTÓRICO'!Z76</f>
        <v>0</v>
      </c>
      <c r="V170" s="335">
        <f>'REGIÃO 13 - HISTÓRICO'!AB76</f>
        <v>0</v>
      </c>
      <c r="W170" s="335">
        <f>'REGIÃO 13 - HISTÓRICO'!AD76</f>
        <v>0</v>
      </c>
      <c r="X170" s="335">
        <f>'REGIÃO 13 - HISTÓRICO'!AF76</f>
        <v>0</v>
      </c>
      <c r="Y170" s="335"/>
      <c r="Z170" s="335"/>
      <c r="AA170" s="335" t="str">
        <f>IF($Z170="","",COUNTIFS($H$4:$H$217,$Z170,$B$4:$B$217,$Z$1))</f>
        <v/>
      </c>
      <c r="AB170" s="335" t="str">
        <f>IF($Z170="","",SUMIFS($I$4:$I$217,$H$4:$H$217,$Z170,$B$4:$B$217,$Z$1))</f>
        <v/>
      </c>
      <c r="AC170" s="335" t="str">
        <f>IF($Z170="","",$AB170-ROW()/1000000)</f>
        <v/>
      </c>
      <c r="AD170" s="335" t="str">
        <f>IFERROR(RANK($AC170,$AC$4:$AC$217),"")</f>
        <v/>
      </c>
      <c r="AE170" s="335"/>
      <c r="AF170" s="335" t="str">
        <f>$B170</f>
        <v>R13</v>
      </c>
      <c r="AG170" s="335" t="str">
        <f>$C170&amp;"."&amp;TEXT($D170,"0000")</f>
        <v>051.2024.0145</v>
      </c>
      <c r="AH170" s="335">
        <f>IF($B170="",-1,IF(OR($Z$1="?*",$B170=$Z$1),$I170,-1))</f>
        <v>-1</v>
      </c>
      <c r="AI170" s="335" t="str">
        <f>IF($AH170&lt;0,"",$AH170-ROW()/1000000)</f>
        <v/>
      </c>
      <c r="AJ170" s="335" t="str">
        <f>IFERROR(RANK($AI170,$AI$4:$AI$217),"")</f>
        <v/>
      </c>
    </row>
    <row r="171" spans="2:36" x14ac:dyDescent="0.3">
      <c r="B171" s="335" t="str">
        <f>IF(OR('REGIÃO 13 - RESUMO'!E77="",'REGIÃO 13 - RESUMO'!E77=0),"",'REGIÃO 13 - RESUMO'!C77)</f>
        <v>R13</v>
      </c>
      <c r="C171" s="335" t="str">
        <f>'REGIÃO 13 - RESUMO'!D77</f>
        <v>051.2024</v>
      </c>
      <c r="D171" s="81">
        <f>'REGIÃO 13 - RESUMO'!E77</f>
        <v>146</v>
      </c>
      <c r="E171" s="80" t="str">
        <f>'REGIÃO 13 - RESUMO'!F77</f>
        <v>Agosto</v>
      </c>
      <c r="F171" s="82">
        <f>'REGIÃO 13 - RESUMO'!H77</f>
        <v>263</v>
      </c>
      <c r="G171" s="335" t="str">
        <f>'REGIÃO 13 - RESUMO'!I77</f>
        <v>RODOVIA TO-387 - TRECHO CONCEIÇÃO DO TOCANTINS - TAIPAS DO TOCANTINS</v>
      </c>
      <c r="H171" s="80" t="str">
        <f>'REGIÃO 13 - RESUMO'!J77</f>
        <v>Roçada</v>
      </c>
      <c r="I171" s="335">
        <f>'REGIÃO 13 - RESUMO'!K77</f>
        <v>20730.63</v>
      </c>
      <c r="J171" s="335">
        <f>'REGIÃO 13 - HISTÓRICO'!F77</f>
        <v>20730.63</v>
      </c>
      <c r="K171" s="335">
        <f>'REGIÃO 13 - HISTÓRICO'!G77</f>
        <v>0</v>
      </c>
      <c r="L171" s="335" t="str">
        <f>IF(OR('REGIÃO 13 - RESUMO'!L77="",'REGIÃO 13 - RESUMO'!L77=0),"",'REGIÃO 13 - RESUMO'!L77)</f>
        <v>Concluída</v>
      </c>
      <c r="M171" s="335">
        <f>'REGIÃO 13 - HISTÓRICO'!J77</f>
        <v>0</v>
      </c>
      <c r="N171" s="335">
        <f>'REGIÃO 13 - HISTÓRICO'!L77</f>
        <v>0</v>
      </c>
      <c r="O171" s="335">
        <f>'REGIÃO 13 - HISTÓRICO'!N77</f>
        <v>0</v>
      </c>
      <c r="P171" s="335">
        <f>'REGIÃO 13 - HISTÓRICO'!P77</f>
        <v>0</v>
      </c>
      <c r="Q171" s="335">
        <f>'REGIÃO 13 - HISTÓRICO'!R77</f>
        <v>0</v>
      </c>
      <c r="R171" s="335">
        <f>'REGIÃO 13 - HISTÓRICO'!T77</f>
        <v>0</v>
      </c>
      <c r="S171" s="335">
        <f>'REGIÃO 13 - HISTÓRICO'!V77</f>
        <v>0</v>
      </c>
      <c r="T171" s="335">
        <f>'REGIÃO 13 - HISTÓRICO'!X77</f>
        <v>20730.63</v>
      </c>
      <c r="U171" s="335">
        <f>'REGIÃO 13 - HISTÓRICO'!Z77</f>
        <v>0</v>
      </c>
      <c r="V171" s="335">
        <f>'REGIÃO 13 - HISTÓRICO'!AB77</f>
        <v>0</v>
      </c>
      <c r="W171" s="335">
        <f>'REGIÃO 13 - HISTÓRICO'!AD77</f>
        <v>0</v>
      </c>
      <c r="X171" s="335">
        <f>'REGIÃO 13 - HISTÓRICO'!AF77</f>
        <v>0</v>
      </c>
      <c r="Y171" s="335"/>
      <c r="Z171" s="335"/>
      <c r="AA171" s="335" t="str">
        <f>IF($Z171="","",COUNTIFS($H$4:$H$217,$Z171,$B$4:$B$217,$Z$1))</f>
        <v/>
      </c>
      <c r="AB171" s="335" t="str">
        <f>IF($Z171="","",SUMIFS($I$4:$I$217,$H$4:$H$217,$Z171,$B$4:$B$217,$Z$1))</f>
        <v/>
      </c>
      <c r="AC171" s="335" t="str">
        <f>IF($Z171="","",$AB171-ROW()/1000000)</f>
        <v/>
      </c>
      <c r="AD171" s="335" t="str">
        <f>IFERROR(RANK($AC171,$AC$4:$AC$217),"")</f>
        <v/>
      </c>
      <c r="AE171" s="335"/>
      <c r="AF171" s="335" t="str">
        <f>$B171</f>
        <v>R13</v>
      </c>
      <c r="AG171" s="335" t="str">
        <f>$C171&amp;"."&amp;TEXT($D171,"0000")</f>
        <v>051.2024.0146</v>
      </c>
      <c r="AH171" s="335">
        <f>IF($B171="",-1,IF(OR($Z$1="?*",$B171=$Z$1),$I171,-1))</f>
        <v>-1</v>
      </c>
      <c r="AI171" s="335" t="str">
        <f>IF($AH171&lt;0,"",$AH171-ROW()/1000000)</f>
        <v/>
      </c>
      <c r="AJ171" s="335" t="str">
        <f>IFERROR(RANK($AI171,$AI$4:$AI$217),"")</f>
        <v/>
      </c>
    </row>
    <row r="172" spans="2:36" x14ac:dyDescent="0.3">
      <c r="B172" s="335" t="str">
        <f>IF(OR('REGIÃO 13 - RESUMO'!E78="",'REGIÃO 13 - RESUMO'!E78=0),"",'REGIÃO 13 - RESUMO'!C78)</f>
        <v>R13</v>
      </c>
      <c r="C172" s="335" t="str">
        <f>'REGIÃO 13 - RESUMO'!D78</f>
        <v>051.2024</v>
      </c>
      <c r="D172" s="81">
        <f>'REGIÃO 13 - RESUMO'!E78</f>
        <v>147</v>
      </c>
      <c r="E172" s="80" t="str">
        <f>'REGIÃO 13 - RESUMO'!F78</f>
        <v>Agosto</v>
      </c>
      <c r="F172" s="82">
        <f>'REGIÃO 13 - RESUMO'!H78</f>
        <v>265</v>
      </c>
      <c r="G172" s="335" t="str">
        <f>'REGIÃO 13 - RESUMO'!I78</f>
        <v>RODOVIA TO-387 - TRECHO ENTR. TO-040 - TAIPAS DO TOCANTINS</v>
      </c>
      <c r="H172" s="80" t="str">
        <f>'REGIÃO 13 - RESUMO'!J78</f>
        <v>Reconformação da plataforma</v>
      </c>
      <c r="I172" s="335">
        <f>'REGIÃO 13 - RESUMO'!K78</f>
        <v>364234.92</v>
      </c>
      <c r="J172" s="335">
        <f>'REGIÃO 13 - HISTÓRICO'!F78</f>
        <v>0</v>
      </c>
      <c r="K172" s="335">
        <f>'REGIÃO 13 - HISTÓRICO'!G78</f>
        <v>364234.92</v>
      </c>
      <c r="L172" s="335" t="str">
        <f>IF(OR('REGIÃO 13 - RESUMO'!L78="",'REGIÃO 13 - RESUMO'!L78=0),"",'REGIÃO 13 - RESUMO'!L78)</f>
        <v>Correção Fiscal</v>
      </c>
      <c r="M172" s="335">
        <f>'REGIÃO 13 - HISTÓRICO'!J78</f>
        <v>0</v>
      </c>
      <c r="N172" s="335">
        <f>'REGIÃO 13 - HISTÓRICO'!L78</f>
        <v>0</v>
      </c>
      <c r="O172" s="335">
        <f>'REGIÃO 13 - HISTÓRICO'!N78</f>
        <v>0</v>
      </c>
      <c r="P172" s="335">
        <f>'REGIÃO 13 - HISTÓRICO'!P78</f>
        <v>0</v>
      </c>
      <c r="Q172" s="335">
        <f>'REGIÃO 13 - HISTÓRICO'!R78</f>
        <v>0</v>
      </c>
      <c r="R172" s="335">
        <f>'REGIÃO 13 - HISTÓRICO'!T78</f>
        <v>0</v>
      </c>
      <c r="S172" s="335">
        <f>'REGIÃO 13 - HISTÓRICO'!V78</f>
        <v>0</v>
      </c>
      <c r="T172" s="335">
        <f>'REGIÃO 13 - HISTÓRICO'!X78</f>
        <v>0</v>
      </c>
      <c r="U172" s="335">
        <f>'REGIÃO 13 - HISTÓRICO'!Z78</f>
        <v>0</v>
      </c>
      <c r="V172" s="335">
        <f>'REGIÃO 13 - HISTÓRICO'!AB78</f>
        <v>0</v>
      </c>
      <c r="W172" s="335">
        <f>'REGIÃO 13 - HISTÓRICO'!AD78</f>
        <v>0</v>
      </c>
      <c r="X172" s="335">
        <f>'REGIÃO 13 - HISTÓRICO'!AF78</f>
        <v>0</v>
      </c>
      <c r="Y172" s="335"/>
      <c r="Z172" s="335"/>
      <c r="AA172" s="335" t="str">
        <f>IF($Z172="","",COUNTIFS($H$4:$H$217,$Z172,$B$4:$B$217,$Z$1))</f>
        <v/>
      </c>
      <c r="AB172" s="335" t="str">
        <f>IF($Z172="","",SUMIFS($I$4:$I$217,$H$4:$H$217,$Z172,$B$4:$B$217,$Z$1))</f>
        <v/>
      </c>
      <c r="AC172" s="335" t="str">
        <f>IF($Z172="","",$AB172-ROW()/1000000)</f>
        <v/>
      </c>
      <c r="AD172" s="335" t="str">
        <f>IFERROR(RANK($AC172,$AC$4:$AC$217),"")</f>
        <v/>
      </c>
      <c r="AE172" s="335"/>
      <c r="AF172" s="335" t="str">
        <f>$B172</f>
        <v>R13</v>
      </c>
      <c r="AG172" s="335" t="str">
        <f>$C172&amp;"."&amp;TEXT($D172,"0000")</f>
        <v>051.2024.0147</v>
      </c>
      <c r="AH172" s="335">
        <f>IF($B172="",-1,IF(OR($Z$1="?*",$B172=$Z$1),$I172,-1))</f>
        <v>-1</v>
      </c>
      <c r="AI172" s="335" t="str">
        <f>IF($AH172&lt;0,"",$AH172-ROW()/1000000)</f>
        <v/>
      </c>
      <c r="AJ172" s="335" t="str">
        <f>IFERROR(RANK($AI172,$AI$4:$AI$217),"")</f>
        <v/>
      </c>
    </row>
    <row r="173" spans="2:36" x14ac:dyDescent="0.3">
      <c r="B173" s="335" t="str">
        <f>IF(OR('REGIÃO 13 - RESUMO'!E79="",'REGIÃO 13 - RESUMO'!E79=0),"",'REGIÃO 13 - RESUMO'!C79)</f>
        <v>R13</v>
      </c>
      <c r="C173" s="335" t="str">
        <f>'REGIÃO 13 - RESUMO'!D79</f>
        <v>051.2024</v>
      </c>
      <c r="D173" s="81">
        <f>'REGIÃO 13 - RESUMO'!E79</f>
        <v>148</v>
      </c>
      <c r="E173" s="80" t="str">
        <f>'REGIÃO 13 - RESUMO'!F79</f>
        <v>Setembro</v>
      </c>
      <c r="F173" s="82">
        <f>'REGIÃO 13 - RESUMO'!H79</f>
        <v>266</v>
      </c>
      <c r="G173" s="335" t="str">
        <f>'REGIÃO 13 - RESUMO'!I79</f>
        <v>RODOVIA TO-476 - TRECHO RIO DA CONCEIÇÃO - DIANÓPOLIS</v>
      </c>
      <c r="H173" s="80" t="str">
        <f>'REGIÃO 13 - RESUMO'!J79</f>
        <v xml:space="preserve"> Roçada / Caiação de EDS e pontes</v>
      </c>
      <c r="I173" s="335">
        <f>'REGIÃO 13 - RESUMO'!K79</f>
        <v>44013.1</v>
      </c>
      <c r="J173" s="335">
        <f>'REGIÃO 13 - HISTÓRICO'!F79</f>
        <v>0</v>
      </c>
      <c r="K173" s="335">
        <f>'REGIÃO 13 - HISTÓRICO'!G79</f>
        <v>44013.1</v>
      </c>
      <c r="L173" s="335" t="str">
        <f>IF(OR('REGIÃO 13 - RESUMO'!L79="",'REGIÃO 13 - RESUMO'!L79=0),"",'REGIÃO 13 - RESUMO'!L79)</f>
        <v>Em elaboração</v>
      </c>
      <c r="M173" s="335">
        <f>'REGIÃO 13 - HISTÓRICO'!J79</f>
        <v>0</v>
      </c>
      <c r="N173" s="335">
        <f>'REGIÃO 13 - HISTÓRICO'!L79</f>
        <v>0</v>
      </c>
      <c r="O173" s="335">
        <f>'REGIÃO 13 - HISTÓRICO'!N79</f>
        <v>0</v>
      </c>
      <c r="P173" s="335">
        <f>'REGIÃO 13 - HISTÓRICO'!P79</f>
        <v>0</v>
      </c>
      <c r="Q173" s="335">
        <f>'REGIÃO 13 - HISTÓRICO'!R79</f>
        <v>0</v>
      </c>
      <c r="R173" s="335">
        <f>'REGIÃO 13 - HISTÓRICO'!T79</f>
        <v>0</v>
      </c>
      <c r="S173" s="335">
        <f>'REGIÃO 13 - HISTÓRICO'!V79</f>
        <v>0</v>
      </c>
      <c r="T173" s="335">
        <f>'REGIÃO 13 - HISTÓRICO'!X79</f>
        <v>0</v>
      </c>
      <c r="U173" s="335">
        <f>'REGIÃO 13 - HISTÓRICO'!Z79</f>
        <v>0</v>
      </c>
      <c r="V173" s="335">
        <f>'REGIÃO 13 - HISTÓRICO'!AB79</f>
        <v>0</v>
      </c>
      <c r="W173" s="335">
        <f>'REGIÃO 13 - HISTÓRICO'!AD79</f>
        <v>0</v>
      </c>
      <c r="X173" s="335">
        <f>'REGIÃO 13 - HISTÓRICO'!AF79</f>
        <v>0</v>
      </c>
      <c r="Y173" s="335"/>
      <c r="Z173" s="335"/>
      <c r="AA173" s="335" t="str">
        <f>IF($Z173="","",COUNTIFS($H$4:$H$217,$Z173,$B$4:$B$217,$Z$1))</f>
        <v/>
      </c>
      <c r="AB173" s="335" t="str">
        <f>IF($Z173="","",SUMIFS($I$4:$I$217,$H$4:$H$217,$Z173,$B$4:$B$217,$Z$1))</f>
        <v/>
      </c>
      <c r="AC173" s="335" t="str">
        <f>IF($Z173="","",$AB173-ROW()/1000000)</f>
        <v/>
      </c>
      <c r="AD173" s="335" t="str">
        <f>IFERROR(RANK($AC173,$AC$4:$AC$217),"")</f>
        <v/>
      </c>
      <c r="AE173" s="335"/>
      <c r="AF173" s="335" t="str">
        <f>$B173</f>
        <v>R13</v>
      </c>
      <c r="AG173" s="335" t="str">
        <f>$C173&amp;"."&amp;TEXT($D173,"0000")</f>
        <v>051.2024.0148</v>
      </c>
      <c r="AH173" s="335">
        <f>IF($B173="",-1,IF(OR($Z$1="?*",$B173=$Z$1),$I173,-1))</f>
        <v>-1</v>
      </c>
      <c r="AI173" s="335" t="str">
        <f>IF($AH173&lt;0,"",$AH173-ROW()/1000000)</f>
        <v/>
      </c>
      <c r="AJ173" s="335" t="str">
        <f>IFERROR(RANK($AI173,$AI$4:$AI$217),"")</f>
        <v/>
      </c>
    </row>
    <row r="174" spans="2:36" x14ac:dyDescent="0.3">
      <c r="B174" s="335" t="str">
        <f>IF(OR('REGIÃO 13 - RESUMO'!E80="",'REGIÃO 13 - RESUMO'!E80=0),"",'REGIÃO 13 - RESUMO'!C80)</f>
        <v>R13</v>
      </c>
      <c r="C174" s="335" t="str">
        <f>'REGIÃO 13 - RESUMO'!D80</f>
        <v>051.2024</v>
      </c>
      <c r="D174" s="81">
        <f>'REGIÃO 13 - RESUMO'!E80</f>
        <v>149</v>
      </c>
      <c r="E174" s="80" t="str">
        <f>'REGIÃO 13 - RESUMO'!F80</f>
        <v>Agosto</v>
      </c>
      <c r="F174" s="82">
        <f>'REGIÃO 13 - RESUMO'!H80</f>
        <v>250</v>
      </c>
      <c r="G174" s="335" t="str">
        <f>'REGIÃO 13 - RESUMO'!I80</f>
        <v>RODOVIA TO-050 - TRECHO ARRAIAS - DIVISA TO-GO</v>
      </c>
      <c r="H174" s="80" t="str">
        <f>'REGIÃO 13 - RESUMO'!J80</f>
        <v>Roçada</v>
      </c>
      <c r="I174" s="335">
        <f>'REGIÃO 13 - RESUMO'!K80</f>
        <v>8354.17</v>
      </c>
      <c r="J174" s="335">
        <f>'REGIÃO 13 - HISTÓRICO'!F80</f>
        <v>8066.57</v>
      </c>
      <c r="K174" s="335">
        <f>'REGIÃO 13 - HISTÓRICO'!G80</f>
        <v>287.60000000000036</v>
      </c>
      <c r="L174" s="335" t="str">
        <f>IF(OR('REGIÃO 13 - RESUMO'!L80="",'REGIÃO 13 - RESUMO'!L80=0),"",'REGIÃO 13 - RESUMO'!L80)</f>
        <v>Concluída</v>
      </c>
      <c r="M174" s="335">
        <f>'REGIÃO 13 - HISTÓRICO'!J80</f>
        <v>0</v>
      </c>
      <c r="N174" s="335">
        <f>'REGIÃO 13 - HISTÓRICO'!L80</f>
        <v>0</v>
      </c>
      <c r="O174" s="335">
        <f>'REGIÃO 13 - HISTÓRICO'!N80</f>
        <v>0</v>
      </c>
      <c r="P174" s="335">
        <f>'REGIÃO 13 - HISTÓRICO'!P80</f>
        <v>0</v>
      </c>
      <c r="Q174" s="335">
        <f>'REGIÃO 13 - HISTÓRICO'!R80</f>
        <v>0</v>
      </c>
      <c r="R174" s="335">
        <f>'REGIÃO 13 - HISTÓRICO'!T80</f>
        <v>0</v>
      </c>
      <c r="S174" s="335">
        <f>'REGIÃO 13 - HISTÓRICO'!V80</f>
        <v>0</v>
      </c>
      <c r="T174" s="335">
        <f>'REGIÃO 13 - HISTÓRICO'!X80</f>
        <v>8066.57</v>
      </c>
      <c r="U174" s="335">
        <f>'REGIÃO 13 - HISTÓRICO'!Z80</f>
        <v>0</v>
      </c>
      <c r="V174" s="335">
        <f>'REGIÃO 13 - HISTÓRICO'!AB80</f>
        <v>0</v>
      </c>
      <c r="W174" s="335">
        <f>'REGIÃO 13 - HISTÓRICO'!AD80</f>
        <v>0</v>
      </c>
      <c r="X174" s="335">
        <f>'REGIÃO 13 - HISTÓRICO'!AF80</f>
        <v>0</v>
      </c>
      <c r="Y174" s="335"/>
      <c r="Z174" s="335"/>
      <c r="AA174" s="335" t="str">
        <f>IF($Z174="","",COUNTIFS($H$4:$H$217,$Z174,$B$4:$B$217,$Z$1))</f>
        <v/>
      </c>
      <c r="AB174" s="335" t="str">
        <f>IF($Z174="","",SUMIFS($I$4:$I$217,$H$4:$H$217,$Z174,$B$4:$B$217,$Z$1))</f>
        <v/>
      </c>
      <c r="AC174" s="335" t="str">
        <f>IF($Z174="","",$AB174-ROW()/1000000)</f>
        <v/>
      </c>
      <c r="AD174" s="335" t="str">
        <f>IFERROR(RANK($AC174,$AC$4:$AC$217),"")</f>
        <v/>
      </c>
      <c r="AE174" s="335"/>
      <c r="AF174" s="335" t="str">
        <f>$B174</f>
        <v>R13</v>
      </c>
      <c r="AG174" s="335" t="str">
        <f>$C174&amp;"."&amp;TEXT($D174,"0000")</f>
        <v>051.2024.0149</v>
      </c>
      <c r="AH174" s="335">
        <f>IF($B174="",-1,IF(OR($Z$1="?*",$B174=$Z$1),$I174,-1))</f>
        <v>-1</v>
      </c>
      <c r="AI174" s="335" t="str">
        <f>IF($AH174&lt;0,"",$AH174-ROW()/1000000)</f>
        <v/>
      </c>
      <c r="AJ174" s="335" t="str">
        <f>IFERROR(RANK($AI174,$AI$4:$AI$217),"")</f>
        <v/>
      </c>
    </row>
    <row r="175" spans="2:36" x14ac:dyDescent="0.3">
      <c r="B175" s="335" t="str">
        <f>IF(OR('REGIÃO 13 - RESUMO'!E81="",'REGIÃO 13 - RESUMO'!E81=0),"",'REGIÃO 13 - RESUMO'!C81)</f>
        <v>R13</v>
      </c>
      <c r="C175" s="335" t="str">
        <f>'REGIÃO 13 - RESUMO'!D81</f>
        <v>051.2024</v>
      </c>
      <c r="D175" s="81">
        <f>'REGIÃO 13 - RESUMO'!E81</f>
        <v>150</v>
      </c>
      <c r="E175" s="80" t="str">
        <f>'REGIÃO 13 - RESUMO'!F81</f>
        <v>Agosto</v>
      </c>
      <c r="F175" s="82">
        <f>'REGIÃO 13 - RESUMO'!H81</f>
        <v>251</v>
      </c>
      <c r="G175" s="335" t="str">
        <f>'REGIÃO 13 - RESUMO'!I81</f>
        <v>RODOVIA TO-050 - TRECHO CONCEIÇÃO DO TOCANTINS - ARRAIAS</v>
      </c>
      <c r="H175" s="80" t="str">
        <f>'REGIÃO 13 - RESUMO'!J81</f>
        <v>Roçada</v>
      </c>
      <c r="I175" s="335">
        <f>'REGIÃO 13 - RESUMO'!K81</f>
        <v>56798.2</v>
      </c>
      <c r="J175" s="335">
        <f>'REGIÃO 13 - HISTÓRICO'!F81</f>
        <v>54844.32</v>
      </c>
      <c r="K175" s="335">
        <f>'REGIÃO 13 - HISTÓRICO'!G81</f>
        <v>1953.8799999999974</v>
      </c>
      <c r="L175" s="335" t="str">
        <f>IF(OR('REGIÃO 13 - RESUMO'!L81="",'REGIÃO 13 - RESUMO'!L81=0),"",'REGIÃO 13 - RESUMO'!L81)</f>
        <v>Concluída</v>
      </c>
      <c r="M175" s="335">
        <f>'REGIÃO 13 - HISTÓRICO'!J81</f>
        <v>0</v>
      </c>
      <c r="N175" s="335">
        <f>'REGIÃO 13 - HISTÓRICO'!L81</f>
        <v>0</v>
      </c>
      <c r="O175" s="335">
        <f>'REGIÃO 13 - HISTÓRICO'!N81</f>
        <v>0</v>
      </c>
      <c r="P175" s="335">
        <f>'REGIÃO 13 - HISTÓRICO'!P81</f>
        <v>0</v>
      </c>
      <c r="Q175" s="335">
        <f>'REGIÃO 13 - HISTÓRICO'!R81</f>
        <v>0</v>
      </c>
      <c r="R175" s="335">
        <f>'REGIÃO 13 - HISTÓRICO'!T81</f>
        <v>0</v>
      </c>
      <c r="S175" s="335">
        <f>'REGIÃO 13 - HISTÓRICO'!V81</f>
        <v>0</v>
      </c>
      <c r="T175" s="335">
        <f>'REGIÃO 13 - HISTÓRICO'!X81</f>
        <v>54844.32</v>
      </c>
      <c r="U175" s="335">
        <f>'REGIÃO 13 - HISTÓRICO'!Z81</f>
        <v>0</v>
      </c>
      <c r="V175" s="335">
        <f>'REGIÃO 13 - HISTÓRICO'!AB81</f>
        <v>0</v>
      </c>
      <c r="W175" s="335">
        <f>'REGIÃO 13 - HISTÓRICO'!AD81</f>
        <v>0</v>
      </c>
      <c r="X175" s="335">
        <f>'REGIÃO 13 - HISTÓRICO'!AF81</f>
        <v>0</v>
      </c>
      <c r="Y175" s="335"/>
      <c r="Z175" s="335"/>
      <c r="AA175" s="335" t="str">
        <f>IF($Z175="","",COUNTIFS($H$4:$H$217,$Z175,$B$4:$B$217,$Z$1))</f>
        <v/>
      </c>
      <c r="AB175" s="335" t="str">
        <f>IF($Z175="","",SUMIFS($I$4:$I$217,$H$4:$H$217,$Z175,$B$4:$B$217,$Z$1))</f>
        <v/>
      </c>
      <c r="AC175" s="335" t="str">
        <f>IF($Z175="","",$AB175-ROW()/1000000)</f>
        <v/>
      </c>
      <c r="AD175" s="335" t="str">
        <f>IFERROR(RANK($AC175,$AC$4:$AC$217),"")</f>
        <v/>
      </c>
      <c r="AE175" s="335"/>
      <c r="AF175" s="335" t="str">
        <f>$B175</f>
        <v>R13</v>
      </c>
      <c r="AG175" s="335" t="str">
        <f>$C175&amp;"."&amp;TEXT($D175,"0000")</f>
        <v>051.2024.0150</v>
      </c>
      <c r="AH175" s="335">
        <f>IF($B175="",-1,IF(OR($Z$1="?*",$B175=$Z$1),$I175,-1))</f>
        <v>-1</v>
      </c>
      <c r="AI175" s="335" t="str">
        <f>IF($AH175&lt;0,"",$AH175-ROW()/1000000)</f>
        <v/>
      </c>
      <c r="AJ175" s="335" t="str">
        <f>IFERROR(RANK($AI175,$AI$4:$AI$217),"")</f>
        <v/>
      </c>
    </row>
    <row r="176" spans="2:36" x14ac:dyDescent="0.3">
      <c r="B176" s="335" t="str">
        <f>IF(OR('REGIÃO 13 - RESUMO'!E82="",'REGIÃO 13 - RESUMO'!E82=0),"",'REGIÃO 13 - RESUMO'!C82)</f>
        <v>R13</v>
      </c>
      <c r="C176" s="335" t="str">
        <f>'REGIÃO 13 - RESUMO'!D82</f>
        <v>051.2024</v>
      </c>
      <c r="D176" s="81">
        <f>'REGIÃO 13 - RESUMO'!E82</f>
        <v>151</v>
      </c>
      <c r="E176" s="80" t="str">
        <f>'REGIÃO 13 - RESUMO'!F82</f>
        <v>Setembro</v>
      </c>
      <c r="F176" s="82">
        <f>'REGIÃO 13 - RESUMO'!H82</f>
        <v>252</v>
      </c>
      <c r="G176" s="335" t="str">
        <f>'REGIÃO 13 - RESUMO'!I82</f>
        <v>RODOVIA TO-050 - TRECHO ENTR. BR-010 (POVOADO PRÍNCIPE) - CONCEIÇÃO DO TOCANTINS</v>
      </c>
      <c r="H176" s="80" t="str">
        <f>'REGIÃO 13 - RESUMO'!J82</f>
        <v>Roçada / Tapa-Buraco PMF</v>
      </c>
      <c r="I176" s="335">
        <f>'REGIÃO 13 - RESUMO'!K82</f>
        <v>51437.3</v>
      </c>
      <c r="J176" s="335">
        <f>'REGIÃO 13 - HISTÓRICO'!F82</f>
        <v>0</v>
      </c>
      <c r="K176" s="335">
        <f>'REGIÃO 13 - HISTÓRICO'!G82</f>
        <v>51437.3</v>
      </c>
      <c r="L176" s="335" t="str">
        <f>IF(OR('REGIÃO 13 - RESUMO'!L82="",'REGIÃO 13 - RESUMO'!L82=0),"",'REGIÃO 13 - RESUMO'!L82)</f>
        <v>Em elaboração</v>
      </c>
      <c r="M176" s="335">
        <f>'REGIÃO 13 - HISTÓRICO'!J82</f>
        <v>0</v>
      </c>
      <c r="N176" s="335">
        <f>'REGIÃO 13 - HISTÓRICO'!L82</f>
        <v>0</v>
      </c>
      <c r="O176" s="335">
        <f>'REGIÃO 13 - HISTÓRICO'!N82</f>
        <v>0</v>
      </c>
      <c r="P176" s="335">
        <f>'REGIÃO 13 - HISTÓRICO'!P82</f>
        <v>0</v>
      </c>
      <c r="Q176" s="335">
        <f>'REGIÃO 13 - HISTÓRICO'!R82</f>
        <v>0</v>
      </c>
      <c r="R176" s="335">
        <f>'REGIÃO 13 - HISTÓRICO'!T82</f>
        <v>0</v>
      </c>
      <c r="S176" s="335">
        <f>'REGIÃO 13 - HISTÓRICO'!V82</f>
        <v>0</v>
      </c>
      <c r="T176" s="335">
        <f>'REGIÃO 13 - HISTÓRICO'!X82</f>
        <v>0</v>
      </c>
      <c r="U176" s="335">
        <f>'REGIÃO 13 - HISTÓRICO'!Z82</f>
        <v>0</v>
      </c>
      <c r="V176" s="335">
        <f>'REGIÃO 13 - HISTÓRICO'!AB82</f>
        <v>0</v>
      </c>
      <c r="W176" s="335">
        <f>'REGIÃO 13 - HISTÓRICO'!AD82</f>
        <v>0</v>
      </c>
      <c r="X176" s="335">
        <f>'REGIÃO 13 - HISTÓRICO'!AF82</f>
        <v>0</v>
      </c>
      <c r="Y176" s="335"/>
      <c r="Z176" s="335"/>
      <c r="AA176" s="335" t="str">
        <f>IF($Z176="","",COUNTIFS($H$4:$H$217,$Z176,$B$4:$B$217,$Z$1))</f>
        <v/>
      </c>
      <c r="AB176" s="335" t="str">
        <f>IF($Z176="","",SUMIFS($I$4:$I$217,$H$4:$H$217,$Z176,$B$4:$B$217,$Z$1))</f>
        <v/>
      </c>
      <c r="AC176" s="335" t="str">
        <f>IF($Z176="","",$AB176-ROW()/1000000)</f>
        <v/>
      </c>
      <c r="AD176" s="335" t="str">
        <f>IFERROR(RANK($AC176,$AC$4:$AC$217),"")</f>
        <v/>
      </c>
      <c r="AE176" s="335"/>
      <c r="AF176" s="335" t="str">
        <f>$B176</f>
        <v>R13</v>
      </c>
      <c r="AG176" s="335" t="str">
        <f>$C176&amp;"."&amp;TEXT($D176,"0000")</f>
        <v>051.2024.0151</v>
      </c>
      <c r="AH176" s="335">
        <f>IF($B176="",-1,IF(OR($Z$1="?*",$B176=$Z$1),$I176,-1))</f>
        <v>-1</v>
      </c>
      <c r="AI176" s="335" t="str">
        <f>IF($AH176&lt;0,"",$AH176-ROW()/1000000)</f>
        <v/>
      </c>
      <c r="AJ176" s="335" t="str">
        <f>IFERROR(RANK($AI176,$AI$4:$AI$217),"")</f>
        <v/>
      </c>
    </row>
    <row r="177" spans="2:36" x14ac:dyDescent="0.3">
      <c r="B177" s="335" t="str">
        <f>IF(OR('REGIÃO 13 - RESUMO'!E83="",'REGIÃO 13 - RESUMO'!E83=0),"",'REGIÃO 13 - RESUMO'!C83)</f>
        <v>R13</v>
      </c>
      <c r="C177" s="335" t="str">
        <f>'REGIÃO 13 - RESUMO'!D83</f>
        <v>051.2024</v>
      </c>
      <c r="D177" s="81">
        <f>'REGIÃO 13 - RESUMO'!E83</f>
        <v>152</v>
      </c>
      <c r="E177" s="80" t="str">
        <f>'REGIÃO 13 - RESUMO'!F83</f>
        <v>Setembro</v>
      </c>
      <c r="F177" s="82">
        <f>'REGIÃO 13 - RESUMO'!H83</f>
        <v>255</v>
      </c>
      <c r="G177" s="335" t="str">
        <f>'REGIÃO 13 - RESUMO'!I83</f>
        <v>RODOVIA TO-110 - TRECHO ENTR. TO-040 (DIANÓPOLIS) - DIVISA TO-BA (GARGANTA)</v>
      </c>
      <c r="H177" s="80" t="str">
        <f>'REGIÃO 13 - RESUMO'!J83</f>
        <v>Roçada</v>
      </c>
      <c r="I177" s="335">
        <f>'REGIÃO 13 - RESUMO'!K83</f>
        <v>30147.05</v>
      </c>
      <c r="J177" s="335">
        <f>'REGIÃO 13 - HISTÓRICO'!F83</f>
        <v>0</v>
      </c>
      <c r="K177" s="335">
        <f>'REGIÃO 13 - HISTÓRICO'!G83</f>
        <v>30147.05</v>
      </c>
      <c r="L177" s="335" t="str">
        <f>IF(OR('REGIÃO 13 - RESUMO'!L83="",'REGIÃO 13 - RESUMO'!L83=0),"",'REGIÃO 13 - RESUMO'!L83)</f>
        <v>Em elaboração</v>
      </c>
      <c r="M177" s="335">
        <f>'REGIÃO 13 - HISTÓRICO'!J83</f>
        <v>0</v>
      </c>
      <c r="N177" s="335">
        <f>'REGIÃO 13 - HISTÓRICO'!L83</f>
        <v>0</v>
      </c>
      <c r="O177" s="335">
        <f>'REGIÃO 13 - HISTÓRICO'!N83</f>
        <v>0</v>
      </c>
      <c r="P177" s="335">
        <f>'REGIÃO 13 - HISTÓRICO'!P83</f>
        <v>0</v>
      </c>
      <c r="Q177" s="335">
        <f>'REGIÃO 13 - HISTÓRICO'!R83</f>
        <v>0</v>
      </c>
      <c r="R177" s="335">
        <f>'REGIÃO 13 - HISTÓRICO'!T83</f>
        <v>0</v>
      </c>
      <c r="S177" s="335">
        <f>'REGIÃO 13 - HISTÓRICO'!V83</f>
        <v>0</v>
      </c>
      <c r="T177" s="335">
        <f>'REGIÃO 13 - HISTÓRICO'!X83</f>
        <v>0</v>
      </c>
      <c r="U177" s="335">
        <f>'REGIÃO 13 - HISTÓRICO'!Z83</f>
        <v>0</v>
      </c>
      <c r="V177" s="335">
        <f>'REGIÃO 13 - HISTÓRICO'!AB83</f>
        <v>0</v>
      </c>
      <c r="W177" s="335">
        <f>'REGIÃO 13 - HISTÓRICO'!AD83</f>
        <v>0</v>
      </c>
      <c r="X177" s="335">
        <f>'REGIÃO 13 - HISTÓRICO'!AF83</f>
        <v>0</v>
      </c>
      <c r="Y177" s="335"/>
      <c r="Z177" s="335"/>
      <c r="AA177" s="335" t="str">
        <f>IF($Z177="","",COUNTIFS($H$4:$H$217,$Z177,$B$4:$B$217,$Z$1))</f>
        <v/>
      </c>
      <c r="AB177" s="335" t="str">
        <f>IF($Z177="","",SUMIFS($I$4:$I$217,$H$4:$H$217,$Z177,$B$4:$B$217,$Z$1))</f>
        <v/>
      </c>
      <c r="AC177" s="335" t="str">
        <f>IF($Z177="","",$AB177-ROW()/1000000)</f>
        <v/>
      </c>
      <c r="AD177" s="335" t="str">
        <f>IFERROR(RANK($AC177,$AC$4:$AC$217),"")</f>
        <v/>
      </c>
      <c r="AE177" s="335"/>
      <c r="AF177" s="335" t="str">
        <f>$B177</f>
        <v>R13</v>
      </c>
      <c r="AG177" s="335" t="str">
        <f>$C177&amp;"."&amp;TEXT($D177,"0000")</f>
        <v>051.2024.0152</v>
      </c>
      <c r="AH177" s="335">
        <f>IF($B177="",-1,IF(OR($Z$1="?*",$B177=$Z$1),$I177,-1))</f>
        <v>-1</v>
      </c>
      <c r="AI177" s="335" t="str">
        <f>IF($AH177&lt;0,"",$AH177-ROW()/1000000)</f>
        <v/>
      </c>
      <c r="AJ177" s="335" t="str">
        <f>IFERROR(RANK($AI177,$AI$4:$AI$217),"")</f>
        <v/>
      </c>
    </row>
    <row r="178" spans="2:36" x14ac:dyDescent="0.3">
      <c r="B178" s="335" t="str">
        <f>IF(OR('REGIÃO 13 - RESUMO'!E84="",'REGIÃO 13 - RESUMO'!E84=0),"",'REGIÃO 13 - RESUMO'!C84)</f>
        <v>R13</v>
      </c>
      <c r="C178" s="335" t="str">
        <f>'REGIÃO 13 - RESUMO'!D84</f>
        <v>051.2024</v>
      </c>
      <c r="D178" s="81">
        <f>'REGIÃO 13 - RESUMO'!E84</f>
        <v>153</v>
      </c>
      <c r="E178" s="80" t="str">
        <f>'REGIÃO 13 - RESUMO'!F84</f>
        <v>Setembro</v>
      </c>
      <c r="F178" s="82">
        <f>'REGIÃO 13 - RESUMO'!H84</f>
        <v>270</v>
      </c>
      <c r="G178" s="335" t="str">
        <f>'REGIÃO 13 - RESUMO'!I84</f>
        <v>RODOVIA TO-485 - TRECHO TAIPAS DO TOCANTINS - ENTR. TO-110</v>
      </c>
      <c r="H178" s="80" t="str">
        <f>'REGIÃO 13 - RESUMO'!J84</f>
        <v>Reconformação da plataforma</v>
      </c>
      <c r="I178" s="335">
        <f>'REGIÃO 13 - RESUMO'!K84</f>
        <v>106989.84</v>
      </c>
      <c r="J178" s="335">
        <f>'REGIÃO 13 - HISTÓRICO'!F84</f>
        <v>0</v>
      </c>
      <c r="K178" s="335">
        <f>'REGIÃO 13 - HISTÓRICO'!G84</f>
        <v>106989.84</v>
      </c>
      <c r="L178" s="335" t="str">
        <f>IF(OR('REGIÃO 13 - RESUMO'!L84="",'REGIÃO 13 - RESUMO'!L84=0),"",'REGIÃO 13 - RESUMO'!L84)</f>
        <v>Em elaboração</v>
      </c>
      <c r="M178" s="335">
        <f>'REGIÃO 13 - HISTÓRICO'!J84</f>
        <v>0</v>
      </c>
      <c r="N178" s="335">
        <f>'REGIÃO 13 - HISTÓRICO'!L84</f>
        <v>0</v>
      </c>
      <c r="O178" s="335">
        <f>'REGIÃO 13 - HISTÓRICO'!N84</f>
        <v>0</v>
      </c>
      <c r="P178" s="335">
        <f>'REGIÃO 13 - HISTÓRICO'!P84</f>
        <v>0</v>
      </c>
      <c r="Q178" s="335">
        <f>'REGIÃO 13 - HISTÓRICO'!R84</f>
        <v>0</v>
      </c>
      <c r="R178" s="335">
        <f>'REGIÃO 13 - HISTÓRICO'!T84</f>
        <v>0</v>
      </c>
      <c r="S178" s="335">
        <f>'REGIÃO 13 - HISTÓRICO'!V84</f>
        <v>0</v>
      </c>
      <c r="T178" s="335">
        <f>'REGIÃO 13 - HISTÓRICO'!X84</f>
        <v>0</v>
      </c>
      <c r="U178" s="335">
        <f>'REGIÃO 13 - HISTÓRICO'!Z84</f>
        <v>0</v>
      </c>
      <c r="V178" s="335">
        <f>'REGIÃO 13 - HISTÓRICO'!AB84</f>
        <v>0</v>
      </c>
      <c r="W178" s="335">
        <f>'REGIÃO 13 - HISTÓRICO'!AD84</f>
        <v>0</v>
      </c>
      <c r="X178" s="335">
        <f>'REGIÃO 13 - HISTÓRICO'!AF84</f>
        <v>0</v>
      </c>
      <c r="Y178" s="335"/>
      <c r="Z178" s="335"/>
      <c r="AA178" s="335" t="str">
        <f>IF($Z178="","",COUNTIFS($H$4:$H$217,$Z178,$B$4:$B$217,$Z$1))</f>
        <v/>
      </c>
      <c r="AB178" s="335" t="str">
        <f>IF($Z178="","",SUMIFS($I$4:$I$217,$H$4:$H$217,$Z178,$B$4:$B$217,$Z$1))</f>
        <v/>
      </c>
      <c r="AC178" s="335" t="str">
        <f>IF($Z178="","",$AB178-ROW()/1000000)</f>
        <v/>
      </c>
      <c r="AD178" s="335" t="str">
        <f>IFERROR(RANK($AC178,$AC$4:$AC$217),"")</f>
        <v/>
      </c>
      <c r="AE178" s="335"/>
      <c r="AF178" s="335" t="str">
        <f>$B178</f>
        <v>R13</v>
      </c>
      <c r="AG178" s="335" t="str">
        <f>$C178&amp;"."&amp;TEXT($D178,"0000")</f>
        <v>051.2024.0153</v>
      </c>
      <c r="AH178" s="335">
        <f>IF($B178="",-1,IF(OR($Z$1="?*",$B178=$Z$1),$I178,-1))</f>
        <v>-1</v>
      </c>
      <c r="AI178" s="335" t="str">
        <f>IF($AH178&lt;0,"",$AH178-ROW()/1000000)</f>
        <v/>
      </c>
      <c r="AJ178" s="335" t="str">
        <f>IFERROR(RANK($AI178,$AI$4:$AI$217),"")</f>
        <v/>
      </c>
    </row>
    <row r="179" spans="2:36" x14ac:dyDescent="0.3">
      <c r="B179" s="335" t="str">
        <f>IF(OR('REGIÃO 13 - RESUMO'!E85="",'REGIÃO 13 - RESUMO'!E85=0),"",'REGIÃO 13 - RESUMO'!C85)</f>
        <v>R13</v>
      </c>
      <c r="C179" s="335" t="str">
        <f>'REGIÃO 13 - RESUMO'!D85</f>
        <v>051.2024</v>
      </c>
      <c r="D179" s="81">
        <f>'REGIÃO 13 - RESUMO'!E85</f>
        <v>154</v>
      </c>
      <c r="E179" s="80" t="str">
        <f>'REGIÃO 13 - RESUMO'!F85</f>
        <v>Agosto</v>
      </c>
      <c r="F179" s="82">
        <f>'REGIÃO 13 - RESUMO'!H85</f>
        <v>267</v>
      </c>
      <c r="G179" s="335" t="str">
        <f>'REGIÃO 13 - RESUMO'!I85</f>
        <v>RODOVIA TO-476 - TRECHO RIO DA CONCEIÇÃO - ENTR. TO-477</v>
      </c>
      <c r="H179" s="80" t="str">
        <f>'REGIÃO 13 - RESUMO'!J85</f>
        <v>Reconformação da plataforma</v>
      </c>
      <c r="I179" s="335">
        <f>'REGIÃO 13 - RESUMO'!K85</f>
        <v>15959.88</v>
      </c>
      <c r="J179" s="335">
        <f>'REGIÃO 13 - HISTÓRICO'!F85</f>
        <v>0</v>
      </c>
      <c r="K179" s="335">
        <f>'REGIÃO 13 - HISTÓRICO'!G85</f>
        <v>15959.88</v>
      </c>
      <c r="L179" s="335" t="str">
        <f>IF(OR('REGIÃO 13 - RESUMO'!L85="",'REGIÃO 13 - RESUMO'!L85=0),"",'REGIÃO 13 - RESUMO'!L85)</f>
        <v>Justificada</v>
      </c>
      <c r="M179" s="335">
        <f>'REGIÃO 13 - HISTÓRICO'!J85</f>
        <v>0</v>
      </c>
      <c r="N179" s="335">
        <f>'REGIÃO 13 - HISTÓRICO'!L85</f>
        <v>0</v>
      </c>
      <c r="O179" s="335">
        <f>'REGIÃO 13 - HISTÓRICO'!N85</f>
        <v>0</v>
      </c>
      <c r="P179" s="335">
        <f>'REGIÃO 13 - HISTÓRICO'!P85</f>
        <v>0</v>
      </c>
      <c r="Q179" s="335">
        <f>'REGIÃO 13 - HISTÓRICO'!R85</f>
        <v>0</v>
      </c>
      <c r="R179" s="335">
        <f>'REGIÃO 13 - HISTÓRICO'!T85</f>
        <v>0</v>
      </c>
      <c r="S179" s="335">
        <f>'REGIÃO 13 - HISTÓRICO'!V85</f>
        <v>0</v>
      </c>
      <c r="T179" s="335">
        <f>'REGIÃO 13 - HISTÓRICO'!X85</f>
        <v>0</v>
      </c>
      <c r="U179" s="335">
        <f>'REGIÃO 13 - HISTÓRICO'!Z85</f>
        <v>0</v>
      </c>
      <c r="V179" s="335">
        <f>'REGIÃO 13 - HISTÓRICO'!AB85</f>
        <v>0</v>
      </c>
      <c r="W179" s="335">
        <f>'REGIÃO 13 - HISTÓRICO'!AD85</f>
        <v>0</v>
      </c>
      <c r="X179" s="335">
        <f>'REGIÃO 13 - HISTÓRICO'!AF85</f>
        <v>0</v>
      </c>
      <c r="Y179" s="335"/>
      <c r="Z179" s="335"/>
      <c r="AA179" s="335" t="str">
        <f>IF($Z179="","",COUNTIFS($H$4:$H$217,$Z179,$B$4:$B$217,$Z$1))</f>
        <v/>
      </c>
      <c r="AB179" s="335" t="str">
        <f>IF($Z179="","",SUMIFS($I$4:$I$217,$H$4:$H$217,$Z179,$B$4:$B$217,$Z$1))</f>
        <v/>
      </c>
      <c r="AC179" s="335" t="str">
        <f>IF($Z179="","",$AB179-ROW()/1000000)</f>
        <v/>
      </c>
      <c r="AD179" s="335" t="str">
        <f>IFERROR(RANK($AC179,$AC$4:$AC$217),"")</f>
        <v/>
      </c>
      <c r="AE179" s="335"/>
      <c r="AF179" s="335" t="str">
        <f>$B179</f>
        <v>R13</v>
      </c>
      <c r="AG179" s="335" t="str">
        <f>$C179&amp;"."&amp;TEXT($D179,"0000")</f>
        <v>051.2024.0154</v>
      </c>
      <c r="AH179" s="335">
        <f>IF($B179="",-1,IF(OR($Z$1="?*",$B179=$Z$1),$I179,-1))</f>
        <v>-1</v>
      </c>
      <c r="AI179" s="335" t="str">
        <f>IF($AH179&lt;0,"",$AH179-ROW()/1000000)</f>
        <v/>
      </c>
      <c r="AJ179" s="335" t="str">
        <f>IFERROR(RANK($AI179,$AI$4:$AI$217),"")</f>
        <v/>
      </c>
    </row>
    <row r="180" spans="2:36" x14ac:dyDescent="0.3">
      <c r="B180" s="335" t="str">
        <f>IF(OR('REGIÃO 13 - RESUMO'!E86="",'REGIÃO 13 - RESUMO'!E86=0),"",'REGIÃO 13 - RESUMO'!C86)</f>
        <v>R13</v>
      </c>
      <c r="C180" s="335" t="str">
        <f>'REGIÃO 13 - RESUMO'!D86</f>
        <v>051.2024</v>
      </c>
      <c r="D180" s="81">
        <f>'REGIÃO 13 - RESUMO'!E86</f>
        <v>155</v>
      </c>
      <c r="E180" s="80" t="str">
        <f>'REGIÃO 13 - RESUMO'!F86</f>
        <v>Setembro</v>
      </c>
      <c r="F180" s="82">
        <f>'REGIÃO 13 - RESUMO'!H86</f>
        <v>246</v>
      </c>
      <c r="G180" s="335" t="str">
        <f>'REGIÃO 13 - RESUMO'!I86</f>
        <v>RODOVIA TO-040 - TRECHO ALMAS - PORTO ALEGRE DO TOCANTINS</v>
      </c>
      <c r="H180" s="80" t="str">
        <f>'REGIÃO 13 - RESUMO'!J86</f>
        <v>Roçada / Tapa-Buraco PMF / Caiação de EDS e pontes</v>
      </c>
      <c r="I180" s="335">
        <f>'REGIÃO 13 - RESUMO'!K86</f>
        <v>88229.2</v>
      </c>
      <c r="J180" s="335">
        <f>'REGIÃO 13 - HISTÓRICO'!F86</f>
        <v>0</v>
      </c>
      <c r="K180" s="335">
        <f>'REGIÃO 13 - HISTÓRICO'!G86</f>
        <v>88229.2</v>
      </c>
      <c r="L180" s="335" t="str">
        <f>IF(OR('REGIÃO 13 - RESUMO'!L86="",'REGIÃO 13 - RESUMO'!L86=0),"",'REGIÃO 13 - RESUMO'!L86)</f>
        <v>Em elaboração</v>
      </c>
      <c r="M180" s="335">
        <f>'REGIÃO 13 - HISTÓRICO'!J86</f>
        <v>0</v>
      </c>
      <c r="N180" s="335">
        <f>'REGIÃO 13 - HISTÓRICO'!L86</f>
        <v>0</v>
      </c>
      <c r="O180" s="335">
        <f>'REGIÃO 13 - HISTÓRICO'!N86</f>
        <v>0</v>
      </c>
      <c r="P180" s="335">
        <f>'REGIÃO 13 - HISTÓRICO'!P86</f>
        <v>0</v>
      </c>
      <c r="Q180" s="335">
        <f>'REGIÃO 13 - HISTÓRICO'!R86</f>
        <v>0</v>
      </c>
      <c r="R180" s="335">
        <f>'REGIÃO 13 - HISTÓRICO'!T86</f>
        <v>0</v>
      </c>
      <c r="S180" s="335">
        <f>'REGIÃO 13 - HISTÓRICO'!V86</f>
        <v>0</v>
      </c>
      <c r="T180" s="335">
        <f>'REGIÃO 13 - HISTÓRICO'!X86</f>
        <v>0</v>
      </c>
      <c r="U180" s="335">
        <f>'REGIÃO 13 - HISTÓRICO'!Z86</f>
        <v>0</v>
      </c>
      <c r="V180" s="335">
        <f>'REGIÃO 13 - HISTÓRICO'!AB86</f>
        <v>0</v>
      </c>
      <c r="W180" s="335">
        <f>'REGIÃO 13 - HISTÓRICO'!AD86</f>
        <v>0</v>
      </c>
      <c r="X180" s="335">
        <f>'REGIÃO 13 - HISTÓRICO'!AF86</f>
        <v>0</v>
      </c>
      <c r="Y180" s="335"/>
      <c r="Z180" s="335"/>
      <c r="AA180" s="335" t="str">
        <f>IF($Z180="","",COUNTIFS($H$4:$H$217,$Z180,$B$4:$B$217,$Z$1))</f>
        <v/>
      </c>
      <c r="AB180" s="335" t="str">
        <f>IF($Z180="","",SUMIFS($I$4:$I$217,$H$4:$H$217,$Z180,$B$4:$B$217,$Z$1))</f>
        <v/>
      </c>
      <c r="AC180" s="335" t="str">
        <f>IF($Z180="","",$AB180-ROW()/1000000)</f>
        <v/>
      </c>
      <c r="AD180" s="335" t="str">
        <f>IFERROR(RANK($AC180,$AC$4:$AC$217),"")</f>
        <v/>
      </c>
      <c r="AE180" s="335"/>
      <c r="AF180" s="335" t="str">
        <f>$B180</f>
        <v>R13</v>
      </c>
      <c r="AG180" s="335" t="str">
        <f>$C180&amp;"."&amp;TEXT($D180,"0000")</f>
        <v>051.2024.0155</v>
      </c>
      <c r="AH180" s="335">
        <f>IF($B180="",-1,IF(OR($Z$1="?*",$B180=$Z$1),$I180,-1))</f>
        <v>-1</v>
      </c>
      <c r="AI180" s="335" t="str">
        <f>IF($AH180&lt;0,"",$AH180-ROW()/1000000)</f>
        <v/>
      </c>
      <c r="AJ180" s="335" t="str">
        <f>IFERROR(RANK($AI180,$AI$4:$AI$217),"")</f>
        <v/>
      </c>
    </row>
    <row r="181" spans="2:36" x14ac:dyDescent="0.3">
      <c r="B181" s="335" t="str">
        <f>IF(OR('REGIÃO 13 - RESUMO'!E87="",'REGIÃO 13 - RESUMO'!E87=0),"",'REGIÃO 13 - RESUMO'!C87)</f>
        <v>R13</v>
      </c>
      <c r="C181" s="335" t="str">
        <f>'REGIÃO 13 - RESUMO'!D87</f>
        <v>051.2024</v>
      </c>
      <c r="D181" s="81">
        <f>'REGIÃO 13 - RESUMO'!E87</f>
        <v>156</v>
      </c>
      <c r="E181" s="80" t="str">
        <f>'REGIÃO 13 - RESUMO'!F87</f>
        <v>Setembro</v>
      </c>
      <c r="F181" s="82">
        <f>'REGIÃO 13 - RESUMO'!H87</f>
        <v>247</v>
      </c>
      <c r="G181" s="335" t="str">
        <f>'REGIÃO 13 - RESUMO'!I87</f>
        <v>RODOVIA TO-040 - TRECHO DIANÓPOLIS - NOVO JARDIM</v>
      </c>
      <c r="H181" s="80" t="str">
        <f>'REGIÃO 13 - RESUMO'!J87</f>
        <v>Roçada</v>
      </c>
      <c r="I181" s="335">
        <f>'REGIÃO 13 - RESUMO'!K87</f>
        <v>19582.259999999998</v>
      </c>
      <c r="J181" s="335">
        <f>'REGIÃO 13 - HISTÓRICO'!F87</f>
        <v>0</v>
      </c>
      <c r="K181" s="335">
        <f>'REGIÃO 13 - HISTÓRICO'!G87</f>
        <v>19582.259999999998</v>
      </c>
      <c r="L181" s="335" t="str">
        <f>IF(OR('REGIÃO 13 - RESUMO'!L87="",'REGIÃO 13 - RESUMO'!L87=0),"",'REGIÃO 13 - RESUMO'!L87)</f>
        <v>Em elaboração</v>
      </c>
      <c r="M181" s="335">
        <f>'REGIÃO 13 - HISTÓRICO'!J87</f>
        <v>0</v>
      </c>
      <c r="N181" s="335">
        <f>'REGIÃO 13 - HISTÓRICO'!L87</f>
        <v>0</v>
      </c>
      <c r="O181" s="335">
        <f>'REGIÃO 13 - HISTÓRICO'!N87</f>
        <v>0</v>
      </c>
      <c r="P181" s="335">
        <f>'REGIÃO 13 - HISTÓRICO'!P87</f>
        <v>0</v>
      </c>
      <c r="Q181" s="335">
        <f>'REGIÃO 13 - HISTÓRICO'!R87</f>
        <v>0</v>
      </c>
      <c r="R181" s="335">
        <f>'REGIÃO 13 - HISTÓRICO'!T87</f>
        <v>0</v>
      </c>
      <c r="S181" s="335">
        <f>'REGIÃO 13 - HISTÓRICO'!V87</f>
        <v>0</v>
      </c>
      <c r="T181" s="335">
        <f>'REGIÃO 13 - HISTÓRICO'!X87</f>
        <v>0</v>
      </c>
      <c r="U181" s="335">
        <f>'REGIÃO 13 - HISTÓRICO'!Z87</f>
        <v>0</v>
      </c>
      <c r="V181" s="335">
        <f>'REGIÃO 13 - HISTÓRICO'!AB87</f>
        <v>0</v>
      </c>
      <c r="W181" s="335">
        <f>'REGIÃO 13 - HISTÓRICO'!AD87</f>
        <v>0</v>
      </c>
      <c r="X181" s="335">
        <f>'REGIÃO 13 - HISTÓRICO'!AF87</f>
        <v>0</v>
      </c>
      <c r="Y181" s="335"/>
      <c r="Z181" s="335"/>
      <c r="AA181" s="335" t="str">
        <f>IF($Z181="","",COUNTIFS($H$4:$H$217,$Z181,$B$4:$B$217,$Z$1))</f>
        <v/>
      </c>
      <c r="AB181" s="335" t="str">
        <f>IF($Z181="","",SUMIFS($I$4:$I$217,$H$4:$H$217,$Z181,$B$4:$B$217,$Z$1))</f>
        <v/>
      </c>
      <c r="AC181" s="335" t="str">
        <f>IF($Z181="","",$AB181-ROW()/1000000)</f>
        <v/>
      </c>
      <c r="AD181" s="335" t="str">
        <f>IFERROR(RANK($AC181,$AC$4:$AC$217),"")</f>
        <v/>
      </c>
      <c r="AE181" s="335"/>
      <c r="AF181" s="335" t="str">
        <f>$B181</f>
        <v>R13</v>
      </c>
      <c r="AG181" s="335" t="str">
        <f>$C181&amp;"."&amp;TEXT($D181,"0000")</f>
        <v>051.2024.0156</v>
      </c>
      <c r="AH181" s="335">
        <f>IF($B181="",-1,IF(OR($Z$1="?*",$B181=$Z$1),$I181,-1))</f>
        <v>-1</v>
      </c>
      <c r="AI181" s="335" t="str">
        <f>IF($AH181&lt;0,"",$AH181-ROW()/1000000)</f>
        <v/>
      </c>
      <c r="AJ181" s="335" t="str">
        <f>IFERROR(RANK($AI181,$AI$4:$AI$217),"")</f>
        <v/>
      </c>
    </row>
    <row r="182" spans="2:36" x14ac:dyDescent="0.3">
      <c r="B182" s="335" t="str">
        <f>IF(OR('REGIÃO 13 - RESUMO'!E88="",'REGIÃO 13 - RESUMO'!E88=0),"",'REGIÃO 13 - RESUMO'!C88)</f>
        <v>R13</v>
      </c>
      <c r="C182" s="335" t="str">
        <f>'REGIÃO 13 - RESUMO'!D88</f>
        <v>051.2024</v>
      </c>
      <c r="D182" s="81">
        <f>'REGIÃO 13 - RESUMO'!E88</f>
        <v>157</v>
      </c>
      <c r="E182" s="80" t="str">
        <f>'REGIÃO 13 - RESUMO'!F88</f>
        <v>Agosto</v>
      </c>
      <c r="F182" s="82">
        <f>'REGIÃO 13 - RESUMO'!H88</f>
        <v>249</v>
      </c>
      <c r="G182" s="335" t="str">
        <f>'REGIÃO 13 - RESUMO'!I88</f>
        <v>RODOVIA TO-040 - TRECHO PORTO ALEGRE DO TOCANTINS - DIANÓPOLIS</v>
      </c>
      <c r="H182" s="80" t="str">
        <f>'REGIÃO 13 - RESUMO'!J88</f>
        <v>Roçada / Tapa-Buraco PMF</v>
      </c>
      <c r="I182" s="335">
        <f>'REGIÃO 13 - RESUMO'!K88</f>
        <v>209876.92</v>
      </c>
      <c r="J182" s="335">
        <f>'REGIÃO 13 - HISTÓRICO'!F88</f>
        <v>190760.76</v>
      </c>
      <c r="K182" s="335">
        <f>'REGIÃO 13 - HISTÓRICO'!G88</f>
        <v>19116.160000000003</v>
      </c>
      <c r="L182" s="335" t="str">
        <f>IF(OR('REGIÃO 13 - RESUMO'!L88="",'REGIÃO 13 - RESUMO'!L88=0),"",'REGIÃO 13 - RESUMO'!L88)</f>
        <v>Em andamento</v>
      </c>
      <c r="M182" s="335">
        <f>'REGIÃO 13 - HISTÓRICO'!J88</f>
        <v>0</v>
      </c>
      <c r="N182" s="335">
        <f>'REGIÃO 13 - HISTÓRICO'!L88</f>
        <v>0</v>
      </c>
      <c r="O182" s="335">
        <f>'REGIÃO 13 - HISTÓRICO'!N88</f>
        <v>0</v>
      </c>
      <c r="P182" s="335">
        <f>'REGIÃO 13 - HISTÓRICO'!P88</f>
        <v>0</v>
      </c>
      <c r="Q182" s="335">
        <f>'REGIÃO 13 - HISTÓRICO'!R88</f>
        <v>0</v>
      </c>
      <c r="R182" s="335">
        <f>'REGIÃO 13 - HISTÓRICO'!T88</f>
        <v>0</v>
      </c>
      <c r="S182" s="335">
        <f>'REGIÃO 13 - HISTÓRICO'!V88</f>
        <v>0</v>
      </c>
      <c r="T182" s="335">
        <f>'REGIÃO 13 - HISTÓRICO'!X88</f>
        <v>190760.76</v>
      </c>
      <c r="U182" s="335">
        <f>'REGIÃO 13 - HISTÓRICO'!Z88</f>
        <v>0</v>
      </c>
      <c r="V182" s="335">
        <f>'REGIÃO 13 - HISTÓRICO'!AB88</f>
        <v>0</v>
      </c>
      <c r="W182" s="335">
        <f>'REGIÃO 13 - HISTÓRICO'!AD88</f>
        <v>0</v>
      </c>
      <c r="X182" s="335">
        <f>'REGIÃO 13 - HISTÓRICO'!AF88</f>
        <v>0</v>
      </c>
      <c r="Y182" s="335"/>
      <c r="Z182" s="335"/>
      <c r="AA182" s="335" t="str">
        <f>IF($Z182="","",COUNTIFS($H$4:$H$217,$Z182,$B$4:$B$217,$Z$1))</f>
        <v/>
      </c>
      <c r="AB182" s="335" t="str">
        <f>IF($Z182="","",SUMIFS($I$4:$I$217,$H$4:$H$217,$Z182,$B$4:$B$217,$Z$1))</f>
        <v/>
      </c>
      <c r="AC182" s="335" t="str">
        <f>IF($Z182="","",$AB182-ROW()/1000000)</f>
        <v/>
      </c>
      <c r="AD182" s="335" t="str">
        <f>IFERROR(RANK($AC182,$AC$4:$AC$217),"")</f>
        <v/>
      </c>
      <c r="AE182" s="335"/>
      <c r="AF182" s="335" t="str">
        <f>$B182</f>
        <v>R13</v>
      </c>
      <c r="AG182" s="335" t="str">
        <f>$C182&amp;"."&amp;TEXT($D182,"0000")</f>
        <v>051.2024.0157</v>
      </c>
      <c r="AH182" s="335">
        <f>IF($B182="",-1,IF(OR($Z$1="?*",$B182=$Z$1),$I182,-1))</f>
        <v>-1</v>
      </c>
      <c r="AI182" s="335" t="str">
        <f>IF($AH182&lt;0,"",$AH182-ROW()/1000000)</f>
        <v/>
      </c>
      <c r="AJ182" s="335" t="str">
        <f>IFERROR(RANK($AI182,$AI$4:$AI$217),"")</f>
        <v/>
      </c>
    </row>
    <row r="183" spans="2:36" x14ac:dyDescent="0.3">
      <c r="B183" s="335" t="str">
        <f>IF(OR('REGIÃO 13 - RESUMO'!E89="",'REGIÃO 13 - RESUMO'!E89=0),"",'REGIÃO 13 - RESUMO'!C89)</f>
        <v>R13</v>
      </c>
      <c r="C183" s="335" t="str">
        <f>'REGIÃO 13 - RESUMO'!D89</f>
        <v>051.2024</v>
      </c>
      <c r="D183" s="81">
        <f>'REGIÃO 13 - RESUMO'!E89</f>
        <v>158</v>
      </c>
      <c r="E183" s="80" t="str">
        <f>'REGIÃO 13 - RESUMO'!F89</f>
        <v>Setembro</v>
      </c>
      <c r="F183" s="82">
        <f>'REGIÃO 13 - RESUMO'!H89</f>
        <v>248</v>
      </c>
      <c r="G183" s="335" t="str">
        <f>'REGIÃO 13 - RESUMO'!I89</f>
        <v>RODOVIA TO-040 - TRECHO NOVO JARDIM - DIVISA TO-BA</v>
      </c>
      <c r="H183" s="80" t="str">
        <f>'REGIÃO 13 - RESUMO'!J89</f>
        <v>SERVIÇOS MANUTENÇÃO</v>
      </c>
      <c r="I183" s="335">
        <f>'REGIÃO 13 - RESUMO'!K89</f>
        <v>23697.25</v>
      </c>
      <c r="J183" s="335">
        <f>'REGIÃO 13 - HISTÓRICO'!F89</f>
        <v>0</v>
      </c>
      <c r="K183" s="335">
        <f>'REGIÃO 13 - HISTÓRICO'!G89</f>
        <v>23697.25</v>
      </c>
      <c r="L183" s="335" t="str">
        <f>IF(OR('REGIÃO 13 - RESUMO'!L89="",'REGIÃO 13 - RESUMO'!L89=0),"",'REGIÃO 13 - RESUMO'!L89)</f>
        <v>Correção Fiscal</v>
      </c>
      <c r="M183" s="335">
        <f>'REGIÃO 13 - HISTÓRICO'!J89</f>
        <v>0</v>
      </c>
      <c r="N183" s="335">
        <f>'REGIÃO 13 - HISTÓRICO'!L89</f>
        <v>0</v>
      </c>
      <c r="O183" s="335">
        <f>'REGIÃO 13 - HISTÓRICO'!N89</f>
        <v>0</v>
      </c>
      <c r="P183" s="335">
        <f>'REGIÃO 13 - HISTÓRICO'!P89</f>
        <v>0</v>
      </c>
      <c r="Q183" s="335">
        <f>'REGIÃO 13 - HISTÓRICO'!R89</f>
        <v>0</v>
      </c>
      <c r="R183" s="335">
        <f>'REGIÃO 13 - HISTÓRICO'!T89</f>
        <v>0</v>
      </c>
      <c r="S183" s="335">
        <f>'REGIÃO 13 - HISTÓRICO'!V89</f>
        <v>0</v>
      </c>
      <c r="T183" s="335">
        <f>'REGIÃO 13 - HISTÓRICO'!X89</f>
        <v>0</v>
      </c>
      <c r="U183" s="335">
        <f>'REGIÃO 13 - HISTÓRICO'!Z89</f>
        <v>0</v>
      </c>
      <c r="V183" s="335">
        <f>'REGIÃO 13 - HISTÓRICO'!AB89</f>
        <v>0</v>
      </c>
      <c r="W183" s="335">
        <f>'REGIÃO 13 - HISTÓRICO'!AD89</f>
        <v>0</v>
      </c>
      <c r="X183" s="335">
        <f>'REGIÃO 13 - HISTÓRICO'!AF89</f>
        <v>0</v>
      </c>
      <c r="Y183" s="335"/>
      <c r="Z183" s="335"/>
      <c r="AA183" s="335" t="str">
        <f>IF($Z183="","",COUNTIFS($H$4:$H$217,$Z183,$B$4:$B$217,$Z$1))</f>
        <v/>
      </c>
      <c r="AB183" s="335" t="str">
        <f>IF($Z183="","",SUMIFS($I$4:$I$217,$H$4:$H$217,$Z183,$B$4:$B$217,$Z$1))</f>
        <v/>
      </c>
      <c r="AC183" s="335" t="str">
        <f>IF($Z183="","",$AB183-ROW()/1000000)</f>
        <v/>
      </c>
      <c r="AD183" s="335" t="str">
        <f>IFERROR(RANK($AC183,$AC$4:$AC$217),"")</f>
        <v/>
      </c>
      <c r="AE183" s="335"/>
      <c r="AF183" s="335" t="str">
        <f>$B183</f>
        <v>R13</v>
      </c>
      <c r="AG183" s="335" t="str">
        <f>$C183&amp;"."&amp;TEXT($D183,"0000")</f>
        <v>051.2024.0158</v>
      </c>
      <c r="AH183" s="335">
        <f>IF($B183="",-1,IF(OR($Z$1="?*",$B183=$Z$1),$I183,-1))</f>
        <v>-1</v>
      </c>
      <c r="AI183" s="335" t="str">
        <f>IF($AH183&lt;0,"",$AH183-ROW()/1000000)</f>
        <v/>
      </c>
      <c r="AJ183" s="335" t="str">
        <f>IFERROR(RANK($AI183,$AI$4:$AI$217),"")</f>
        <v/>
      </c>
    </row>
    <row r="184" spans="2:36" x14ac:dyDescent="0.3">
      <c r="B184" s="335" t="str">
        <f>IF(OR('REGIÃO 13 - RESUMO'!E90="",'REGIÃO 13 - RESUMO'!E90=0),"",'REGIÃO 13 - RESUMO'!C90)</f>
        <v>R13</v>
      </c>
      <c r="C184" s="335" t="str">
        <f>'REGIÃO 13 - RESUMO'!D90</f>
        <v>051.2024</v>
      </c>
      <c r="D184" s="81">
        <f>'REGIÃO 13 - RESUMO'!E90</f>
        <v>159</v>
      </c>
      <c r="E184" s="80" t="str">
        <f>'REGIÃO 13 - RESUMO'!F90</f>
        <v>Outubro</v>
      </c>
      <c r="F184" s="82">
        <f>'REGIÃO 13 - RESUMO'!H90</f>
        <v>253</v>
      </c>
      <c r="G184" s="335" t="str">
        <f>'REGIÃO 13 - RESUMO'!I90</f>
        <v>RODOVIA TO-110 - TRECHO AURORA DO TOCANTINS - LAVANDEIRA</v>
      </c>
      <c r="H184" s="80" t="str">
        <f>'REGIÃO 13 - RESUMO'!J90</f>
        <v>SERVIÇOS MANUTENÇÃO</v>
      </c>
      <c r="I184" s="335">
        <f>'REGIÃO 13 - RESUMO'!K90</f>
        <v>8773.52</v>
      </c>
      <c r="J184" s="335">
        <f>'REGIÃO 13 - HISTÓRICO'!F90</f>
        <v>0</v>
      </c>
      <c r="K184" s="335">
        <f>'REGIÃO 13 - HISTÓRICO'!G90</f>
        <v>8773.52</v>
      </c>
      <c r="L184" s="335" t="str">
        <f>IF(OR('REGIÃO 13 - RESUMO'!L90="",'REGIÃO 13 - RESUMO'!L90=0),"",'REGIÃO 13 - RESUMO'!L90)</f>
        <v>Correção Fiscal</v>
      </c>
      <c r="M184" s="335">
        <f>'REGIÃO 13 - HISTÓRICO'!J90</f>
        <v>0</v>
      </c>
      <c r="N184" s="335">
        <f>'REGIÃO 13 - HISTÓRICO'!L90</f>
        <v>0</v>
      </c>
      <c r="O184" s="335">
        <f>'REGIÃO 13 - HISTÓRICO'!N90</f>
        <v>0</v>
      </c>
      <c r="P184" s="335">
        <f>'REGIÃO 13 - HISTÓRICO'!P90</f>
        <v>0</v>
      </c>
      <c r="Q184" s="335">
        <f>'REGIÃO 13 - HISTÓRICO'!R90</f>
        <v>0</v>
      </c>
      <c r="R184" s="335">
        <f>'REGIÃO 13 - HISTÓRICO'!T90</f>
        <v>0</v>
      </c>
      <c r="S184" s="335">
        <f>'REGIÃO 13 - HISTÓRICO'!V90</f>
        <v>0</v>
      </c>
      <c r="T184" s="335">
        <f>'REGIÃO 13 - HISTÓRICO'!X90</f>
        <v>0</v>
      </c>
      <c r="U184" s="335">
        <f>'REGIÃO 13 - HISTÓRICO'!Z90</f>
        <v>0</v>
      </c>
      <c r="V184" s="335">
        <f>'REGIÃO 13 - HISTÓRICO'!AB90</f>
        <v>0</v>
      </c>
      <c r="W184" s="335">
        <f>'REGIÃO 13 - HISTÓRICO'!AD90</f>
        <v>0</v>
      </c>
      <c r="X184" s="335">
        <f>'REGIÃO 13 - HISTÓRICO'!AF90</f>
        <v>0</v>
      </c>
      <c r="Y184" s="335"/>
      <c r="Z184" s="335"/>
      <c r="AA184" s="335" t="str">
        <f>IF($Z184="","",COUNTIFS($H$4:$H$217,$Z184,$B$4:$B$217,$Z$1))</f>
        <v/>
      </c>
      <c r="AB184" s="335" t="str">
        <f>IF($Z184="","",SUMIFS($I$4:$I$217,$H$4:$H$217,$Z184,$B$4:$B$217,$Z$1))</f>
        <v/>
      </c>
      <c r="AC184" s="335" t="str">
        <f>IF($Z184="","",$AB184-ROW()/1000000)</f>
        <v/>
      </c>
      <c r="AD184" s="335" t="str">
        <f>IFERROR(RANK($AC184,$AC$4:$AC$217),"")</f>
        <v/>
      </c>
      <c r="AE184" s="335"/>
      <c r="AF184" s="335" t="str">
        <f>$B184</f>
        <v>R13</v>
      </c>
      <c r="AG184" s="335" t="str">
        <f>$C184&amp;"."&amp;TEXT($D184,"0000")</f>
        <v>051.2024.0159</v>
      </c>
      <c r="AH184" s="335">
        <f>IF($B184="",-1,IF(OR($Z$1="?*",$B184=$Z$1),$I184,-1))</f>
        <v>-1</v>
      </c>
      <c r="AI184" s="335" t="str">
        <f>IF($AH184&lt;0,"",$AH184-ROW()/1000000)</f>
        <v/>
      </c>
      <c r="AJ184" s="335" t="str">
        <f>IFERROR(RANK($AI184,$AI$4:$AI$217),"")</f>
        <v/>
      </c>
    </row>
    <row r="185" spans="2:36" x14ac:dyDescent="0.3">
      <c r="B185" s="335" t="str">
        <f>IF(OR('REGIÃO 13 - RESUMO'!E91="",'REGIÃO 13 - RESUMO'!E91=0),"",'REGIÃO 13 - RESUMO'!C91)</f>
        <v>R13</v>
      </c>
      <c r="C185" s="335" t="str">
        <f>'REGIÃO 13 - RESUMO'!D91</f>
        <v>051.2024</v>
      </c>
      <c r="D185" s="81">
        <f>'REGIÃO 13 - RESUMO'!E91</f>
        <v>160</v>
      </c>
      <c r="E185" s="80" t="str">
        <f>'REGIÃO 13 - RESUMO'!F91</f>
        <v>Outubro</v>
      </c>
      <c r="F185" s="82">
        <f>'REGIÃO 13 - RESUMO'!H91</f>
        <v>256</v>
      </c>
      <c r="G185" s="335" t="str">
        <f>'REGIÃO 13 - RESUMO'!I91</f>
        <v>RODOVIA TO-110 - TRECHO ENTR. TO-040 - PONTE ALTA DO BOM JESUS</v>
      </c>
      <c r="H185" s="80" t="str">
        <f>'REGIÃO 13 - RESUMO'!J91</f>
        <v>SERVIÇOS MANUTENÇÃO</v>
      </c>
      <c r="I185" s="335">
        <f>'REGIÃO 13 - RESUMO'!K91</f>
        <v>20979.64</v>
      </c>
      <c r="J185" s="335">
        <f>'REGIÃO 13 - HISTÓRICO'!F91</f>
        <v>0</v>
      </c>
      <c r="K185" s="335">
        <f>'REGIÃO 13 - HISTÓRICO'!G91</f>
        <v>20979.64</v>
      </c>
      <c r="L185" s="335" t="str">
        <f>IF(OR('REGIÃO 13 - RESUMO'!L91="",'REGIÃO 13 - RESUMO'!L91=0),"",'REGIÃO 13 - RESUMO'!L91)</f>
        <v>Correção Fiscal</v>
      </c>
      <c r="M185" s="335">
        <f>'REGIÃO 13 - HISTÓRICO'!J91</f>
        <v>0</v>
      </c>
      <c r="N185" s="335">
        <f>'REGIÃO 13 - HISTÓRICO'!L91</f>
        <v>0</v>
      </c>
      <c r="O185" s="335">
        <f>'REGIÃO 13 - HISTÓRICO'!N91</f>
        <v>0</v>
      </c>
      <c r="P185" s="335">
        <f>'REGIÃO 13 - HISTÓRICO'!P91</f>
        <v>0</v>
      </c>
      <c r="Q185" s="335">
        <f>'REGIÃO 13 - HISTÓRICO'!R91</f>
        <v>0</v>
      </c>
      <c r="R185" s="335">
        <f>'REGIÃO 13 - HISTÓRICO'!T91</f>
        <v>0</v>
      </c>
      <c r="S185" s="335">
        <f>'REGIÃO 13 - HISTÓRICO'!V91</f>
        <v>0</v>
      </c>
      <c r="T185" s="335">
        <f>'REGIÃO 13 - HISTÓRICO'!X91</f>
        <v>0</v>
      </c>
      <c r="U185" s="335">
        <f>'REGIÃO 13 - HISTÓRICO'!Z91</f>
        <v>0</v>
      </c>
      <c r="V185" s="335">
        <f>'REGIÃO 13 - HISTÓRICO'!AB91</f>
        <v>0</v>
      </c>
      <c r="W185" s="335">
        <f>'REGIÃO 13 - HISTÓRICO'!AD91</f>
        <v>0</v>
      </c>
      <c r="X185" s="335">
        <f>'REGIÃO 13 - HISTÓRICO'!AF91</f>
        <v>0</v>
      </c>
      <c r="Y185" s="335"/>
      <c r="Z185" s="335"/>
      <c r="AA185" s="335" t="str">
        <f>IF($Z185="","",COUNTIFS($H$4:$H$217,$Z185,$B$4:$B$217,$Z$1))</f>
        <v/>
      </c>
      <c r="AB185" s="335" t="str">
        <f>IF($Z185="","",SUMIFS($I$4:$I$217,$H$4:$H$217,$Z185,$B$4:$B$217,$Z$1))</f>
        <v/>
      </c>
      <c r="AC185" s="335" t="str">
        <f>IF($Z185="","",$AB185-ROW()/1000000)</f>
        <v/>
      </c>
      <c r="AD185" s="335" t="str">
        <f>IFERROR(RANK($AC185,$AC$4:$AC$217),"")</f>
        <v/>
      </c>
      <c r="AE185" s="335"/>
      <c r="AF185" s="335" t="str">
        <f>$B185</f>
        <v>R13</v>
      </c>
      <c r="AG185" s="335" t="str">
        <f>$C185&amp;"."&amp;TEXT($D185,"0000")</f>
        <v>051.2024.0160</v>
      </c>
      <c r="AH185" s="335">
        <f>IF($B185="",-1,IF(OR($Z$1="?*",$B185=$Z$1),$I185,-1))</f>
        <v>-1</v>
      </c>
      <c r="AI185" s="335" t="str">
        <f>IF($AH185&lt;0,"",$AH185-ROW()/1000000)</f>
        <v/>
      </c>
      <c r="AJ185" s="335" t="str">
        <f>IFERROR(RANK($AI185,$AI$4:$AI$217),"")</f>
        <v/>
      </c>
    </row>
    <row r="186" spans="2:36" x14ac:dyDescent="0.3">
      <c r="B186" s="335" t="str">
        <f>IF(OR('REGIÃO 13 - RESUMO'!E92="",'REGIÃO 13 - RESUMO'!E92=0),"",'REGIÃO 13 - RESUMO'!C92)</f>
        <v>R13</v>
      </c>
      <c r="C186" s="335" t="str">
        <f>'REGIÃO 13 - RESUMO'!D92</f>
        <v>051.2024</v>
      </c>
      <c r="D186" s="81">
        <f>'REGIÃO 13 - RESUMO'!E92</f>
        <v>161</v>
      </c>
      <c r="E186" s="80" t="str">
        <f>'REGIÃO 13 - RESUMO'!F92</f>
        <v>Outubro</v>
      </c>
      <c r="F186" s="82">
        <f>'REGIÃO 13 - RESUMO'!H92</f>
        <v>257</v>
      </c>
      <c r="G186" s="335" t="str">
        <f>'REGIÃO 13 - RESUMO'!I92</f>
        <v>RODOVIA TO-110 - TRECHO LAVANDEIRA - COMBINADO</v>
      </c>
      <c r="H186" s="80" t="str">
        <f>'REGIÃO 13 - RESUMO'!J92</f>
        <v>SERVIÇOS MANUTENÇÃO</v>
      </c>
      <c r="I186" s="335">
        <f>'REGIÃO 13 - RESUMO'!K92</f>
        <v>3684.51</v>
      </c>
      <c r="J186" s="335">
        <f>'REGIÃO 13 - HISTÓRICO'!F92</f>
        <v>0</v>
      </c>
      <c r="K186" s="335">
        <f>'REGIÃO 13 - HISTÓRICO'!G92</f>
        <v>3684.51</v>
      </c>
      <c r="L186" s="335" t="str">
        <f>IF(OR('REGIÃO 13 - RESUMO'!L92="",'REGIÃO 13 - RESUMO'!L92=0),"",'REGIÃO 13 - RESUMO'!L92)</f>
        <v>Correção Fiscal</v>
      </c>
      <c r="M186" s="335">
        <f>'REGIÃO 13 - HISTÓRICO'!J92</f>
        <v>0</v>
      </c>
      <c r="N186" s="335">
        <f>'REGIÃO 13 - HISTÓRICO'!L92</f>
        <v>0</v>
      </c>
      <c r="O186" s="335">
        <f>'REGIÃO 13 - HISTÓRICO'!N92</f>
        <v>0</v>
      </c>
      <c r="P186" s="335">
        <f>'REGIÃO 13 - HISTÓRICO'!P92</f>
        <v>0</v>
      </c>
      <c r="Q186" s="335">
        <f>'REGIÃO 13 - HISTÓRICO'!R92</f>
        <v>0</v>
      </c>
      <c r="R186" s="335">
        <f>'REGIÃO 13 - HISTÓRICO'!T92</f>
        <v>0</v>
      </c>
      <c r="S186" s="335">
        <f>'REGIÃO 13 - HISTÓRICO'!V92</f>
        <v>0</v>
      </c>
      <c r="T186" s="335">
        <f>'REGIÃO 13 - HISTÓRICO'!X92</f>
        <v>0</v>
      </c>
      <c r="U186" s="335">
        <f>'REGIÃO 13 - HISTÓRICO'!Z92</f>
        <v>0</v>
      </c>
      <c r="V186" s="335">
        <f>'REGIÃO 13 - HISTÓRICO'!AB92</f>
        <v>0</v>
      </c>
      <c r="W186" s="335">
        <f>'REGIÃO 13 - HISTÓRICO'!AD92</f>
        <v>0</v>
      </c>
      <c r="X186" s="335">
        <f>'REGIÃO 13 - HISTÓRICO'!AF92</f>
        <v>0</v>
      </c>
      <c r="Y186" s="335"/>
      <c r="Z186" s="335"/>
      <c r="AA186" s="335" t="str">
        <f>IF($Z186="","",COUNTIFS($H$4:$H$217,$Z186,$B$4:$B$217,$Z$1))</f>
        <v/>
      </c>
      <c r="AB186" s="335" t="str">
        <f>IF($Z186="","",SUMIFS($I$4:$I$217,$H$4:$H$217,$Z186,$B$4:$B$217,$Z$1))</f>
        <v/>
      </c>
      <c r="AC186" s="335" t="str">
        <f>IF($Z186="","",$AB186-ROW()/1000000)</f>
        <v/>
      </c>
      <c r="AD186" s="335" t="str">
        <f>IFERROR(RANK($AC186,$AC$4:$AC$217),"")</f>
        <v/>
      </c>
      <c r="AE186" s="335"/>
      <c r="AF186" s="335" t="str">
        <f>$B186</f>
        <v>R13</v>
      </c>
      <c r="AG186" s="335" t="str">
        <f>$C186&amp;"."&amp;TEXT($D186,"0000")</f>
        <v>051.2024.0161</v>
      </c>
      <c r="AH186" s="335">
        <f>IF($B186="",-1,IF(OR($Z$1="?*",$B186=$Z$1),$I186,-1))</f>
        <v>-1</v>
      </c>
      <c r="AI186" s="335" t="str">
        <f>IF($AH186&lt;0,"",$AH186-ROW()/1000000)</f>
        <v/>
      </c>
      <c r="AJ186" s="335" t="str">
        <f>IFERROR(RANK($AI186,$AI$4:$AI$217),"")</f>
        <v/>
      </c>
    </row>
    <row r="187" spans="2:36" x14ac:dyDescent="0.3">
      <c r="B187" s="335" t="str">
        <f>IF(OR('REGIÃO 13 - RESUMO'!E93="",'REGIÃO 13 - RESUMO'!E93=0),"",'REGIÃO 13 - RESUMO'!C93)</f>
        <v>R13</v>
      </c>
      <c r="C187" s="335" t="str">
        <f>'REGIÃO 13 - RESUMO'!D93</f>
        <v>051.2024</v>
      </c>
      <c r="D187" s="81">
        <f>'REGIÃO 13 - RESUMO'!E93</f>
        <v>162</v>
      </c>
      <c r="E187" s="80" t="str">
        <f>'REGIÃO 13 - RESUMO'!F93</f>
        <v>Outubro</v>
      </c>
      <c r="F187" s="82">
        <f>'REGIÃO 13 - RESUMO'!H93</f>
        <v>258</v>
      </c>
      <c r="G187" s="335" t="str">
        <f>'REGIÃO 13 - RESUMO'!I93</f>
        <v>RODOVIA TO-110 - TRECHO PONTE ALTA DO BOM JESUS - ENTR. BR-242(TAGUATINGA)</v>
      </c>
      <c r="H187" s="80" t="str">
        <f>'REGIÃO 13 - RESUMO'!J93</f>
        <v>SERVIÇOS MANUTENÇÃO</v>
      </c>
      <c r="I187" s="335">
        <f>'REGIÃO 13 - RESUMO'!K93</f>
        <v>19604.919999999998</v>
      </c>
      <c r="J187" s="335">
        <f>'REGIÃO 13 - HISTÓRICO'!F93</f>
        <v>0</v>
      </c>
      <c r="K187" s="335">
        <f>'REGIÃO 13 - HISTÓRICO'!G93</f>
        <v>19604.919999999998</v>
      </c>
      <c r="L187" s="335" t="str">
        <f>IF(OR('REGIÃO 13 - RESUMO'!L93="",'REGIÃO 13 - RESUMO'!L93=0),"",'REGIÃO 13 - RESUMO'!L93)</f>
        <v>Correção Fiscal</v>
      </c>
      <c r="M187" s="335">
        <f>'REGIÃO 13 - HISTÓRICO'!J93</f>
        <v>0</v>
      </c>
      <c r="N187" s="335">
        <f>'REGIÃO 13 - HISTÓRICO'!L93</f>
        <v>0</v>
      </c>
      <c r="O187" s="335">
        <f>'REGIÃO 13 - HISTÓRICO'!N93</f>
        <v>0</v>
      </c>
      <c r="P187" s="335">
        <f>'REGIÃO 13 - HISTÓRICO'!P93</f>
        <v>0</v>
      </c>
      <c r="Q187" s="335">
        <f>'REGIÃO 13 - HISTÓRICO'!R93</f>
        <v>0</v>
      </c>
      <c r="R187" s="335">
        <f>'REGIÃO 13 - HISTÓRICO'!T93</f>
        <v>0</v>
      </c>
      <c r="S187" s="335">
        <f>'REGIÃO 13 - HISTÓRICO'!V93</f>
        <v>0</v>
      </c>
      <c r="T187" s="335">
        <f>'REGIÃO 13 - HISTÓRICO'!X93</f>
        <v>0</v>
      </c>
      <c r="U187" s="335">
        <f>'REGIÃO 13 - HISTÓRICO'!Z93</f>
        <v>0</v>
      </c>
      <c r="V187" s="335">
        <f>'REGIÃO 13 - HISTÓRICO'!AB93</f>
        <v>0</v>
      </c>
      <c r="W187" s="335">
        <f>'REGIÃO 13 - HISTÓRICO'!AD93</f>
        <v>0</v>
      </c>
      <c r="X187" s="335">
        <f>'REGIÃO 13 - HISTÓRICO'!AF93</f>
        <v>0</v>
      </c>
      <c r="Y187" s="335"/>
      <c r="Z187" s="335"/>
      <c r="AA187" s="335" t="str">
        <f>IF($Z187="","",COUNTIFS($H$4:$H$217,$Z187,$B$4:$B$217,$Z$1))</f>
        <v/>
      </c>
      <c r="AB187" s="335" t="str">
        <f>IF($Z187="","",SUMIFS($I$4:$I$217,$H$4:$H$217,$Z187,$B$4:$B$217,$Z$1))</f>
        <v/>
      </c>
      <c r="AC187" s="335" t="str">
        <f>IF($Z187="","",$AB187-ROW()/1000000)</f>
        <v/>
      </c>
      <c r="AD187" s="335" t="str">
        <f>IFERROR(RANK($AC187,$AC$4:$AC$217),"")</f>
        <v/>
      </c>
      <c r="AE187" s="335"/>
      <c r="AF187" s="335" t="str">
        <f>$B187</f>
        <v>R13</v>
      </c>
      <c r="AG187" s="335" t="str">
        <f>$C187&amp;"."&amp;TEXT($D187,"0000")</f>
        <v>051.2024.0162</v>
      </c>
      <c r="AH187" s="335">
        <f>IF($B187="",-1,IF(OR($Z$1="?*",$B187=$Z$1),$I187,-1))</f>
        <v>-1</v>
      </c>
      <c r="AI187" s="335" t="str">
        <f>IF($AH187&lt;0,"",$AH187-ROW()/1000000)</f>
        <v/>
      </c>
      <c r="AJ187" s="335" t="str">
        <f>IFERROR(RANK($AI187,$AI$4:$AI$217),"")</f>
        <v/>
      </c>
    </row>
    <row r="188" spans="2:36" x14ac:dyDescent="0.3">
      <c r="B188" s="335" t="str">
        <f>IF(OR('REGIÃO 13 - RESUMO'!E94="",'REGIÃO 13 - RESUMO'!E94=0),"",'REGIÃO 13 - RESUMO'!C94)</f>
        <v>R13</v>
      </c>
      <c r="C188" s="335" t="str">
        <f>'REGIÃO 13 - RESUMO'!D94</f>
        <v>051.2024</v>
      </c>
      <c r="D188" s="81">
        <f>'REGIÃO 13 - RESUMO'!E94</f>
        <v>163</v>
      </c>
      <c r="E188" s="80" t="str">
        <f>'REGIÃO 13 - RESUMO'!F94</f>
        <v>Outubro</v>
      </c>
      <c r="F188" s="82">
        <f>'REGIÃO 13 - RESUMO'!H94</f>
        <v>259</v>
      </c>
      <c r="G188" s="335" t="str">
        <f>'REGIÃO 13 - RESUMO'!I94</f>
        <v>RODOVIA TO-110 - TRECHO TAGUATINGA - AURORA DO TOCANTINS</v>
      </c>
      <c r="H188" s="80" t="str">
        <f>'REGIÃO 13 - RESUMO'!J94</f>
        <v>SERVIÇOS MANUTENÇÃO</v>
      </c>
      <c r="I188" s="335">
        <f>'REGIÃO 13 - RESUMO'!K94</f>
        <v>24704.48</v>
      </c>
      <c r="J188" s="335">
        <f>'REGIÃO 13 - HISTÓRICO'!F94</f>
        <v>0</v>
      </c>
      <c r="K188" s="335">
        <f>'REGIÃO 13 - HISTÓRICO'!G94</f>
        <v>24704.48</v>
      </c>
      <c r="L188" s="335" t="str">
        <f>IF(OR('REGIÃO 13 - RESUMO'!L94="",'REGIÃO 13 - RESUMO'!L94=0),"",'REGIÃO 13 - RESUMO'!L94)</f>
        <v>Correção Fiscal</v>
      </c>
      <c r="M188" s="335">
        <f>'REGIÃO 13 - HISTÓRICO'!J94</f>
        <v>0</v>
      </c>
      <c r="N188" s="335">
        <f>'REGIÃO 13 - HISTÓRICO'!L94</f>
        <v>0</v>
      </c>
      <c r="O188" s="335">
        <f>'REGIÃO 13 - HISTÓRICO'!N94</f>
        <v>0</v>
      </c>
      <c r="P188" s="335">
        <f>'REGIÃO 13 - HISTÓRICO'!P94</f>
        <v>0</v>
      </c>
      <c r="Q188" s="335">
        <f>'REGIÃO 13 - HISTÓRICO'!R94</f>
        <v>0</v>
      </c>
      <c r="R188" s="335">
        <f>'REGIÃO 13 - HISTÓRICO'!T94</f>
        <v>0</v>
      </c>
      <c r="S188" s="335">
        <f>'REGIÃO 13 - HISTÓRICO'!V94</f>
        <v>0</v>
      </c>
      <c r="T188" s="335">
        <f>'REGIÃO 13 - HISTÓRICO'!X94</f>
        <v>0</v>
      </c>
      <c r="U188" s="335">
        <f>'REGIÃO 13 - HISTÓRICO'!Z94</f>
        <v>0</v>
      </c>
      <c r="V188" s="335">
        <f>'REGIÃO 13 - HISTÓRICO'!AB94</f>
        <v>0</v>
      </c>
      <c r="W188" s="335">
        <f>'REGIÃO 13 - HISTÓRICO'!AD94</f>
        <v>0</v>
      </c>
      <c r="X188" s="335">
        <f>'REGIÃO 13 - HISTÓRICO'!AF94</f>
        <v>0</v>
      </c>
      <c r="Y188" s="335"/>
      <c r="Z188" s="335"/>
      <c r="AA188" s="335" t="str">
        <f>IF($Z188="","",COUNTIFS($H$4:$H$217,$Z188,$B$4:$B$217,$Z$1))</f>
        <v/>
      </c>
      <c r="AB188" s="335" t="str">
        <f>IF($Z188="","",SUMIFS($I$4:$I$217,$H$4:$H$217,$Z188,$B$4:$B$217,$Z$1))</f>
        <v/>
      </c>
      <c r="AC188" s="335" t="str">
        <f>IF($Z188="","",$AB188-ROW()/1000000)</f>
        <v/>
      </c>
      <c r="AD188" s="335" t="str">
        <f>IFERROR(RANK($AC188,$AC$4:$AC$217),"")</f>
        <v/>
      </c>
      <c r="AE188" s="335"/>
      <c r="AF188" s="335" t="str">
        <f>$B188</f>
        <v>R13</v>
      </c>
      <c r="AG188" s="335" t="str">
        <f>$C188&amp;"."&amp;TEXT($D188,"0000")</f>
        <v>051.2024.0163</v>
      </c>
      <c r="AH188" s="335">
        <f>IF($B188="",-1,IF(OR($Z$1="?*",$B188=$Z$1),$I188,-1))</f>
        <v>-1</v>
      </c>
      <c r="AI188" s="335" t="str">
        <f>IF($AH188&lt;0,"",$AH188-ROW()/1000000)</f>
        <v/>
      </c>
      <c r="AJ188" s="335" t="str">
        <f>IFERROR(RANK($AI188,$AI$4:$AI$217),"")</f>
        <v/>
      </c>
    </row>
    <row r="189" spans="2:36" x14ac:dyDescent="0.3">
      <c r="B189" s="335" t="str">
        <f>IF(OR('REGIÃO 13 - RESUMO'!E95="",'REGIÃO 13 - RESUMO'!E95=0),"",'REGIÃO 13 - RESUMO'!C95)</f>
        <v>R13</v>
      </c>
      <c r="C189" s="335" t="str">
        <f>'REGIÃO 13 - RESUMO'!D95</f>
        <v>051.2024</v>
      </c>
      <c r="D189" s="81">
        <f>'REGIÃO 13 - RESUMO'!E95</f>
        <v>164</v>
      </c>
      <c r="E189" s="80" t="str">
        <f>'REGIÃO 13 - RESUMO'!F95</f>
        <v>Setembro</v>
      </c>
      <c r="F189" s="82">
        <f>'REGIÃO 13 - RESUMO'!H95</f>
        <v>245</v>
      </c>
      <c r="G189" s="335" t="str">
        <f>'REGIÃO 13 - RESUMO'!I95</f>
        <v>RODOVIA TO-040 - TRECHO ENTR. TO-369 - ENTR. TO-280 (ALMAS)</v>
      </c>
      <c r="H189" s="80" t="str">
        <f>'REGIÃO 13 - RESUMO'!J95</f>
        <v>SERVIÇOS MANUTENÇÃO</v>
      </c>
      <c r="I189" s="335">
        <f>'REGIÃO 13 - RESUMO'!K95</f>
        <v>449217.37</v>
      </c>
      <c r="J189" s="335">
        <f>'REGIÃO 13 - HISTÓRICO'!F95</f>
        <v>0</v>
      </c>
      <c r="K189" s="335">
        <f>'REGIÃO 13 - HISTÓRICO'!G95</f>
        <v>449217.37</v>
      </c>
      <c r="L189" s="335" t="str">
        <f>IF(OR('REGIÃO 13 - RESUMO'!L95="",'REGIÃO 13 - RESUMO'!L95=0),"",'REGIÃO 13 - RESUMO'!L95)</f>
        <v>Correção Fiscal</v>
      </c>
      <c r="M189" s="335">
        <f>'REGIÃO 13 - HISTÓRICO'!J95</f>
        <v>0</v>
      </c>
      <c r="N189" s="335">
        <f>'REGIÃO 13 - HISTÓRICO'!L95</f>
        <v>0</v>
      </c>
      <c r="O189" s="335">
        <f>'REGIÃO 13 - HISTÓRICO'!N95</f>
        <v>0</v>
      </c>
      <c r="P189" s="335">
        <f>'REGIÃO 13 - HISTÓRICO'!P95</f>
        <v>0</v>
      </c>
      <c r="Q189" s="335">
        <f>'REGIÃO 13 - HISTÓRICO'!R95</f>
        <v>0</v>
      </c>
      <c r="R189" s="335">
        <f>'REGIÃO 13 - HISTÓRICO'!T95</f>
        <v>0</v>
      </c>
      <c r="S189" s="335">
        <f>'REGIÃO 13 - HISTÓRICO'!V95</f>
        <v>0</v>
      </c>
      <c r="T189" s="335">
        <f>'REGIÃO 13 - HISTÓRICO'!X95</f>
        <v>0</v>
      </c>
      <c r="U189" s="335">
        <f>'REGIÃO 13 - HISTÓRICO'!Z95</f>
        <v>0</v>
      </c>
      <c r="V189" s="335">
        <f>'REGIÃO 13 - HISTÓRICO'!AB95</f>
        <v>0</v>
      </c>
      <c r="W189" s="335">
        <f>'REGIÃO 13 - HISTÓRICO'!AD95</f>
        <v>0</v>
      </c>
      <c r="X189" s="335">
        <f>'REGIÃO 13 - HISTÓRICO'!AF95</f>
        <v>0</v>
      </c>
      <c r="Y189" s="335"/>
      <c r="Z189" s="335"/>
      <c r="AA189" s="335" t="str">
        <f>IF($Z189="","",COUNTIFS($H$4:$H$217,$Z189,$B$4:$B$217,$Z$1))</f>
        <v/>
      </c>
      <c r="AB189" s="335" t="str">
        <f>IF($Z189="","",SUMIFS($I$4:$I$217,$H$4:$H$217,$Z189,$B$4:$B$217,$Z$1))</f>
        <v/>
      </c>
      <c r="AC189" s="335" t="str">
        <f>IF($Z189="","",$AB189-ROW()/1000000)</f>
        <v/>
      </c>
      <c r="AD189" s="335" t="str">
        <f>IFERROR(RANK($AC189,$AC$4:$AC$217),"")</f>
        <v/>
      </c>
      <c r="AE189" s="335"/>
      <c r="AF189" s="335" t="str">
        <f>$B189</f>
        <v>R13</v>
      </c>
      <c r="AG189" s="335" t="str">
        <f>$C189&amp;"."&amp;TEXT($D189,"0000")</f>
        <v>051.2024.0164</v>
      </c>
      <c r="AH189" s="335">
        <f>IF($B189="",-1,IF(OR($Z$1="?*",$B189=$Z$1),$I189,-1))</f>
        <v>-1</v>
      </c>
      <c r="AI189" s="335" t="str">
        <f>IF($AH189&lt;0,"",$AH189-ROW()/1000000)</f>
        <v/>
      </c>
      <c r="AJ189" s="335" t="str">
        <f>IFERROR(RANK($AI189,$AI$4:$AI$217),"")</f>
        <v/>
      </c>
    </row>
    <row r="190" spans="2:36" x14ac:dyDescent="0.3">
      <c r="B190" s="335" t="str">
        <f>IF(OR('REGIÃO 13 - RESUMO'!E96="",'REGIÃO 13 - RESUMO'!E96=0),"",'REGIÃO 13 - RESUMO'!C96)</f>
        <v/>
      </c>
      <c r="C190" s="335" t="str">
        <f>'REGIÃO 13 - RESUMO'!D96</f>
        <v/>
      </c>
      <c r="D190" s="81">
        <f>'REGIÃO 13 - RESUMO'!E96</f>
        <v>0</v>
      </c>
      <c r="E190" s="80">
        <f>'REGIÃO 13 - RESUMO'!F96</f>
        <v>0</v>
      </c>
      <c r="F190" s="82">
        <f>'REGIÃO 13 - RESUMO'!H96</f>
        <v>0</v>
      </c>
      <c r="G190" s="335" t="str">
        <f>'REGIÃO 13 - RESUMO'!I96</f>
        <v/>
      </c>
      <c r="H190" s="80">
        <f>'REGIÃO 13 - RESUMO'!J96</f>
        <v>0</v>
      </c>
      <c r="I190" s="335">
        <f>'REGIÃO 13 - RESUMO'!K96</f>
        <v>0</v>
      </c>
      <c r="J190" s="335">
        <f>'REGIÃO 13 - HISTÓRICO'!F96</f>
        <v>0</v>
      </c>
      <c r="K190" s="335">
        <f>'REGIÃO 13 - HISTÓRICO'!G96</f>
        <v>0</v>
      </c>
      <c r="L190" s="335" t="str">
        <f>IF(OR('REGIÃO 13 - RESUMO'!L96="",'REGIÃO 13 - RESUMO'!L96=0),"",'REGIÃO 13 - RESUMO'!L96)</f>
        <v/>
      </c>
      <c r="M190" s="335">
        <f>'REGIÃO 13 - HISTÓRICO'!J96</f>
        <v>0</v>
      </c>
      <c r="N190" s="335">
        <f>'REGIÃO 13 - HISTÓRICO'!L96</f>
        <v>0</v>
      </c>
      <c r="O190" s="335">
        <f>'REGIÃO 13 - HISTÓRICO'!N96</f>
        <v>0</v>
      </c>
      <c r="P190" s="335">
        <f>'REGIÃO 13 - HISTÓRICO'!P96</f>
        <v>0</v>
      </c>
      <c r="Q190" s="335">
        <f>'REGIÃO 13 - HISTÓRICO'!R96</f>
        <v>0</v>
      </c>
      <c r="R190" s="335">
        <f>'REGIÃO 13 - HISTÓRICO'!T96</f>
        <v>0</v>
      </c>
      <c r="S190" s="335">
        <f>'REGIÃO 13 - HISTÓRICO'!V96</f>
        <v>0</v>
      </c>
      <c r="T190" s="335">
        <f>'REGIÃO 13 - HISTÓRICO'!X96</f>
        <v>0</v>
      </c>
      <c r="U190" s="335">
        <f>'REGIÃO 13 - HISTÓRICO'!Z96</f>
        <v>0</v>
      </c>
      <c r="V190" s="335">
        <f>'REGIÃO 13 - HISTÓRICO'!AB96</f>
        <v>0</v>
      </c>
      <c r="W190" s="335">
        <f>'REGIÃO 13 - HISTÓRICO'!AD96</f>
        <v>0</v>
      </c>
      <c r="X190" s="335">
        <f>'REGIÃO 13 - HISTÓRICO'!AF96</f>
        <v>0</v>
      </c>
      <c r="Y190" s="335"/>
      <c r="Z190" s="335"/>
      <c r="AA190" s="335" t="str">
        <f>IF($Z190="","",COUNTIFS($H$4:$H$217,$Z190,$B$4:$B$217,$Z$1))</f>
        <v/>
      </c>
      <c r="AB190" s="335" t="str">
        <f>IF($Z190="","",SUMIFS($I$4:$I$217,$H$4:$H$217,$Z190,$B$4:$B$217,$Z$1))</f>
        <v/>
      </c>
      <c r="AC190" s="335" t="str">
        <f>IF($Z190="","",$AB190-ROW()/1000000)</f>
        <v/>
      </c>
      <c r="AD190" s="335" t="str">
        <f>IFERROR(RANK($AC190,$AC$4:$AC$217),"")</f>
        <v/>
      </c>
      <c r="AE190" s="335"/>
      <c r="AF190" s="335" t="str">
        <f>$B190</f>
        <v/>
      </c>
      <c r="AG190" s="335" t="str">
        <f>$C190&amp;"."&amp;TEXT($D190,"0000")</f>
        <v>.0000</v>
      </c>
      <c r="AH190" s="335">
        <f>IF($B190="",-1,IF(OR($Z$1="?*",$B190=$Z$1),$I190,-1))</f>
        <v>-1</v>
      </c>
      <c r="AI190" s="335" t="str">
        <f>IF($AH190&lt;0,"",$AH190-ROW()/1000000)</f>
        <v/>
      </c>
      <c r="AJ190" s="335" t="str">
        <f>IFERROR(RANK($AI190,$AI$4:$AI$217),"")</f>
        <v/>
      </c>
    </row>
    <row r="191" spans="2:36" x14ac:dyDescent="0.3">
      <c r="B191" s="335" t="str">
        <f>IF(OR('REGIÃO 22 - RESUMO'!E4="",'REGIÃO 22 - RESUMO'!E4=0),"",'REGIÃO 22 - RESUMO'!C4)</f>
        <v>R22</v>
      </c>
      <c r="C191" s="335" t="str">
        <f>'REGIÃO 22 - RESUMO'!D4</f>
        <v>042.2025</v>
      </c>
      <c r="D191" s="81">
        <f>'REGIÃO 22 - RESUMO'!E4</f>
        <v>1</v>
      </c>
      <c r="E191" s="80" t="str">
        <f>'REGIÃO 22 - RESUMO'!F4</f>
        <v>Junho</v>
      </c>
      <c r="F191" s="82">
        <f>'REGIÃO 22 - RESUMO'!H4</f>
        <v>209</v>
      </c>
      <c r="G191" s="335" t="str">
        <f>'REGIÃO 22 - RESUMO'!I4</f>
        <v>RODOVIA TO-181 - TRECHO FAZENDA COBRAPE - ENTR. BR-242</v>
      </c>
      <c r="H191" s="80" t="str">
        <f>'REGIÃO 22 - RESUMO'!J4</f>
        <v xml:space="preserve">Reciclagem do pavimento e execução de TSD / Microrrevestimento asfáltico 8 mm / Sinalização de Obras </v>
      </c>
      <c r="I191" s="335">
        <f>'REGIÃO 22 - RESUMO'!K4</f>
        <v>21589110.530000001</v>
      </c>
      <c r="J191" s="335">
        <f>'REGIÃO 22 - HISTÓRICO'!F4</f>
        <v>13508233.779999999</v>
      </c>
      <c r="K191" s="335">
        <f>'REGIÃO 22 - HISTÓRICO'!G4</f>
        <v>8080876.7500000019</v>
      </c>
      <c r="L191" s="335" t="str">
        <f>IF(OR('REGIÃO 22 - RESUMO'!L4="",'REGIÃO 22 - RESUMO'!L4=0),"",'REGIÃO 22 - RESUMO'!L4)</f>
        <v>Em andamento</v>
      </c>
      <c r="M191" s="335">
        <f>'REGIÃO 22 - HISTÓRICO'!J4</f>
        <v>0</v>
      </c>
      <c r="N191" s="335">
        <f>'REGIÃO 22 - HISTÓRICO'!L4</f>
        <v>0</v>
      </c>
      <c r="O191" s="335">
        <f>'REGIÃO 22 - HISTÓRICO'!N4</f>
        <v>0</v>
      </c>
      <c r="P191" s="335">
        <f>'REGIÃO 22 - HISTÓRICO'!P4</f>
        <v>0</v>
      </c>
      <c r="Q191" s="335">
        <f>'REGIÃO 22 - HISTÓRICO'!R4</f>
        <v>0</v>
      </c>
      <c r="R191" s="335">
        <f>'REGIÃO 22 - HISTÓRICO'!T4</f>
        <v>13508233.779999999</v>
      </c>
      <c r="S191" s="335">
        <f>'REGIÃO 22 - HISTÓRICO'!V4</f>
        <v>0</v>
      </c>
      <c r="T191" s="335">
        <f>'REGIÃO 22 - HISTÓRICO'!X4</f>
        <v>0</v>
      </c>
      <c r="U191" s="335">
        <f>'REGIÃO 22 - HISTÓRICO'!Z4</f>
        <v>0</v>
      </c>
      <c r="V191" s="335">
        <f>'REGIÃO 22 - HISTÓRICO'!AB4</f>
        <v>0</v>
      </c>
      <c r="W191" s="335">
        <f>'REGIÃO 22 - HISTÓRICO'!AD4</f>
        <v>0</v>
      </c>
      <c r="X191" s="335">
        <f>'REGIÃO 22 - HISTÓRICO'!AF4</f>
        <v>0</v>
      </c>
      <c r="Y191" s="335"/>
      <c r="Z191" s="335"/>
      <c r="AA191" s="335" t="str">
        <f>IF($Z191="","",COUNTIFS($H$4:$H$217,$Z191,$B$4:$B$217,$Z$1))</f>
        <v/>
      </c>
      <c r="AB191" s="335" t="str">
        <f>IF($Z191="","",SUMIFS($I$4:$I$217,$H$4:$H$217,$Z191,$B$4:$B$217,$Z$1))</f>
        <v/>
      </c>
      <c r="AC191" s="335" t="str">
        <f>IF($Z191="","",$AB191-ROW()/1000000)</f>
        <v/>
      </c>
      <c r="AD191" s="335" t="str">
        <f>IFERROR(RANK($AC191,$AC$4:$AC$217),"")</f>
        <v/>
      </c>
      <c r="AE191" s="335"/>
      <c r="AF191" s="335" t="str">
        <f>$B191</f>
        <v>R22</v>
      </c>
      <c r="AG191" s="335" t="str">
        <f>$C191&amp;"."&amp;TEXT($D191,"0000")</f>
        <v>042.2025.0001</v>
      </c>
      <c r="AH191" s="335">
        <f>IF($B191="",-1,IF(OR($Z$1="?*",$B191=$Z$1),$I191,-1))</f>
        <v>-1</v>
      </c>
      <c r="AI191" s="335" t="str">
        <f>IF($AH191&lt;0,"",$AH191-ROW()/1000000)</f>
        <v/>
      </c>
      <c r="AJ191" s="335" t="str">
        <f>IFERROR(RANK($AI191,$AI$4:$AI$217),"")</f>
        <v/>
      </c>
    </row>
    <row r="192" spans="2:36" x14ac:dyDescent="0.3">
      <c r="B192" s="335" t="str">
        <f>IF(OR('REGIÃO 22 - RESUMO'!E5="",'REGIÃO 22 - RESUMO'!E5=0),"",'REGIÃO 22 - RESUMO'!C5)</f>
        <v>R22</v>
      </c>
      <c r="C192" s="335" t="str">
        <f>'REGIÃO 22 - RESUMO'!D5</f>
        <v>042.2025</v>
      </c>
      <c r="D192" s="81">
        <f>'REGIÃO 22 - RESUMO'!E5</f>
        <v>2</v>
      </c>
      <c r="E192" s="80" t="str">
        <f>'REGIÃO 22 - RESUMO'!F5</f>
        <v>Junho</v>
      </c>
      <c r="F192" s="82">
        <f>'REGIÃO 22 - RESUMO'!H5</f>
        <v>220</v>
      </c>
      <c r="G192" s="335" t="str">
        <f>'REGIÃO 22 - RESUMO'!I5</f>
        <v xml:space="preserve">RODOVIA TO-460 - TRECHO BR-242 (VILA QUIXABA) - SUCUPIRA </v>
      </c>
      <c r="H192" s="80" t="str">
        <f>'REGIÃO 22 - RESUMO'!J5</f>
        <v>Microrrevestimento asfáltico 8 mm / Sinalização de Obras</v>
      </c>
      <c r="I192" s="335">
        <f>'REGIÃO 22 - RESUMO'!K5</f>
        <v>1379558.32</v>
      </c>
      <c r="J192" s="335">
        <f>'REGIÃO 22 - HISTÓRICO'!F5</f>
        <v>1375803.76</v>
      </c>
      <c r="K192" s="335">
        <f>'REGIÃO 22 - HISTÓRICO'!G5</f>
        <v>3754.5600000000559</v>
      </c>
      <c r="L192" s="335" t="str">
        <f>IF(OR('REGIÃO 22 - RESUMO'!L5="",'REGIÃO 22 - RESUMO'!L5=0),"",'REGIÃO 22 - RESUMO'!L5)</f>
        <v>Concluída</v>
      </c>
      <c r="M192" s="335">
        <f>'REGIÃO 22 - HISTÓRICO'!J5</f>
        <v>0</v>
      </c>
      <c r="N192" s="335">
        <f>'REGIÃO 22 - HISTÓRICO'!L5</f>
        <v>0</v>
      </c>
      <c r="O192" s="335">
        <f>'REGIÃO 22 - HISTÓRICO'!N5</f>
        <v>0</v>
      </c>
      <c r="P192" s="335">
        <f>'REGIÃO 22 - HISTÓRICO'!P5</f>
        <v>0</v>
      </c>
      <c r="Q192" s="335">
        <f>'REGIÃO 22 - HISTÓRICO'!R5</f>
        <v>0</v>
      </c>
      <c r="R192" s="335">
        <f>'REGIÃO 22 - HISTÓRICO'!T5</f>
        <v>1375803.76</v>
      </c>
      <c r="S192" s="335">
        <f>'REGIÃO 22 - HISTÓRICO'!V5</f>
        <v>0</v>
      </c>
      <c r="T192" s="335">
        <f>'REGIÃO 22 - HISTÓRICO'!X5</f>
        <v>0</v>
      </c>
      <c r="U192" s="335">
        <f>'REGIÃO 22 - HISTÓRICO'!Z5</f>
        <v>0</v>
      </c>
      <c r="V192" s="335">
        <f>'REGIÃO 22 - HISTÓRICO'!AB5</f>
        <v>0</v>
      </c>
      <c r="W192" s="335">
        <f>'REGIÃO 22 - HISTÓRICO'!AD5</f>
        <v>0</v>
      </c>
      <c r="X192" s="335">
        <f>'REGIÃO 22 - HISTÓRICO'!AF5</f>
        <v>0</v>
      </c>
      <c r="Y192" s="335"/>
      <c r="Z192" s="335"/>
      <c r="AA192" s="335" t="str">
        <f>IF($Z192="","",COUNTIFS($H$4:$H$217,$Z192,$B$4:$B$217,$Z$1))</f>
        <v/>
      </c>
      <c r="AB192" s="335" t="str">
        <f>IF($Z192="","",SUMIFS($I$4:$I$217,$H$4:$H$217,$Z192,$B$4:$B$217,$Z$1))</f>
        <v/>
      </c>
      <c r="AC192" s="335" t="str">
        <f>IF($Z192="","",$AB192-ROW()/1000000)</f>
        <v/>
      </c>
      <c r="AD192" s="335" t="str">
        <f>IFERROR(RANK($AC192,$AC$4:$AC$217),"")</f>
        <v/>
      </c>
      <c r="AE192" s="335"/>
      <c r="AF192" s="335" t="str">
        <f>$B192</f>
        <v>R22</v>
      </c>
      <c r="AG192" s="335" t="str">
        <f>$C192&amp;"."&amp;TEXT($D192,"0000")</f>
        <v>042.2025.0002</v>
      </c>
      <c r="AH192" s="335">
        <f>IF($B192="",-1,IF(OR($Z$1="?*",$B192=$Z$1),$I192,-1))</f>
        <v>-1</v>
      </c>
      <c r="AI192" s="335" t="str">
        <f>IF($AH192&lt;0,"",$AH192-ROW()/1000000)</f>
        <v/>
      </c>
      <c r="AJ192" s="335" t="str">
        <f>IFERROR(RANK($AI192,$AI$4:$AI$217),"")</f>
        <v/>
      </c>
    </row>
    <row r="193" spans="2:36" x14ac:dyDescent="0.3">
      <c r="B193" s="335" t="str">
        <f>IF(OR('REGIÃO 22 - RESUMO'!E6="",'REGIÃO 22 - RESUMO'!E6=0),"",'REGIÃO 22 - RESUMO'!C6)</f>
        <v>R22</v>
      </c>
      <c r="C193" s="335" t="str">
        <f>'REGIÃO 22 - RESUMO'!D6</f>
        <v>042.2025</v>
      </c>
      <c r="D193" s="81">
        <f>'REGIÃO 22 - RESUMO'!E6</f>
        <v>3</v>
      </c>
      <c r="E193" s="80">
        <f>'REGIÃO 22 - RESUMO'!F6</f>
        <v>0</v>
      </c>
      <c r="F193" s="82">
        <f>'REGIÃO 22 - RESUMO'!H6</f>
        <v>0</v>
      </c>
      <c r="G193" s="335" t="str">
        <f>'REGIÃO 22 - RESUMO'!I6</f>
        <v>Trecho não cadastrado</v>
      </c>
      <c r="H193" s="80" t="str">
        <f>'REGIÃO 22 - RESUMO'!J6</f>
        <v>SERVIÇOS RESTAURAÇÃO</v>
      </c>
      <c r="I193" s="335">
        <f>'REGIÃO 22 - RESUMO'!K6</f>
        <v>0</v>
      </c>
      <c r="J193" s="335">
        <f>'REGIÃO 22 - HISTÓRICO'!F6</f>
        <v>0</v>
      </c>
      <c r="K193" s="335">
        <f>'REGIÃO 22 - HISTÓRICO'!G6</f>
        <v>0</v>
      </c>
      <c r="L193" s="335" t="str">
        <f>IF(OR('REGIÃO 22 - RESUMO'!L6="",'REGIÃO 22 - RESUMO'!L6=0),"",'REGIÃO 22 - RESUMO'!L6)</f>
        <v>-</v>
      </c>
      <c r="M193" s="335">
        <f>'REGIÃO 22 - HISTÓRICO'!J6</f>
        <v>0</v>
      </c>
      <c r="N193" s="335">
        <f>'REGIÃO 22 - HISTÓRICO'!L6</f>
        <v>0</v>
      </c>
      <c r="O193" s="335">
        <f>'REGIÃO 22 - HISTÓRICO'!N6</f>
        <v>0</v>
      </c>
      <c r="P193" s="335">
        <f>'REGIÃO 22 - HISTÓRICO'!P6</f>
        <v>0</v>
      </c>
      <c r="Q193" s="335">
        <f>'REGIÃO 22 - HISTÓRICO'!R6</f>
        <v>0</v>
      </c>
      <c r="R193" s="335">
        <f>'REGIÃO 22 - HISTÓRICO'!T6</f>
        <v>0</v>
      </c>
      <c r="S193" s="335">
        <f>'REGIÃO 22 - HISTÓRICO'!V6</f>
        <v>0</v>
      </c>
      <c r="T193" s="335">
        <f>'REGIÃO 22 - HISTÓRICO'!X6</f>
        <v>0</v>
      </c>
      <c r="U193" s="335">
        <f>'REGIÃO 22 - HISTÓRICO'!Z6</f>
        <v>0</v>
      </c>
      <c r="V193" s="335">
        <f>'REGIÃO 22 - HISTÓRICO'!AB6</f>
        <v>0</v>
      </c>
      <c r="W193" s="335">
        <f>'REGIÃO 22 - HISTÓRICO'!AD6</f>
        <v>0</v>
      </c>
      <c r="X193" s="335">
        <f>'REGIÃO 22 - HISTÓRICO'!AF6</f>
        <v>0</v>
      </c>
      <c r="Y193" s="335"/>
      <c r="Z193" s="335"/>
      <c r="AA193" s="335" t="str">
        <f>IF($Z193="","",COUNTIFS($H$4:$H$217,$Z193,$B$4:$B$217,$Z$1))</f>
        <v/>
      </c>
      <c r="AB193" s="335" t="str">
        <f>IF($Z193="","",SUMIFS($I$4:$I$217,$H$4:$H$217,$Z193,$B$4:$B$217,$Z$1))</f>
        <v/>
      </c>
      <c r="AC193" s="335" t="str">
        <f>IF($Z193="","",$AB193-ROW()/1000000)</f>
        <v/>
      </c>
      <c r="AD193" s="335" t="str">
        <f>IFERROR(RANK($AC193,$AC$4:$AC$217),"")</f>
        <v/>
      </c>
      <c r="AE193" s="335"/>
      <c r="AF193" s="335" t="str">
        <f>$B193</f>
        <v>R22</v>
      </c>
      <c r="AG193" s="335" t="str">
        <f>$C193&amp;"."&amp;TEXT($D193,"0000")</f>
        <v>042.2025.0003</v>
      </c>
      <c r="AH193" s="335">
        <f>IF($B193="",-1,IF(OR($Z$1="?*",$B193=$Z$1),$I193,-1))</f>
        <v>-1</v>
      </c>
      <c r="AI193" s="335" t="str">
        <f>IF($AH193&lt;0,"",$AH193-ROW()/1000000)</f>
        <v/>
      </c>
      <c r="AJ193" s="335" t="str">
        <f>IFERROR(RANK($AI193,$AI$4:$AI$217),"")</f>
        <v/>
      </c>
    </row>
    <row r="194" spans="2:36" x14ac:dyDescent="0.3">
      <c r="B194" s="335" t="str">
        <f>IF(OR('REGIÃO 22 - RESUMO'!E7="",'REGIÃO 22 - RESUMO'!E7=0),"",'REGIÃO 22 - RESUMO'!C7)</f>
        <v>R22</v>
      </c>
      <c r="C194" s="335" t="str">
        <f>'REGIÃO 22 - RESUMO'!D7</f>
        <v>042.2025</v>
      </c>
      <c r="D194" s="81">
        <f>'REGIÃO 22 - RESUMO'!E7</f>
        <v>4</v>
      </c>
      <c r="E194" s="80" t="str">
        <f>'REGIÃO 22 - RESUMO'!F7</f>
        <v>Julho</v>
      </c>
      <c r="F194" s="82">
        <f>'REGIÃO 22 - RESUMO'!H7</f>
        <v>220</v>
      </c>
      <c r="G194" s="335" t="str">
        <f>'REGIÃO 22 - RESUMO'!I7</f>
        <v xml:space="preserve">RODOVIA TO-460 - TRECHO BR-242 (VILA QUIXABA) - SUCUPIRA </v>
      </c>
      <c r="H194" s="80" t="str">
        <f>'REGIÃO 22 - RESUMO'!J7</f>
        <v>Microrrevestimento asfáltico 8 mm / Sinalização de Obras</v>
      </c>
      <c r="I194" s="335">
        <f>'REGIÃO 22 - RESUMO'!K7</f>
        <v>798489.4</v>
      </c>
      <c r="J194" s="335">
        <f>'REGIÃO 22 - HISTÓRICO'!F7</f>
        <v>794341.09</v>
      </c>
      <c r="K194" s="335">
        <f>'REGIÃO 22 - HISTÓRICO'!G7</f>
        <v>4148.3100000000559</v>
      </c>
      <c r="L194" s="335" t="str">
        <f>IF(OR('REGIÃO 22 - RESUMO'!L7="",'REGIÃO 22 - RESUMO'!L7=0),"",'REGIÃO 22 - RESUMO'!L7)</f>
        <v>Concluída</v>
      </c>
      <c r="M194" s="335">
        <f>'REGIÃO 22 - HISTÓRICO'!J7</f>
        <v>0</v>
      </c>
      <c r="N194" s="335">
        <f>'REGIÃO 22 - HISTÓRICO'!L7</f>
        <v>0</v>
      </c>
      <c r="O194" s="335">
        <f>'REGIÃO 22 - HISTÓRICO'!N7</f>
        <v>0</v>
      </c>
      <c r="P194" s="335">
        <f>'REGIÃO 22 - HISTÓRICO'!P7</f>
        <v>0</v>
      </c>
      <c r="Q194" s="335">
        <f>'REGIÃO 22 - HISTÓRICO'!R7</f>
        <v>0</v>
      </c>
      <c r="R194" s="335">
        <f>'REGIÃO 22 - HISTÓRICO'!T7</f>
        <v>0</v>
      </c>
      <c r="S194" s="335">
        <f>'REGIÃO 22 - HISTÓRICO'!V7</f>
        <v>794341.09</v>
      </c>
      <c r="T194" s="335">
        <f>'REGIÃO 22 - HISTÓRICO'!X7</f>
        <v>0</v>
      </c>
      <c r="U194" s="335">
        <f>'REGIÃO 22 - HISTÓRICO'!Z7</f>
        <v>0</v>
      </c>
      <c r="V194" s="335">
        <f>'REGIÃO 22 - HISTÓRICO'!AB7</f>
        <v>0</v>
      </c>
      <c r="W194" s="335">
        <f>'REGIÃO 22 - HISTÓRICO'!AD7</f>
        <v>0</v>
      </c>
      <c r="X194" s="335">
        <f>'REGIÃO 22 - HISTÓRICO'!AF7</f>
        <v>0</v>
      </c>
      <c r="Y194" s="335"/>
      <c r="Z194" s="335"/>
      <c r="AA194" s="335" t="str">
        <f>IF($Z194="","",COUNTIFS($H$4:$H$217,$Z194,$B$4:$B$217,$Z$1))</f>
        <v/>
      </c>
      <c r="AB194" s="335" t="str">
        <f>IF($Z194="","",SUMIFS($I$4:$I$217,$H$4:$H$217,$Z194,$B$4:$B$217,$Z$1))</f>
        <v/>
      </c>
      <c r="AC194" s="335" t="str">
        <f>IF($Z194="","",$AB194-ROW()/1000000)</f>
        <v/>
      </c>
      <c r="AD194" s="335" t="str">
        <f>IFERROR(RANK($AC194,$AC$4:$AC$217),"")</f>
        <v/>
      </c>
      <c r="AE194" s="335"/>
      <c r="AF194" s="335" t="str">
        <f>$B194</f>
        <v>R22</v>
      </c>
      <c r="AG194" s="335" t="str">
        <f>$C194&amp;"."&amp;TEXT($D194,"0000")</f>
        <v>042.2025.0004</v>
      </c>
      <c r="AH194" s="335">
        <f>IF($B194="",-1,IF(OR($Z$1="?*",$B194=$Z$1),$I194,-1))</f>
        <v>-1</v>
      </c>
      <c r="AI194" s="335" t="str">
        <f>IF($AH194&lt;0,"",$AH194-ROW()/1000000)</f>
        <v/>
      </c>
      <c r="AJ194" s="335" t="str">
        <f>IFERROR(RANK($AI194,$AI$4:$AI$217),"")</f>
        <v/>
      </c>
    </row>
    <row r="195" spans="2:36" x14ac:dyDescent="0.3">
      <c r="B195" s="335" t="str">
        <f>IF(OR('REGIÃO 22 - RESUMO'!E8="",'REGIÃO 22 - RESUMO'!E8=0),"",'REGIÃO 22 - RESUMO'!C8)</f>
        <v>R22</v>
      </c>
      <c r="C195" s="335" t="str">
        <f>'REGIÃO 22 - RESUMO'!D8</f>
        <v>042.2025</v>
      </c>
      <c r="D195" s="81">
        <f>'REGIÃO 22 - RESUMO'!E8</f>
        <v>5</v>
      </c>
      <c r="E195" s="80" t="str">
        <f>'REGIÃO 22 - RESUMO'!F8</f>
        <v>Agosto</v>
      </c>
      <c r="F195" s="82">
        <f>'REGIÃO 22 - RESUMO'!H8</f>
        <v>220</v>
      </c>
      <c r="G195" s="335" t="str">
        <f>'REGIÃO 22 - RESUMO'!I8</f>
        <v xml:space="preserve">RODOVIA TO-460 - TRECHO BR-242 (VILA QUIXABA) - SUCUPIRA </v>
      </c>
      <c r="H195" s="80" t="str">
        <f>'REGIÃO 22 - RESUMO'!J8</f>
        <v xml:space="preserve">Reciclagem do pavimento e execução de TSD / Microrrevestimento asfáltico 8 mm / Sinalização de Obras </v>
      </c>
      <c r="I195" s="335">
        <f>'REGIÃO 22 - RESUMO'!K8</f>
        <v>1758577.99</v>
      </c>
      <c r="J195" s="335">
        <f>'REGIÃO 22 - HISTÓRICO'!F8</f>
        <v>0</v>
      </c>
      <c r="K195" s="335">
        <f>'REGIÃO 22 - HISTÓRICO'!G8</f>
        <v>1758577.99</v>
      </c>
      <c r="L195" s="335" t="str">
        <f>IF(OR('REGIÃO 22 - RESUMO'!L8="",'REGIÃO 22 - RESUMO'!L8=0),"",'REGIÃO 22 - RESUMO'!L8)</f>
        <v>Justificada</v>
      </c>
      <c r="M195" s="335">
        <f>'REGIÃO 22 - HISTÓRICO'!J8</f>
        <v>0</v>
      </c>
      <c r="N195" s="335">
        <f>'REGIÃO 22 - HISTÓRICO'!L8</f>
        <v>0</v>
      </c>
      <c r="O195" s="335">
        <f>'REGIÃO 22 - HISTÓRICO'!N8</f>
        <v>0</v>
      </c>
      <c r="P195" s="335">
        <f>'REGIÃO 22 - HISTÓRICO'!P8</f>
        <v>0</v>
      </c>
      <c r="Q195" s="335">
        <f>'REGIÃO 22 - HISTÓRICO'!R8</f>
        <v>0</v>
      </c>
      <c r="R195" s="335">
        <f>'REGIÃO 22 - HISTÓRICO'!T8</f>
        <v>0</v>
      </c>
      <c r="S195" s="335">
        <f>'REGIÃO 22 - HISTÓRICO'!V8</f>
        <v>0</v>
      </c>
      <c r="T195" s="335">
        <f>'REGIÃO 22 - HISTÓRICO'!X8</f>
        <v>0</v>
      </c>
      <c r="U195" s="335">
        <f>'REGIÃO 22 - HISTÓRICO'!Z8</f>
        <v>0</v>
      </c>
      <c r="V195" s="335">
        <f>'REGIÃO 22 - HISTÓRICO'!AB8</f>
        <v>0</v>
      </c>
      <c r="W195" s="335">
        <f>'REGIÃO 22 - HISTÓRICO'!AD8</f>
        <v>0</v>
      </c>
      <c r="X195" s="335">
        <f>'REGIÃO 22 - HISTÓRICO'!AF8</f>
        <v>0</v>
      </c>
      <c r="Y195" s="335"/>
      <c r="Z195" s="335"/>
      <c r="AA195" s="335" t="str">
        <f>IF($Z195="","",COUNTIFS($H$4:$H$217,$Z195,$B$4:$B$217,$Z$1))</f>
        <v/>
      </c>
      <c r="AB195" s="335" t="str">
        <f>IF($Z195="","",SUMIFS($I$4:$I$217,$H$4:$H$217,$Z195,$B$4:$B$217,$Z$1))</f>
        <v/>
      </c>
      <c r="AC195" s="335" t="str">
        <f>IF($Z195="","",$AB195-ROW()/1000000)</f>
        <v/>
      </c>
      <c r="AD195" s="335" t="str">
        <f>IFERROR(RANK($AC195,$AC$4:$AC$217),"")</f>
        <v/>
      </c>
      <c r="AE195" s="335"/>
      <c r="AF195" s="335" t="str">
        <f>$B195</f>
        <v>R22</v>
      </c>
      <c r="AG195" s="335" t="str">
        <f>$C195&amp;"."&amp;TEXT($D195,"0000")</f>
        <v>042.2025.0005</v>
      </c>
      <c r="AH195" s="335">
        <f>IF($B195="",-1,IF(OR($Z$1="?*",$B195=$Z$1),$I195,-1))</f>
        <v>-1</v>
      </c>
      <c r="AI195" s="335" t="str">
        <f>IF($AH195&lt;0,"",$AH195-ROW()/1000000)</f>
        <v/>
      </c>
      <c r="AJ195" s="335" t="str">
        <f>IFERROR(RANK($AI195,$AI$4:$AI$217),"")</f>
        <v/>
      </c>
    </row>
    <row r="196" spans="2:36" x14ac:dyDescent="0.3">
      <c r="B196" s="335" t="str">
        <f>IF(OR('REGIÃO 22 - RESUMO'!E9="",'REGIÃO 22 - RESUMO'!E9=0),"",'REGIÃO 22 - RESUMO'!C9)</f>
        <v>R22</v>
      </c>
      <c r="C196" s="335" t="str">
        <f>'REGIÃO 22 - RESUMO'!D9</f>
        <v>042.2025</v>
      </c>
      <c r="D196" s="81">
        <f>'REGIÃO 22 - RESUMO'!E9</f>
        <v>6</v>
      </c>
      <c r="E196" s="80" t="str">
        <f>'REGIÃO 22 - RESUMO'!F9</f>
        <v>Agosto</v>
      </c>
      <c r="F196" s="82">
        <f>'REGIÃO 22 - RESUMO'!H9</f>
        <v>209</v>
      </c>
      <c r="G196" s="335" t="str">
        <f>'REGIÃO 22 - RESUMO'!I9</f>
        <v>RODOVIA TO-181 - TRECHO FAZENDA COBRAPE - ENTR. BR-242</v>
      </c>
      <c r="H196" s="80" t="str">
        <f>'REGIÃO 22 - RESUMO'!J9</f>
        <v xml:space="preserve">Reciclagem do pavimento e execução de TSD / Microrrevestimento asfáltico 8 mm / Sinalização de Obras </v>
      </c>
      <c r="I196" s="335">
        <f>'REGIÃO 22 - RESUMO'!K9</f>
        <v>14443399.710000001</v>
      </c>
      <c r="J196" s="335">
        <f>'REGIÃO 22 - HISTÓRICO'!F9</f>
        <v>2213414.7000000002</v>
      </c>
      <c r="K196" s="335">
        <f>'REGIÃO 22 - HISTÓRICO'!G9</f>
        <v>12229985.010000002</v>
      </c>
      <c r="L196" s="335" t="str">
        <f>IF(OR('REGIÃO 22 - RESUMO'!L9="",'REGIÃO 22 - RESUMO'!L9=0),"",'REGIÃO 22 - RESUMO'!L9)</f>
        <v>Em andamento</v>
      </c>
      <c r="M196" s="335">
        <f>'REGIÃO 22 - HISTÓRICO'!J9</f>
        <v>0</v>
      </c>
      <c r="N196" s="335">
        <f>'REGIÃO 22 - HISTÓRICO'!L9</f>
        <v>0</v>
      </c>
      <c r="O196" s="335">
        <f>'REGIÃO 22 - HISTÓRICO'!N9</f>
        <v>0</v>
      </c>
      <c r="P196" s="335">
        <f>'REGIÃO 22 - HISTÓRICO'!P9</f>
        <v>0</v>
      </c>
      <c r="Q196" s="335">
        <f>'REGIÃO 22 - HISTÓRICO'!R9</f>
        <v>0</v>
      </c>
      <c r="R196" s="335">
        <f>'REGIÃO 22 - HISTÓRICO'!T9</f>
        <v>0</v>
      </c>
      <c r="S196" s="335">
        <f>'REGIÃO 22 - HISTÓRICO'!V9</f>
        <v>0</v>
      </c>
      <c r="T196" s="335">
        <f>'REGIÃO 22 - HISTÓRICO'!X9</f>
        <v>2213414.7000000002</v>
      </c>
      <c r="U196" s="335">
        <f>'REGIÃO 22 - HISTÓRICO'!Z9</f>
        <v>0</v>
      </c>
      <c r="V196" s="335">
        <f>'REGIÃO 22 - HISTÓRICO'!AB9</f>
        <v>0</v>
      </c>
      <c r="W196" s="335">
        <f>'REGIÃO 22 - HISTÓRICO'!AD9</f>
        <v>0</v>
      </c>
      <c r="X196" s="335">
        <f>'REGIÃO 22 - HISTÓRICO'!AF9</f>
        <v>0</v>
      </c>
      <c r="Y196" s="335"/>
      <c r="Z196" s="335"/>
      <c r="AA196" s="335" t="str">
        <f>IF($Z196="","",COUNTIFS($H$4:$H$217,$Z196,$B$4:$B$217,$Z$1))</f>
        <v/>
      </c>
      <c r="AB196" s="335" t="str">
        <f>IF($Z196="","",SUMIFS($I$4:$I$217,$H$4:$H$217,$Z196,$B$4:$B$217,$Z$1))</f>
        <v/>
      </c>
      <c r="AC196" s="335" t="str">
        <f>IF($Z196="","",$AB196-ROW()/1000000)</f>
        <v/>
      </c>
      <c r="AD196" s="335" t="str">
        <f>IFERROR(RANK($AC196,$AC$4:$AC$217),"")</f>
        <v/>
      </c>
      <c r="AE196" s="335"/>
      <c r="AF196" s="335" t="str">
        <f>$B196</f>
        <v>R22</v>
      </c>
      <c r="AG196" s="335" t="str">
        <f>$C196&amp;"."&amp;TEXT($D196,"0000")</f>
        <v>042.2025.0006</v>
      </c>
      <c r="AH196" s="335">
        <f>IF($B196="",-1,IF(OR($Z$1="?*",$B196=$Z$1),$I196,-1))</f>
        <v>-1</v>
      </c>
      <c r="AI196" s="335" t="str">
        <f>IF($AH196&lt;0,"",$AH196-ROW()/1000000)</f>
        <v/>
      </c>
      <c r="AJ196" s="335" t="str">
        <f>IFERROR(RANK($AI196,$AI$4:$AI$217),"")</f>
        <v/>
      </c>
    </row>
    <row r="197" spans="2:36" x14ac:dyDescent="0.3">
      <c r="B197" s="335" t="str">
        <f>IF(OR('REGIÃO 22 - RESUMO'!E10="",'REGIÃO 22 - RESUMO'!E10=0),"",'REGIÃO 22 - RESUMO'!C10)</f>
        <v>R22</v>
      </c>
      <c r="C197" s="335" t="str">
        <f>'REGIÃO 22 - RESUMO'!D10</f>
        <v>042.2025</v>
      </c>
      <c r="D197" s="81">
        <f>'REGIÃO 22 - RESUMO'!E10</f>
        <v>7</v>
      </c>
      <c r="E197" s="80" t="str">
        <f>'REGIÃO 22 - RESUMO'!F10</f>
        <v>Setembro</v>
      </c>
      <c r="F197" s="82">
        <f>'REGIÃO 22 - RESUMO'!H10</f>
        <v>204</v>
      </c>
      <c r="G197" s="335" t="str">
        <f>'REGIÃO 22 - RESUMO'!I10</f>
        <v>RODOVIA TO-070 - TRECHO ALIANÇA DO TOCANTINS - BREJINHO DE NAZARÉ</v>
      </c>
      <c r="H197" s="80" t="str">
        <f>'REGIÃO 22 - RESUMO'!J10</f>
        <v>SERVIÇOS RESTAURAÇÃO</v>
      </c>
      <c r="I197" s="335">
        <f>'REGIÃO 22 - RESUMO'!K10</f>
        <v>0</v>
      </c>
      <c r="J197" s="335">
        <f>'REGIÃO 22 - HISTÓRICO'!F10</f>
        <v>0</v>
      </c>
      <c r="K197" s="335">
        <f>'REGIÃO 22 - HISTÓRICO'!G10</f>
        <v>0</v>
      </c>
      <c r="L197" s="335" t="str">
        <f>IF(OR('REGIÃO 22 - RESUMO'!L10="",'REGIÃO 22 - RESUMO'!L10=0),"",'REGIÃO 22 - RESUMO'!L10)</f>
        <v>Em elaboração</v>
      </c>
      <c r="M197" s="335">
        <f>'REGIÃO 22 - HISTÓRICO'!J10</f>
        <v>0</v>
      </c>
      <c r="N197" s="335">
        <f>'REGIÃO 22 - HISTÓRICO'!L10</f>
        <v>0</v>
      </c>
      <c r="O197" s="335">
        <f>'REGIÃO 22 - HISTÓRICO'!N10</f>
        <v>0</v>
      </c>
      <c r="P197" s="335">
        <f>'REGIÃO 22 - HISTÓRICO'!P10</f>
        <v>0</v>
      </c>
      <c r="Q197" s="335">
        <f>'REGIÃO 22 - HISTÓRICO'!R10</f>
        <v>0</v>
      </c>
      <c r="R197" s="335">
        <f>'REGIÃO 22 - HISTÓRICO'!T10</f>
        <v>0</v>
      </c>
      <c r="S197" s="335">
        <f>'REGIÃO 22 - HISTÓRICO'!V10</f>
        <v>0</v>
      </c>
      <c r="T197" s="335">
        <f>'REGIÃO 22 - HISTÓRICO'!X10</f>
        <v>0</v>
      </c>
      <c r="U197" s="335">
        <f>'REGIÃO 22 - HISTÓRICO'!Z10</f>
        <v>0</v>
      </c>
      <c r="V197" s="335">
        <f>'REGIÃO 22 - HISTÓRICO'!AB10</f>
        <v>0</v>
      </c>
      <c r="W197" s="335">
        <f>'REGIÃO 22 - HISTÓRICO'!AD10</f>
        <v>0</v>
      </c>
      <c r="X197" s="335">
        <f>'REGIÃO 22 - HISTÓRICO'!AF10</f>
        <v>0</v>
      </c>
      <c r="Y197" s="335"/>
      <c r="Z197" s="335"/>
      <c r="AA197" s="335" t="str">
        <f>IF($Z197="","",COUNTIFS($H$4:$H$217,$Z197,$B$4:$B$217,$Z$1))</f>
        <v/>
      </c>
      <c r="AB197" s="335" t="str">
        <f>IF($Z197="","",SUMIFS($I$4:$I$217,$H$4:$H$217,$Z197,$B$4:$B$217,$Z$1))</f>
        <v/>
      </c>
      <c r="AC197" s="335" t="str">
        <f>IF($Z197="","",$AB197-ROW()/1000000)</f>
        <v/>
      </c>
      <c r="AD197" s="335" t="str">
        <f>IFERROR(RANK($AC197,$AC$4:$AC$217),"")</f>
        <v/>
      </c>
      <c r="AE197" s="335"/>
      <c r="AF197" s="335" t="str">
        <f>$B197</f>
        <v>R22</v>
      </c>
      <c r="AG197" s="335" t="str">
        <f>$C197&amp;"."&amp;TEXT($D197,"0000")</f>
        <v>042.2025.0007</v>
      </c>
      <c r="AH197" s="335">
        <f>IF($B197="",-1,IF(OR($Z$1="?*",$B197=$Z$1),$I197,-1))</f>
        <v>-1</v>
      </c>
      <c r="AI197" s="335" t="str">
        <f>IF($AH197&lt;0,"",$AH197-ROW()/1000000)</f>
        <v/>
      </c>
      <c r="AJ197" s="335" t="str">
        <f>IFERROR(RANK($AI197,$AI$4:$AI$217),"")</f>
        <v/>
      </c>
    </row>
    <row r="198" spans="2:36" x14ac:dyDescent="0.3">
      <c r="B198" s="335" t="str">
        <f>IF(OR('REGIÃO 22 - RESUMO'!E11="",'REGIÃO 22 - RESUMO'!E11=0),"",'REGIÃO 22 - RESUMO'!C11)</f>
        <v/>
      </c>
      <c r="C198" s="335" t="str">
        <f>'REGIÃO 22 - RESUMO'!D11</f>
        <v>042.2025</v>
      </c>
      <c r="D198" s="81">
        <f>'REGIÃO 22 - RESUMO'!E11</f>
        <v>0</v>
      </c>
      <c r="E198" s="80">
        <f>'REGIÃO 22 - RESUMO'!F11</f>
        <v>0</v>
      </c>
      <c r="F198" s="82">
        <f>'REGIÃO 22 - RESUMO'!H11</f>
        <v>0</v>
      </c>
      <c r="G198" s="335">
        <f>'REGIÃO 22 - RESUMO'!I11</f>
        <v>0</v>
      </c>
      <c r="H198" s="80">
        <f>'REGIÃO 22 - RESUMO'!J11</f>
        <v>0</v>
      </c>
      <c r="I198" s="335">
        <f>'REGIÃO 22 - RESUMO'!K11</f>
        <v>0</v>
      </c>
      <c r="J198" s="335">
        <f>'REGIÃO 22 - HISTÓRICO'!F11</f>
        <v>0</v>
      </c>
      <c r="K198" s="335">
        <f>'REGIÃO 22 - HISTÓRICO'!G11</f>
        <v>0</v>
      </c>
      <c r="L198" s="335" t="str">
        <f>IF(OR('REGIÃO 22 - RESUMO'!L11="",'REGIÃO 22 - RESUMO'!L11=0),"",'REGIÃO 22 - RESUMO'!L11)</f>
        <v/>
      </c>
      <c r="M198" s="335">
        <f>'REGIÃO 22 - HISTÓRICO'!J11</f>
        <v>0</v>
      </c>
      <c r="N198" s="335">
        <f>'REGIÃO 22 - HISTÓRICO'!L11</f>
        <v>0</v>
      </c>
      <c r="O198" s="335">
        <f>'REGIÃO 22 - HISTÓRICO'!N11</f>
        <v>0</v>
      </c>
      <c r="P198" s="335">
        <f>'REGIÃO 22 - HISTÓRICO'!P11</f>
        <v>0</v>
      </c>
      <c r="Q198" s="335">
        <f>'REGIÃO 22 - HISTÓRICO'!R11</f>
        <v>0</v>
      </c>
      <c r="R198" s="335">
        <f>'REGIÃO 22 - HISTÓRICO'!T11</f>
        <v>0</v>
      </c>
      <c r="S198" s="335">
        <f>'REGIÃO 22 - HISTÓRICO'!V11</f>
        <v>0</v>
      </c>
      <c r="T198" s="335">
        <f>'REGIÃO 22 - HISTÓRICO'!X11</f>
        <v>0</v>
      </c>
      <c r="U198" s="335">
        <f>'REGIÃO 22 - HISTÓRICO'!Z11</f>
        <v>0</v>
      </c>
      <c r="V198" s="335">
        <f>'REGIÃO 22 - HISTÓRICO'!AB11</f>
        <v>0</v>
      </c>
      <c r="W198" s="335">
        <f>'REGIÃO 22 - HISTÓRICO'!AD11</f>
        <v>0</v>
      </c>
      <c r="X198" s="335">
        <f>'REGIÃO 22 - HISTÓRICO'!AF11</f>
        <v>0</v>
      </c>
      <c r="Y198" s="335"/>
      <c r="Z198" s="335"/>
      <c r="AA198" s="335" t="str">
        <f>IF($Z198="","",COUNTIFS($H$4:$H$217,$Z198,$B$4:$B$217,$Z$1))</f>
        <v/>
      </c>
      <c r="AB198" s="335" t="str">
        <f>IF($Z198="","",SUMIFS($I$4:$I$217,$H$4:$H$217,$Z198,$B$4:$B$217,$Z$1))</f>
        <v/>
      </c>
      <c r="AC198" s="335" t="str">
        <f>IF($Z198="","",$AB198-ROW()/1000000)</f>
        <v/>
      </c>
      <c r="AD198" s="335" t="str">
        <f>IFERROR(RANK($AC198,$AC$4:$AC$217),"")</f>
        <v/>
      </c>
      <c r="AE198" s="335"/>
      <c r="AF198" s="335" t="str">
        <f>$B198</f>
        <v/>
      </c>
      <c r="AG198" s="335" t="str">
        <f>$C198&amp;"."&amp;TEXT($D198,"0000")</f>
        <v>042.2025.0000</v>
      </c>
      <c r="AH198" s="335">
        <f>IF($B198="",-1,IF(OR($Z$1="?*",$B198=$Z$1),$I198,-1))</f>
        <v>-1</v>
      </c>
      <c r="AI198" s="335" t="str">
        <f>IF($AH198&lt;0,"",$AH198-ROW()/1000000)</f>
        <v/>
      </c>
      <c r="AJ198" s="335" t="str">
        <f>IFERROR(RANK($AI198,$AI$4:$AI$217),"")</f>
        <v/>
      </c>
    </row>
    <row r="199" spans="2:36" x14ac:dyDescent="0.3">
      <c r="B199" s="335" t="str">
        <f>IF(OR('REGIÃO 22 - RESUMO'!E12="",'REGIÃO 22 - RESUMO'!E12=0),"",'REGIÃO 22 - RESUMO'!C12)</f>
        <v/>
      </c>
      <c r="C199" s="335" t="str">
        <f>'REGIÃO 22 - RESUMO'!D12</f>
        <v/>
      </c>
      <c r="D199" s="81">
        <f>'REGIÃO 22 - RESUMO'!E12</f>
        <v>0</v>
      </c>
      <c r="E199" s="80">
        <f>'REGIÃO 22 - RESUMO'!F12</f>
        <v>0</v>
      </c>
      <c r="F199" s="82">
        <f>'REGIÃO 22 - RESUMO'!H12</f>
        <v>0</v>
      </c>
      <c r="G199" s="335" t="str">
        <f>'REGIÃO 22 - RESUMO'!I12</f>
        <v/>
      </c>
      <c r="H199" s="80">
        <f>'REGIÃO 22 - RESUMO'!J12</f>
        <v>0</v>
      </c>
      <c r="I199" s="335">
        <f>'REGIÃO 22 - RESUMO'!K12</f>
        <v>0</v>
      </c>
      <c r="J199" s="335">
        <f>'REGIÃO 22 - HISTÓRICO'!F12</f>
        <v>0</v>
      </c>
      <c r="K199" s="335">
        <f>'REGIÃO 22 - HISTÓRICO'!G12</f>
        <v>0</v>
      </c>
      <c r="L199" s="335" t="str">
        <f>IF(OR('REGIÃO 22 - RESUMO'!L12="",'REGIÃO 22 - RESUMO'!L12=0),"",'REGIÃO 22 - RESUMO'!L12)</f>
        <v/>
      </c>
      <c r="M199" s="335">
        <f>'REGIÃO 22 - HISTÓRICO'!J12</f>
        <v>0</v>
      </c>
      <c r="N199" s="335">
        <f>'REGIÃO 22 - HISTÓRICO'!L12</f>
        <v>0</v>
      </c>
      <c r="O199" s="335">
        <f>'REGIÃO 22 - HISTÓRICO'!N12</f>
        <v>0</v>
      </c>
      <c r="P199" s="335">
        <f>'REGIÃO 22 - HISTÓRICO'!P12</f>
        <v>0</v>
      </c>
      <c r="Q199" s="335">
        <f>'REGIÃO 22 - HISTÓRICO'!R12</f>
        <v>0</v>
      </c>
      <c r="R199" s="335">
        <f>'REGIÃO 22 - HISTÓRICO'!T12</f>
        <v>0</v>
      </c>
      <c r="S199" s="335">
        <f>'REGIÃO 22 - HISTÓRICO'!V12</f>
        <v>0</v>
      </c>
      <c r="T199" s="335">
        <f>'REGIÃO 22 - HISTÓRICO'!X12</f>
        <v>0</v>
      </c>
      <c r="U199" s="335">
        <f>'REGIÃO 22 - HISTÓRICO'!Z12</f>
        <v>0</v>
      </c>
      <c r="V199" s="335">
        <f>'REGIÃO 22 - HISTÓRICO'!AB12</f>
        <v>0</v>
      </c>
      <c r="W199" s="335">
        <f>'REGIÃO 22 - HISTÓRICO'!AD12</f>
        <v>0</v>
      </c>
      <c r="X199" s="335">
        <f>'REGIÃO 22 - HISTÓRICO'!AF12</f>
        <v>0</v>
      </c>
      <c r="Y199" s="335"/>
      <c r="Z199" s="335"/>
      <c r="AA199" s="335" t="str">
        <f>IF($Z199="","",COUNTIFS($H$4:$H$217,$Z199,$B$4:$B$217,$Z$1))</f>
        <v/>
      </c>
      <c r="AB199" s="335" t="str">
        <f>IF($Z199="","",SUMIFS($I$4:$I$217,$H$4:$H$217,$Z199,$B$4:$B$217,$Z$1))</f>
        <v/>
      </c>
      <c r="AC199" s="335" t="str">
        <f>IF($Z199="","",$AB199-ROW()/1000000)</f>
        <v/>
      </c>
      <c r="AD199" s="335" t="str">
        <f>IFERROR(RANK($AC199,$AC$4:$AC$217),"")</f>
        <v/>
      </c>
      <c r="AE199" s="335"/>
      <c r="AF199" s="335" t="str">
        <f>$B199</f>
        <v/>
      </c>
      <c r="AG199" s="335" t="str">
        <f>$C199&amp;"."&amp;TEXT($D199,"0000")</f>
        <v>.0000</v>
      </c>
      <c r="AH199" s="335">
        <f>IF($B199="",-1,IF(OR($Z$1="?*",$B199=$Z$1),$I199,-1))</f>
        <v>-1</v>
      </c>
      <c r="AI199" s="335" t="str">
        <f>IF($AH199&lt;0,"",$AH199-ROW()/1000000)</f>
        <v/>
      </c>
      <c r="AJ199" s="335" t="str">
        <f>IFERROR(RANK($AI199,$AI$4:$AI$217),"")</f>
        <v/>
      </c>
    </row>
    <row r="200" spans="2:36" x14ac:dyDescent="0.3">
      <c r="B200" s="335" t="str">
        <f>IF(OR('REGIÃO 23 - RESUMO'!E4="",'REGIÃO 23 - RESUMO'!E4=0),"",'REGIÃO 23 - RESUMO'!C4)</f>
        <v>R23</v>
      </c>
      <c r="C200" s="335" t="str">
        <f>'REGIÃO 23 - RESUMO'!D4</f>
        <v>043.2025</v>
      </c>
      <c r="D200" s="81">
        <f>'REGIÃO 23 - RESUMO'!E4</f>
        <v>1</v>
      </c>
      <c r="E200" s="80" t="str">
        <f>'REGIÃO 23 - RESUMO'!F4</f>
        <v>Janeiro</v>
      </c>
      <c r="F200" s="82">
        <f>'REGIÃO 23 - RESUMO'!H4</f>
        <v>0</v>
      </c>
      <c r="G200" s="335" t="str">
        <f>'REGIÃO 23 - RESUMO'!I4</f>
        <v>Trecho não cadastrado</v>
      </c>
      <c r="H200" s="80" t="str">
        <f>'REGIÃO 23 - RESUMO'!J4</f>
        <v>SERVIÇOS MANUTENÇÃO</v>
      </c>
      <c r="I200" s="335">
        <f>'REGIÃO 23 - RESUMO'!K4</f>
        <v>0</v>
      </c>
      <c r="J200" s="335">
        <f>'REGIÃO 23 - HISTÓRICO'!F4</f>
        <v>0</v>
      </c>
      <c r="K200" s="335">
        <f>'REGIÃO 23 - HISTÓRICO'!G4</f>
        <v>0</v>
      </c>
      <c r="L200" s="335" t="str">
        <f>IF(OR('REGIÃO 23 - RESUMO'!L4="",'REGIÃO 23 - RESUMO'!L4=0),"",'REGIÃO 23 - RESUMO'!L4)</f>
        <v>-</v>
      </c>
      <c r="M200" s="335">
        <f>'REGIÃO 23 - HISTÓRICO'!J4</f>
        <v>0</v>
      </c>
      <c r="N200" s="335">
        <f>'REGIÃO 23 - HISTÓRICO'!L4</f>
        <v>0</v>
      </c>
      <c r="O200" s="335">
        <f>'REGIÃO 23 - HISTÓRICO'!N4</f>
        <v>0</v>
      </c>
      <c r="P200" s="335">
        <f>'REGIÃO 23 - HISTÓRICO'!P4</f>
        <v>0</v>
      </c>
      <c r="Q200" s="335">
        <f>'REGIÃO 23 - HISTÓRICO'!R4</f>
        <v>0</v>
      </c>
      <c r="R200" s="335">
        <f>'REGIÃO 23 - HISTÓRICO'!T4</f>
        <v>0</v>
      </c>
      <c r="S200" s="335">
        <f>'REGIÃO 23 - HISTÓRICO'!V4</f>
        <v>0</v>
      </c>
      <c r="T200" s="335">
        <f>'REGIÃO 23 - HISTÓRICO'!X4</f>
        <v>0</v>
      </c>
      <c r="U200" s="335">
        <f>'REGIÃO 23 - HISTÓRICO'!Z4</f>
        <v>0</v>
      </c>
      <c r="V200" s="335">
        <f>'REGIÃO 23 - HISTÓRICO'!AB4</f>
        <v>0</v>
      </c>
      <c r="W200" s="335">
        <f>'REGIÃO 23 - HISTÓRICO'!AD4</f>
        <v>0</v>
      </c>
      <c r="X200" s="335">
        <f>'REGIÃO 23 - HISTÓRICO'!AF4</f>
        <v>0</v>
      </c>
      <c r="Y200" s="335"/>
      <c r="Z200" s="335"/>
      <c r="AA200" s="335" t="str">
        <f>IF($Z200="","",COUNTIFS($H$4:$H$217,$Z200,$B$4:$B$217,$Z$1))</f>
        <v/>
      </c>
      <c r="AB200" s="335" t="str">
        <f>IF($Z200="","",SUMIFS($I$4:$I$217,$H$4:$H$217,$Z200,$B$4:$B$217,$Z$1))</f>
        <v/>
      </c>
      <c r="AC200" s="335" t="str">
        <f>IF($Z200="","",$AB200-ROW()/1000000)</f>
        <v/>
      </c>
      <c r="AD200" s="335" t="str">
        <f>IFERROR(RANK($AC200,$AC$4:$AC$217),"")</f>
        <v/>
      </c>
      <c r="AE200" s="335"/>
      <c r="AF200" s="335" t="str">
        <f>$B200</f>
        <v>R23</v>
      </c>
      <c r="AG200" s="335" t="str">
        <f>$C200&amp;"."&amp;TEXT($D200,"0000")</f>
        <v>043.2025.0001</v>
      </c>
      <c r="AH200" s="335">
        <f>IF($B200="",-1,IF(OR($Z$1="?*",$B200=$Z$1),$I200,-1))</f>
        <v>-1</v>
      </c>
      <c r="AI200" s="335" t="str">
        <f>IF($AH200&lt;0,"",$AH200-ROW()/1000000)</f>
        <v/>
      </c>
      <c r="AJ200" s="335" t="str">
        <f>IFERROR(RANK($AI200,$AI$4:$AI$217),"")</f>
        <v/>
      </c>
    </row>
    <row r="201" spans="2:36" x14ac:dyDescent="0.3">
      <c r="B201" s="335" t="str">
        <f>IF(OR('REGIÃO 23 - RESUMO'!E5="",'REGIÃO 23 - RESUMO'!E5=0),"",'REGIÃO 23 - RESUMO'!C5)</f>
        <v>R23</v>
      </c>
      <c r="C201" s="335" t="str">
        <f>'REGIÃO 23 - RESUMO'!D5</f>
        <v>043.2025</v>
      </c>
      <c r="D201" s="81">
        <f>'REGIÃO 23 - RESUMO'!E5</f>
        <v>8</v>
      </c>
      <c r="E201" s="80">
        <f>'REGIÃO 23 - RESUMO'!F5</f>
        <v>0</v>
      </c>
      <c r="F201" s="82">
        <f>'REGIÃO 23 - RESUMO'!H5</f>
        <v>0</v>
      </c>
      <c r="G201" s="335" t="str">
        <f>'REGIÃO 23 - RESUMO'!I5</f>
        <v>Trecho não cadastrado</v>
      </c>
      <c r="H201" s="80" t="str">
        <f>'REGIÃO 23 - RESUMO'!J5</f>
        <v>SERVIÇOS MANUTENÇÃO</v>
      </c>
      <c r="I201" s="335">
        <f>'REGIÃO 23 - RESUMO'!K5</f>
        <v>0</v>
      </c>
      <c r="J201" s="335">
        <f>'REGIÃO 23 - HISTÓRICO'!F5</f>
        <v>0</v>
      </c>
      <c r="K201" s="335">
        <f>'REGIÃO 23 - HISTÓRICO'!G5</f>
        <v>0</v>
      </c>
      <c r="L201" s="335" t="str">
        <f>IF(OR('REGIÃO 23 - RESUMO'!L5="",'REGIÃO 23 - RESUMO'!L5=0),"",'REGIÃO 23 - RESUMO'!L5)</f>
        <v>-</v>
      </c>
      <c r="M201" s="335">
        <f>'REGIÃO 23 - HISTÓRICO'!J5</f>
        <v>0</v>
      </c>
      <c r="N201" s="335">
        <f>'REGIÃO 23 - HISTÓRICO'!L5</f>
        <v>0</v>
      </c>
      <c r="O201" s="335">
        <f>'REGIÃO 23 - HISTÓRICO'!N5</f>
        <v>0</v>
      </c>
      <c r="P201" s="335">
        <f>'REGIÃO 23 - HISTÓRICO'!P5</f>
        <v>0</v>
      </c>
      <c r="Q201" s="335">
        <f>'REGIÃO 23 - HISTÓRICO'!R5</f>
        <v>0</v>
      </c>
      <c r="R201" s="335">
        <f>'REGIÃO 23 - HISTÓRICO'!T5</f>
        <v>0</v>
      </c>
      <c r="S201" s="335">
        <f>'REGIÃO 23 - HISTÓRICO'!V5</f>
        <v>0</v>
      </c>
      <c r="T201" s="335">
        <f>'REGIÃO 23 - HISTÓRICO'!X5</f>
        <v>0</v>
      </c>
      <c r="U201" s="335">
        <f>'REGIÃO 23 - HISTÓRICO'!Z5</f>
        <v>0</v>
      </c>
      <c r="V201" s="335">
        <f>'REGIÃO 23 - HISTÓRICO'!AB5</f>
        <v>0</v>
      </c>
      <c r="W201" s="335">
        <f>'REGIÃO 23 - HISTÓRICO'!AD5</f>
        <v>0</v>
      </c>
      <c r="X201" s="335">
        <f>'REGIÃO 23 - HISTÓRICO'!AF5</f>
        <v>0</v>
      </c>
      <c r="Y201" s="335"/>
      <c r="Z201" s="335"/>
      <c r="AA201" s="335" t="str">
        <f>IF($Z201="","",COUNTIFS($H$4:$H$217,$Z201,$B$4:$B$217,$Z$1))</f>
        <v/>
      </c>
      <c r="AB201" s="335" t="str">
        <f>IF($Z201="","",SUMIFS($I$4:$I$217,$H$4:$H$217,$Z201,$B$4:$B$217,$Z$1))</f>
        <v/>
      </c>
      <c r="AC201" s="335" t="str">
        <f>IF($Z201="","",$AB201-ROW()/1000000)</f>
        <v/>
      </c>
      <c r="AD201" s="335" t="str">
        <f>IFERROR(RANK($AC201,$AC$4:$AC$217),"")</f>
        <v/>
      </c>
      <c r="AE201" s="335"/>
      <c r="AF201" s="335" t="str">
        <f>$B201</f>
        <v>R23</v>
      </c>
      <c r="AG201" s="335" t="str">
        <f>$C201&amp;"."&amp;TEXT($D201,"0000")</f>
        <v>043.2025.0008</v>
      </c>
      <c r="AH201" s="335">
        <f>IF($B201="",-1,IF(OR($Z$1="?*",$B201=$Z$1),$I201,-1))</f>
        <v>-1</v>
      </c>
      <c r="AI201" s="335" t="str">
        <f>IF($AH201&lt;0,"",$AH201-ROW()/1000000)</f>
        <v/>
      </c>
      <c r="AJ201" s="335" t="str">
        <f>IFERROR(RANK($AI201,$AI$4:$AI$217),"")</f>
        <v/>
      </c>
    </row>
    <row r="202" spans="2:36" x14ac:dyDescent="0.3">
      <c r="B202" s="335" t="str">
        <f>IF(OR('REGIÃO 23 - RESUMO'!E6="",'REGIÃO 23 - RESUMO'!E6=0),"",'REGIÃO 23 - RESUMO'!C6)</f>
        <v/>
      </c>
      <c r="C202" s="335" t="str">
        <f>'REGIÃO 23 - RESUMO'!D6</f>
        <v>043.2025</v>
      </c>
      <c r="D202" s="81">
        <f>'REGIÃO 23 - RESUMO'!E6</f>
        <v>0</v>
      </c>
      <c r="E202" s="80">
        <f>'REGIÃO 23 - RESUMO'!F6</f>
        <v>0</v>
      </c>
      <c r="F202" s="82">
        <f>'REGIÃO 23 - RESUMO'!H6</f>
        <v>0</v>
      </c>
      <c r="G202" s="335" t="str">
        <f>'REGIÃO 23 - RESUMO'!I6</f>
        <v>Trecho não cadastrado</v>
      </c>
      <c r="H202" s="80" t="str">
        <f>'REGIÃO 23 - RESUMO'!J6</f>
        <v>SERVIÇOS MANUTENÇÃO</v>
      </c>
      <c r="I202" s="335">
        <f>'REGIÃO 23 - RESUMO'!K6</f>
        <v>0</v>
      </c>
      <c r="J202" s="335">
        <f>'REGIÃO 23 - HISTÓRICO'!F6</f>
        <v>0</v>
      </c>
      <c r="K202" s="335">
        <f>'REGIÃO 23 - HISTÓRICO'!G6</f>
        <v>0</v>
      </c>
      <c r="L202" s="335" t="str">
        <f>IF(OR('REGIÃO 23 - RESUMO'!L6="",'REGIÃO 23 - RESUMO'!L6=0),"",'REGIÃO 23 - RESUMO'!L6)</f>
        <v>-</v>
      </c>
      <c r="M202" s="335">
        <f>'REGIÃO 23 - HISTÓRICO'!J6</f>
        <v>0</v>
      </c>
      <c r="N202" s="335">
        <f>'REGIÃO 23 - HISTÓRICO'!L6</f>
        <v>0</v>
      </c>
      <c r="O202" s="335">
        <f>'REGIÃO 23 - HISTÓRICO'!N6</f>
        <v>0</v>
      </c>
      <c r="P202" s="335">
        <f>'REGIÃO 23 - HISTÓRICO'!P6</f>
        <v>0</v>
      </c>
      <c r="Q202" s="335">
        <f>'REGIÃO 23 - HISTÓRICO'!R6</f>
        <v>0</v>
      </c>
      <c r="R202" s="335">
        <f>'REGIÃO 23 - HISTÓRICO'!T6</f>
        <v>0</v>
      </c>
      <c r="S202" s="335">
        <f>'REGIÃO 23 - HISTÓRICO'!V6</f>
        <v>0</v>
      </c>
      <c r="T202" s="335">
        <f>'REGIÃO 23 - HISTÓRICO'!X6</f>
        <v>0</v>
      </c>
      <c r="U202" s="335">
        <f>'REGIÃO 23 - HISTÓRICO'!Z6</f>
        <v>0</v>
      </c>
      <c r="V202" s="335">
        <f>'REGIÃO 23 - HISTÓRICO'!AB6</f>
        <v>0</v>
      </c>
      <c r="W202" s="335">
        <f>'REGIÃO 23 - HISTÓRICO'!AD6</f>
        <v>0</v>
      </c>
      <c r="X202" s="335">
        <f>'REGIÃO 23 - HISTÓRICO'!AF6</f>
        <v>0</v>
      </c>
      <c r="Y202" s="335"/>
      <c r="Z202" s="335"/>
      <c r="AA202" s="335" t="str">
        <f>IF($Z202="","",COUNTIFS($H$4:$H$217,$Z202,$B$4:$B$217,$Z$1))</f>
        <v/>
      </c>
      <c r="AB202" s="335" t="str">
        <f>IF($Z202="","",SUMIFS($I$4:$I$217,$H$4:$H$217,$Z202,$B$4:$B$217,$Z$1))</f>
        <v/>
      </c>
      <c r="AC202" s="335" t="str">
        <f>IF($Z202="","",$AB202-ROW()/1000000)</f>
        <v/>
      </c>
      <c r="AD202" s="335" t="str">
        <f>IFERROR(RANK($AC202,$AC$4:$AC$217),"")</f>
        <v/>
      </c>
      <c r="AE202" s="335"/>
      <c r="AF202" s="335" t="str">
        <f>$B202</f>
        <v/>
      </c>
      <c r="AG202" s="335" t="str">
        <f>$C202&amp;"."&amp;TEXT($D202,"0000")</f>
        <v>043.2025.0000</v>
      </c>
      <c r="AH202" s="335">
        <f>IF($B202="",-1,IF(OR($Z$1="?*",$B202=$Z$1),$I202,-1))</f>
        <v>-1</v>
      </c>
      <c r="AI202" s="335" t="str">
        <f>IF($AH202&lt;0,"",$AH202-ROW()/1000000)</f>
        <v/>
      </c>
      <c r="AJ202" s="335" t="str">
        <f>IFERROR(RANK($AI202,$AI$4:$AI$217),"")</f>
        <v/>
      </c>
    </row>
    <row r="203" spans="2:36" x14ac:dyDescent="0.3">
      <c r="B203" s="335" t="str">
        <f>IF(OR('REGIÃO 23 - RESUMO'!E7="",'REGIÃO 23 - RESUMO'!E7=0),"",'REGIÃO 23 - RESUMO'!C7)</f>
        <v/>
      </c>
      <c r="C203" s="335" t="str">
        <f>'REGIÃO 23 - RESUMO'!D7</f>
        <v>043.2025</v>
      </c>
      <c r="D203" s="81">
        <f>'REGIÃO 23 - RESUMO'!E7</f>
        <v>0</v>
      </c>
      <c r="E203" s="80">
        <f>'REGIÃO 23 - RESUMO'!F7</f>
        <v>0</v>
      </c>
      <c r="F203" s="82">
        <f>'REGIÃO 23 - RESUMO'!H7</f>
        <v>0</v>
      </c>
      <c r="G203" s="335" t="str">
        <f>'REGIÃO 23 - RESUMO'!I7</f>
        <v>Trecho não cadastrado</v>
      </c>
      <c r="H203" s="80" t="str">
        <f>'REGIÃO 23 - RESUMO'!J7</f>
        <v>SERVIÇOS MANUTENÇÃO</v>
      </c>
      <c r="I203" s="335">
        <f>'REGIÃO 23 - RESUMO'!K7</f>
        <v>0</v>
      </c>
      <c r="J203" s="335">
        <f>'REGIÃO 23 - HISTÓRICO'!F7</f>
        <v>0</v>
      </c>
      <c r="K203" s="335">
        <f>'REGIÃO 23 - HISTÓRICO'!G7</f>
        <v>0</v>
      </c>
      <c r="L203" s="335" t="str">
        <f>IF(OR('REGIÃO 23 - RESUMO'!L7="",'REGIÃO 23 - RESUMO'!L7=0),"",'REGIÃO 23 - RESUMO'!L7)</f>
        <v>-</v>
      </c>
      <c r="M203" s="335">
        <f>'REGIÃO 23 - HISTÓRICO'!J7</f>
        <v>0</v>
      </c>
      <c r="N203" s="335">
        <f>'REGIÃO 23 - HISTÓRICO'!L7</f>
        <v>0</v>
      </c>
      <c r="O203" s="335">
        <f>'REGIÃO 23 - HISTÓRICO'!N7</f>
        <v>0</v>
      </c>
      <c r="P203" s="335">
        <f>'REGIÃO 23 - HISTÓRICO'!P7</f>
        <v>0</v>
      </c>
      <c r="Q203" s="335">
        <f>'REGIÃO 23 - HISTÓRICO'!R7</f>
        <v>0</v>
      </c>
      <c r="R203" s="335">
        <f>'REGIÃO 23 - HISTÓRICO'!T7</f>
        <v>0</v>
      </c>
      <c r="S203" s="335">
        <f>'REGIÃO 23 - HISTÓRICO'!V7</f>
        <v>0</v>
      </c>
      <c r="T203" s="335">
        <f>'REGIÃO 23 - HISTÓRICO'!X7</f>
        <v>0</v>
      </c>
      <c r="U203" s="335">
        <f>'REGIÃO 23 - HISTÓRICO'!Z7</f>
        <v>0</v>
      </c>
      <c r="V203" s="335">
        <f>'REGIÃO 23 - HISTÓRICO'!AB7</f>
        <v>0</v>
      </c>
      <c r="W203" s="335">
        <f>'REGIÃO 23 - HISTÓRICO'!AD7</f>
        <v>0</v>
      </c>
      <c r="X203" s="335">
        <f>'REGIÃO 23 - HISTÓRICO'!AF7</f>
        <v>0</v>
      </c>
      <c r="Y203" s="335"/>
      <c r="Z203" s="335"/>
      <c r="AA203" s="335" t="str">
        <f>IF($Z203="","",COUNTIFS($H$4:$H$217,$Z203,$B$4:$B$217,$Z$1))</f>
        <v/>
      </c>
      <c r="AB203" s="335" t="str">
        <f>IF($Z203="","",SUMIFS($I$4:$I$217,$H$4:$H$217,$Z203,$B$4:$B$217,$Z$1))</f>
        <v/>
      </c>
      <c r="AC203" s="335" t="str">
        <f>IF($Z203="","",$AB203-ROW()/1000000)</f>
        <v/>
      </c>
      <c r="AD203" s="335" t="str">
        <f>IFERROR(RANK($AC203,$AC$4:$AC$217),"")</f>
        <v/>
      </c>
      <c r="AE203" s="335"/>
      <c r="AF203" s="335" t="str">
        <f>$B203</f>
        <v/>
      </c>
      <c r="AG203" s="335" t="str">
        <f>$C203&amp;"."&amp;TEXT($D203,"0000")</f>
        <v>043.2025.0000</v>
      </c>
      <c r="AH203" s="335">
        <f>IF($B203="",-1,IF(OR($Z$1="?*",$B203=$Z$1),$I203,-1))</f>
        <v>-1</v>
      </c>
      <c r="AI203" s="335" t="str">
        <f>IF($AH203&lt;0,"",$AH203-ROW()/1000000)</f>
        <v/>
      </c>
      <c r="AJ203" s="335" t="str">
        <f>IFERROR(RANK($AI203,$AI$4:$AI$217),"")</f>
        <v/>
      </c>
    </row>
    <row r="204" spans="2:36" x14ac:dyDescent="0.3">
      <c r="B204" s="335" t="str">
        <f>IF(OR('REGIÃO 23 - RESUMO'!E8="",'REGIÃO 23 - RESUMO'!E8=0),"",'REGIÃO 23 - RESUMO'!C8)</f>
        <v/>
      </c>
      <c r="C204" s="335" t="str">
        <f>'REGIÃO 23 - RESUMO'!D8</f>
        <v>043.2025</v>
      </c>
      <c r="D204" s="81">
        <f>'REGIÃO 23 - RESUMO'!E8</f>
        <v>0</v>
      </c>
      <c r="E204" s="80">
        <f>'REGIÃO 23 - RESUMO'!F8</f>
        <v>0</v>
      </c>
      <c r="F204" s="82">
        <f>'REGIÃO 23 - RESUMO'!H8</f>
        <v>0</v>
      </c>
      <c r="G204" s="335" t="str">
        <f>'REGIÃO 23 - RESUMO'!I8</f>
        <v>Trecho não cadastrado</v>
      </c>
      <c r="H204" s="80" t="str">
        <f>'REGIÃO 23 - RESUMO'!J8</f>
        <v>SERVIÇOS MANUTENÇÃO</v>
      </c>
      <c r="I204" s="335">
        <f>'REGIÃO 23 - RESUMO'!K8</f>
        <v>0</v>
      </c>
      <c r="J204" s="335">
        <f>'REGIÃO 23 - HISTÓRICO'!F8</f>
        <v>0</v>
      </c>
      <c r="K204" s="335">
        <f>'REGIÃO 23 - HISTÓRICO'!G8</f>
        <v>0</v>
      </c>
      <c r="L204" s="335" t="str">
        <f>IF(OR('REGIÃO 23 - RESUMO'!L8="",'REGIÃO 23 - RESUMO'!L8=0),"",'REGIÃO 23 - RESUMO'!L8)</f>
        <v>-</v>
      </c>
      <c r="M204" s="335">
        <f>'REGIÃO 23 - HISTÓRICO'!J8</f>
        <v>0</v>
      </c>
      <c r="N204" s="335">
        <f>'REGIÃO 23 - HISTÓRICO'!L8</f>
        <v>0</v>
      </c>
      <c r="O204" s="335">
        <f>'REGIÃO 23 - HISTÓRICO'!N8</f>
        <v>0</v>
      </c>
      <c r="P204" s="335">
        <f>'REGIÃO 23 - HISTÓRICO'!P8</f>
        <v>0</v>
      </c>
      <c r="Q204" s="335">
        <f>'REGIÃO 23 - HISTÓRICO'!R8</f>
        <v>0</v>
      </c>
      <c r="R204" s="335">
        <f>'REGIÃO 23 - HISTÓRICO'!T8</f>
        <v>0</v>
      </c>
      <c r="S204" s="335">
        <f>'REGIÃO 23 - HISTÓRICO'!V8</f>
        <v>0</v>
      </c>
      <c r="T204" s="335">
        <f>'REGIÃO 23 - HISTÓRICO'!X8</f>
        <v>0</v>
      </c>
      <c r="U204" s="335">
        <f>'REGIÃO 23 - HISTÓRICO'!Z8</f>
        <v>0</v>
      </c>
      <c r="V204" s="335">
        <f>'REGIÃO 23 - HISTÓRICO'!AB8</f>
        <v>0</v>
      </c>
      <c r="W204" s="335">
        <f>'REGIÃO 23 - HISTÓRICO'!AD8</f>
        <v>0</v>
      </c>
      <c r="X204" s="335">
        <f>'REGIÃO 23 - HISTÓRICO'!AF8</f>
        <v>0</v>
      </c>
      <c r="Y204" s="335"/>
      <c r="Z204" s="335"/>
      <c r="AA204" s="335" t="str">
        <f>IF($Z204="","",COUNTIFS($H$4:$H$217,$Z204,$B$4:$B$217,$Z$1))</f>
        <v/>
      </c>
      <c r="AB204" s="335" t="str">
        <f>IF($Z204="","",SUMIFS($I$4:$I$217,$H$4:$H$217,$Z204,$B$4:$B$217,$Z$1))</f>
        <v/>
      </c>
      <c r="AC204" s="335" t="str">
        <f>IF($Z204="","",$AB204-ROW()/1000000)</f>
        <v/>
      </c>
      <c r="AD204" s="335" t="str">
        <f>IFERROR(RANK($AC204,$AC$4:$AC$217),"")</f>
        <v/>
      </c>
      <c r="AE204" s="335"/>
      <c r="AF204" s="335" t="str">
        <f>$B204</f>
        <v/>
      </c>
      <c r="AG204" s="335" t="str">
        <f>$C204&amp;"."&amp;TEXT($D204,"0000")</f>
        <v>043.2025.0000</v>
      </c>
      <c r="AH204" s="335">
        <f>IF($B204="",-1,IF(OR($Z$1="?*",$B204=$Z$1),$I204,-1))</f>
        <v>-1</v>
      </c>
      <c r="AI204" s="335" t="str">
        <f>IF($AH204&lt;0,"",$AH204-ROW()/1000000)</f>
        <v/>
      </c>
      <c r="AJ204" s="335" t="str">
        <f>IFERROR(RANK($AI204,$AI$4:$AI$217),"")</f>
        <v/>
      </c>
    </row>
    <row r="205" spans="2:36" x14ac:dyDescent="0.3">
      <c r="B205" s="335" t="str">
        <f>IF(OR('REGIÃO 23 - RESUMO'!E9="",'REGIÃO 23 - RESUMO'!E9=0),"",'REGIÃO 23 - RESUMO'!C9)</f>
        <v/>
      </c>
      <c r="C205" s="335" t="str">
        <f>'REGIÃO 23 - RESUMO'!D9</f>
        <v>043.2025</v>
      </c>
      <c r="D205" s="81">
        <f>'REGIÃO 23 - RESUMO'!E9</f>
        <v>0</v>
      </c>
      <c r="E205" s="80">
        <f>'REGIÃO 23 - RESUMO'!F9</f>
        <v>0</v>
      </c>
      <c r="F205" s="82">
        <f>'REGIÃO 23 - RESUMO'!H9</f>
        <v>0</v>
      </c>
      <c r="G205" s="335" t="str">
        <f>'REGIÃO 23 - RESUMO'!I9</f>
        <v>Trecho não cadastrado</v>
      </c>
      <c r="H205" s="80" t="str">
        <f>'REGIÃO 23 - RESUMO'!J9</f>
        <v>SERVIÇOS MANUTENÇÃO</v>
      </c>
      <c r="I205" s="335">
        <f>'REGIÃO 23 - RESUMO'!K9</f>
        <v>0</v>
      </c>
      <c r="J205" s="335">
        <f>'REGIÃO 23 - HISTÓRICO'!F9</f>
        <v>0</v>
      </c>
      <c r="K205" s="335">
        <f>'REGIÃO 23 - HISTÓRICO'!G9</f>
        <v>0</v>
      </c>
      <c r="L205" s="335" t="str">
        <f>IF(OR('REGIÃO 23 - RESUMO'!L9="",'REGIÃO 23 - RESUMO'!L9=0),"",'REGIÃO 23 - RESUMO'!L9)</f>
        <v>-</v>
      </c>
      <c r="M205" s="335">
        <f>'REGIÃO 23 - HISTÓRICO'!J9</f>
        <v>0</v>
      </c>
      <c r="N205" s="335">
        <f>'REGIÃO 23 - HISTÓRICO'!L9</f>
        <v>0</v>
      </c>
      <c r="O205" s="335">
        <f>'REGIÃO 23 - HISTÓRICO'!N9</f>
        <v>0</v>
      </c>
      <c r="P205" s="335">
        <f>'REGIÃO 23 - HISTÓRICO'!P9</f>
        <v>0</v>
      </c>
      <c r="Q205" s="335">
        <f>'REGIÃO 23 - HISTÓRICO'!R9</f>
        <v>0</v>
      </c>
      <c r="R205" s="335">
        <f>'REGIÃO 23 - HISTÓRICO'!T9</f>
        <v>0</v>
      </c>
      <c r="S205" s="335">
        <f>'REGIÃO 23 - HISTÓRICO'!V9</f>
        <v>0</v>
      </c>
      <c r="T205" s="335">
        <f>'REGIÃO 23 - HISTÓRICO'!X9</f>
        <v>0</v>
      </c>
      <c r="U205" s="335">
        <f>'REGIÃO 23 - HISTÓRICO'!Z9</f>
        <v>0</v>
      </c>
      <c r="V205" s="335">
        <f>'REGIÃO 23 - HISTÓRICO'!AB9</f>
        <v>0</v>
      </c>
      <c r="W205" s="335">
        <f>'REGIÃO 23 - HISTÓRICO'!AD9</f>
        <v>0</v>
      </c>
      <c r="X205" s="335">
        <f>'REGIÃO 23 - HISTÓRICO'!AF9</f>
        <v>0</v>
      </c>
      <c r="Y205" s="335"/>
      <c r="Z205" s="335"/>
      <c r="AA205" s="335" t="str">
        <f>IF($Z205="","",COUNTIFS($H$4:$H$217,$Z205,$B$4:$B$217,$Z$1))</f>
        <v/>
      </c>
      <c r="AB205" s="335" t="str">
        <f>IF($Z205="","",SUMIFS($I$4:$I$217,$H$4:$H$217,$Z205,$B$4:$B$217,$Z$1))</f>
        <v/>
      </c>
      <c r="AC205" s="335" t="str">
        <f>IF($Z205="","",$AB205-ROW()/1000000)</f>
        <v/>
      </c>
      <c r="AD205" s="335" t="str">
        <f>IFERROR(RANK($AC205,$AC$4:$AC$217),"")</f>
        <v/>
      </c>
      <c r="AE205" s="335"/>
      <c r="AF205" s="335" t="str">
        <f>$B205</f>
        <v/>
      </c>
      <c r="AG205" s="335" t="str">
        <f>$C205&amp;"."&amp;TEXT($D205,"0000")</f>
        <v>043.2025.0000</v>
      </c>
      <c r="AH205" s="335">
        <f>IF($B205="",-1,IF(OR($Z$1="?*",$B205=$Z$1),$I205,-1))</f>
        <v>-1</v>
      </c>
      <c r="AI205" s="335" t="str">
        <f>IF($AH205&lt;0,"",$AH205-ROW()/1000000)</f>
        <v/>
      </c>
      <c r="AJ205" s="335" t="str">
        <f>IFERROR(RANK($AI205,$AI$4:$AI$217),"")</f>
        <v/>
      </c>
    </row>
    <row r="206" spans="2:36" x14ac:dyDescent="0.3">
      <c r="B206" s="335" t="str">
        <f>IF(OR('REGIÃO 23 - RESUMO'!E10="",'REGIÃO 23 - RESUMO'!E10=0),"",'REGIÃO 23 - RESUMO'!C10)</f>
        <v/>
      </c>
      <c r="C206" s="335" t="str">
        <f>'REGIÃO 23 - RESUMO'!D10</f>
        <v>043.2025</v>
      </c>
      <c r="D206" s="81">
        <f>'REGIÃO 23 - RESUMO'!E10</f>
        <v>0</v>
      </c>
      <c r="E206" s="80">
        <f>'REGIÃO 23 - RESUMO'!F10</f>
        <v>0</v>
      </c>
      <c r="F206" s="82">
        <f>'REGIÃO 23 - RESUMO'!H10</f>
        <v>0</v>
      </c>
      <c r="G206" s="335" t="str">
        <f>'REGIÃO 23 - RESUMO'!I10</f>
        <v>Trecho não cadastrado</v>
      </c>
      <c r="H206" s="80" t="str">
        <f>'REGIÃO 23 - RESUMO'!J10</f>
        <v>SERVIÇOS MANUTENÇÃO</v>
      </c>
      <c r="I206" s="335">
        <f>'REGIÃO 23 - RESUMO'!K10</f>
        <v>0</v>
      </c>
      <c r="J206" s="335">
        <f>'REGIÃO 23 - HISTÓRICO'!F10</f>
        <v>0</v>
      </c>
      <c r="K206" s="335">
        <f>'REGIÃO 23 - HISTÓRICO'!G10</f>
        <v>0</v>
      </c>
      <c r="L206" s="335" t="str">
        <f>IF(OR('REGIÃO 23 - RESUMO'!L10="",'REGIÃO 23 - RESUMO'!L10=0),"",'REGIÃO 23 - RESUMO'!L10)</f>
        <v>-</v>
      </c>
      <c r="M206" s="335">
        <f>'REGIÃO 23 - HISTÓRICO'!J10</f>
        <v>0</v>
      </c>
      <c r="N206" s="335">
        <f>'REGIÃO 23 - HISTÓRICO'!L10</f>
        <v>0</v>
      </c>
      <c r="O206" s="335">
        <f>'REGIÃO 23 - HISTÓRICO'!N10</f>
        <v>0</v>
      </c>
      <c r="P206" s="335">
        <f>'REGIÃO 23 - HISTÓRICO'!P10</f>
        <v>0</v>
      </c>
      <c r="Q206" s="335">
        <f>'REGIÃO 23 - HISTÓRICO'!R10</f>
        <v>0</v>
      </c>
      <c r="R206" s="335">
        <f>'REGIÃO 23 - HISTÓRICO'!T10</f>
        <v>0</v>
      </c>
      <c r="S206" s="335">
        <f>'REGIÃO 23 - HISTÓRICO'!V10</f>
        <v>0</v>
      </c>
      <c r="T206" s="335">
        <f>'REGIÃO 23 - HISTÓRICO'!X10</f>
        <v>0</v>
      </c>
      <c r="U206" s="335">
        <f>'REGIÃO 23 - HISTÓRICO'!Z10</f>
        <v>0</v>
      </c>
      <c r="V206" s="335">
        <f>'REGIÃO 23 - HISTÓRICO'!AB10</f>
        <v>0</v>
      </c>
      <c r="W206" s="335">
        <f>'REGIÃO 23 - HISTÓRICO'!AD10</f>
        <v>0</v>
      </c>
      <c r="X206" s="335">
        <f>'REGIÃO 23 - HISTÓRICO'!AF10</f>
        <v>0</v>
      </c>
      <c r="Y206" s="335"/>
      <c r="Z206" s="335"/>
      <c r="AA206" s="335" t="str">
        <f>IF($Z206="","",COUNTIFS($H$4:$H$217,$Z206,$B$4:$B$217,$Z$1))</f>
        <v/>
      </c>
      <c r="AB206" s="335" t="str">
        <f>IF($Z206="","",SUMIFS($I$4:$I$217,$H$4:$H$217,$Z206,$B$4:$B$217,$Z$1))</f>
        <v/>
      </c>
      <c r="AC206" s="335" t="str">
        <f>IF($Z206="","",$AB206-ROW()/1000000)</f>
        <v/>
      </c>
      <c r="AD206" s="335" t="str">
        <f>IFERROR(RANK($AC206,$AC$4:$AC$217),"")</f>
        <v/>
      </c>
      <c r="AE206" s="335"/>
      <c r="AF206" s="335" t="str">
        <f>$B206</f>
        <v/>
      </c>
      <c r="AG206" s="335" t="str">
        <f>$C206&amp;"."&amp;TEXT($D206,"0000")</f>
        <v>043.2025.0000</v>
      </c>
      <c r="AH206" s="335">
        <f>IF($B206="",-1,IF(OR($Z$1="?*",$B206=$Z$1),$I206,-1))</f>
        <v>-1</v>
      </c>
      <c r="AI206" s="335" t="str">
        <f>IF($AH206&lt;0,"",$AH206-ROW()/1000000)</f>
        <v/>
      </c>
      <c r="AJ206" s="335" t="str">
        <f>IFERROR(RANK($AI206,$AI$4:$AI$217),"")</f>
        <v/>
      </c>
    </row>
    <row r="207" spans="2:36" x14ac:dyDescent="0.3">
      <c r="B207" s="335" t="str">
        <f>IF(OR('REGIÃO 23 - RESUMO'!E11="",'REGIÃO 23 - RESUMO'!E11=0),"",'REGIÃO 23 - RESUMO'!C11)</f>
        <v/>
      </c>
      <c r="C207" s="335" t="str">
        <f>'REGIÃO 23 - RESUMO'!D11</f>
        <v>043.2025</v>
      </c>
      <c r="D207" s="81">
        <f>'REGIÃO 23 - RESUMO'!E11</f>
        <v>0</v>
      </c>
      <c r="E207" s="80">
        <f>'REGIÃO 23 - RESUMO'!F11</f>
        <v>0</v>
      </c>
      <c r="F207" s="82">
        <f>'REGIÃO 23 - RESUMO'!H11</f>
        <v>0</v>
      </c>
      <c r="G207" s="335" t="str">
        <f>'REGIÃO 23 - RESUMO'!I11</f>
        <v>Trecho não cadastrado</v>
      </c>
      <c r="H207" s="80" t="str">
        <f>'REGIÃO 23 - RESUMO'!J11</f>
        <v>SERVIÇOS MANUTENÇÃO</v>
      </c>
      <c r="I207" s="335">
        <f>'REGIÃO 23 - RESUMO'!K11</f>
        <v>0</v>
      </c>
      <c r="J207" s="335">
        <f>'REGIÃO 23 - HISTÓRICO'!F11</f>
        <v>0</v>
      </c>
      <c r="K207" s="335">
        <f>'REGIÃO 23 - HISTÓRICO'!G11</f>
        <v>0</v>
      </c>
      <c r="L207" s="335" t="str">
        <f>IF(OR('REGIÃO 23 - RESUMO'!L11="",'REGIÃO 23 - RESUMO'!L11=0),"",'REGIÃO 23 - RESUMO'!L11)</f>
        <v>-</v>
      </c>
      <c r="M207" s="335">
        <f>'REGIÃO 23 - HISTÓRICO'!J11</f>
        <v>0</v>
      </c>
      <c r="N207" s="335">
        <f>'REGIÃO 23 - HISTÓRICO'!L11</f>
        <v>0</v>
      </c>
      <c r="O207" s="335">
        <f>'REGIÃO 23 - HISTÓRICO'!N11</f>
        <v>0</v>
      </c>
      <c r="P207" s="335">
        <f>'REGIÃO 23 - HISTÓRICO'!P11</f>
        <v>0</v>
      </c>
      <c r="Q207" s="335">
        <f>'REGIÃO 23 - HISTÓRICO'!R11</f>
        <v>0</v>
      </c>
      <c r="R207" s="335">
        <f>'REGIÃO 23 - HISTÓRICO'!T11</f>
        <v>0</v>
      </c>
      <c r="S207" s="335">
        <f>'REGIÃO 23 - HISTÓRICO'!V11</f>
        <v>0</v>
      </c>
      <c r="T207" s="335">
        <f>'REGIÃO 23 - HISTÓRICO'!X11</f>
        <v>0</v>
      </c>
      <c r="U207" s="335">
        <f>'REGIÃO 23 - HISTÓRICO'!Z11</f>
        <v>0</v>
      </c>
      <c r="V207" s="335">
        <f>'REGIÃO 23 - HISTÓRICO'!AB11</f>
        <v>0</v>
      </c>
      <c r="W207" s="335">
        <f>'REGIÃO 23 - HISTÓRICO'!AD11</f>
        <v>0</v>
      </c>
      <c r="X207" s="335">
        <f>'REGIÃO 23 - HISTÓRICO'!AF11</f>
        <v>0</v>
      </c>
      <c r="Y207" s="335"/>
      <c r="Z207" s="335"/>
      <c r="AA207" s="335" t="str">
        <f>IF($Z207="","",COUNTIFS($H$4:$H$217,$Z207,$B$4:$B$217,$Z$1))</f>
        <v/>
      </c>
      <c r="AB207" s="335" t="str">
        <f>IF($Z207="","",SUMIFS($I$4:$I$217,$H$4:$H$217,$Z207,$B$4:$B$217,$Z$1))</f>
        <v/>
      </c>
      <c r="AC207" s="335" t="str">
        <f>IF($Z207="","",$AB207-ROW()/1000000)</f>
        <v/>
      </c>
      <c r="AD207" s="335" t="str">
        <f>IFERROR(RANK($AC207,$AC$4:$AC$217),"")</f>
        <v/>
      </c>
      <c r="AE207" s="335"/>
      <c r="AF207" s="335" t="str">
        <f>$B207</f>
        <v/>
      </c>
      <c r="AG207" s="335" t="str">
        <f>$C207&amp;"."&amp;TEXT($D207,"0000")</f>
        <v>043.2025.0000</v>
      </c>
      <c r="AH207" s="335">
        <f>IF($B207="",-1,IF(OR($Z$1="?*",$B207=$Z$1),$I207,-1))</f>
        <v>-1</v>
      </c>
      <c r="AI207" s="335" t="str">
        <f>IF($AH207&lt;0,"",$AH207-ROW()/1000000)</f>
        <v/>
      </c>
      <c r="AJ207" s="335" t="str">
        <f>IFERROR(RANK($AI207,$AI$4:$AI$217),"")</f>
        <v/>
      </c>
    </row>
    <row r="208" spans="2:36" x14ac:dyDescent="0.3">
      <c r="B208" s="335" t="str">
        <f>IF(OR('REGIÃO 23 - RESUMO'!E12="",'REGIÃO 23 - RESUMO'!E12=0),"",'REGIÃO 23 - RESUMO'!C12)</f>
        <v/>
      </c>
      <c r="C208" s="335" t="str">
        <f>'REGIÃO 23 - RESUMO'!D12</f>
        <v>043.2025</v>
      </c>
      <c r="D208" s="81">
        <f>'REGIÃO 23 - RESUMO'!E12</f>
        <v>0</v>
      </c>
      <c r="E208" s="80">
        <f>'REGIÃO 23 - RESUMO'!F12</f>
        <v>0</v>
      </c>
      <c r="F208" s="82">
        <f>'REGIÃO 23 - RESUMO'!H12</f>
        <v>0</v>
      </c>
      <c r="G208" s="335" t="str">
        <f>'REGIÃO 23 - RESUMO'!I12</f>
        <v>Trecho não cadastrado</v>
      </c>
      <c r="H208" s="80" t="str">
        <f>'REGIÃO 23 - RESUMO'!J12</f>
        <v>SERVIÇOS MANUTENÇÃO</v>
      </c>
      <c r="I208" s="335">
        <f>'REGIÃO 23 - RESUMO'!K12</f>
        <v>0</v>
      </c>
      <c r="J208" s="335">
        <f>'REGIÃO 23 - HISTÓRICO'!F12</f>
        <v>0</v>
      </c>
      <c r="K208" s="335">
        <f>'REGIÃO 23 - HISTÓRICO'!G12</f>
        <v>0</v>
      </c>
      <c r="L208" s="335" t="str">
        <f>IF(OR('REGIÃO 23 - RESUMO'!L12="",'REGIÃO 23 - RESUMO'!L12=0),"",'REGIÃO 23 - RESUMO'!L12)</f>
        <v/>
      </c>
      <c r="M208" s="335">
        <f>'REGIÃO 23 - HISTÓRICO'!J12</f>
        <v>0</v>
      </c>
      <c r="N208" s="335">
        <f>'REGIÃO 23 - HISTÓRICO'!L12</f>
        <v>0</v>
      </c>
      <c r="O208" s="335">
        <f>'REGIÃO 23 - HISTÓRICO'!N12</f>
        <v>0</v>
      </c>
      <c r="P208" s="335">
        <f>'REGIÃO 23 - HISTÓRICO'!P12</f>
        <v>0</v>
      </c>
      <c r="Q208" s="335">
        <f>'REGIÃO 23 - HISTÓRICO'!R12</f>
        <v>0</v>
      </c>
      <c r="R208" s="335">
        <f>'REGIÃO 23 - HISTÓRICO'!T12</f>
        <v>0</v>
      </c>
      <c r="S208" s="335">
        <f>'REGIÃO 23 - HISTÓRICO'!V12</f>
        <v>0</v>
      </c>
      <c r="T208" s="335">
        <f>'REGIÃO 23 - HISTÓRICO'!X12</f>
        <v>0</v>
      </c>
      <c r="U208" s="335">
        <f>'REGIÃO 23 - HISTÓRICO'!Z12</f>
        <v>0</v>
      </c>
      <c r="V208" s="335">
        <f>'REGIÃO 23 - HISTÓRICO'!AB12</f>
        <v>0</v>
      </c>
      <c r="W208" s="335">
        <f>'REGIÃO 23 - HISTÓRICO'!AD12</f>
        <v>0</v>
      </c>
      <c r="X208" s="335">
        <f>'REGIÃO 23 - HISTÓRICO'!AF12</f>
        <v>0</v>
      </c>
      <c r="Y208" s="335"/>
      <c r="Z208" s="335"/>
      <c r="AA208" s="335" t="str">
        <f>IF($Z208="","",COUNTIFS($H$4:$H$217,$Z208,$B$4:$B$217,$Z$1))</f>
        <v/>
      </c>
      <c r="AB208" s="335" t="str">
        <f>IF($Z208="","",SUMIFS($I$4:$I$217,$H$4:$H$217,$Z208,$B$4:$B$217,$Z$1))</f>
        <v/>
      </c>
      <c r="AC208" s="335" t="str">
        <f>IF($Z208="","",$AB208-ROW()/1000000)</f>
        <v/>
      </c>
      <c r="AD208" s="335" t="str">
        <f>IFERROR(RANK($AC208,$AC$4:$AC$217),"")</f>
        <v/>
      </c>
      <c r="AE208" s="335"/>
      <c r="AF208" s="335" t="str">
        <f>$B208</f>
        <v/>
      </c>
      <c r="AG208" s="335" t="str">
        <f>$C208&amp;"."&amp;TEXT($D208,"0000")</f>
        <v>043.2025.0000</v>
      </c>
      <c r="AH208" s="335">
        <f>IF($B208="",-1,IF(OR($Z$1="?*",$B208=$Z$1),$I208,-1))</f>
        <v>-1</v>
      </c>
      <c r="AI208" s="335" t="str">
        <f>IF($AH208&lt;0,"",$AH208-ROW()/1000000)</f>
        <v/>
      </c>
      <c r="AJ208" s="335" t="str">
        <f>IFERROR(RANK($AI208,$AI$4:$AI$217),"")</f>
        <v/>
      </c>
    </row>
    <row r="209" spans="2:36" x14ac:dyDescent="0.3">
      <c r="B209" s="335" t="str">
        <f>IF(OR('REGIÃO 24 - RESUMO'!E4="",'REGIÃO 24 - RESUMO'!E4=0),"",'REGIÃO 24 - RESUMO'!C4)</f>
        <v>R24</v>
      </c>
      <c r="C209" s="335" t="str">
        <f>'REGIÃO 24 - RESUMO'!D4</f>
        <v>041.2025</v>
      </c>
      <c r="D209" s="81">
        <f>'REGIÃO 24 - RESUMO'!E4</f>
        <v>1</v>
      </c>
      <c r="E209" s="80" t="str">
        <f>'REGIÃO 24 - RESUMO'!F4</f>
        <v>Agosto</v>
      </c>
      <c r="F209" s="82">
        <f>'REGIÃO 24 - RESUMO'!H4</f>
        <v>259</v>
      </c>
      <c r="G209" s="335" t="str">
        <f>'REGIÃO 24 - RESUMO'!I4</f>
        <v>RODOVIA TO-110 - TRECHO TAGUATINGA - AURORA DO TOCANTINS</v>
      </c>
      <c r="H209" s="80" t="str">
        <f>'REGIÃO 24 - RESUMO'!J4</f>
        <v xml:space="preserve">Reciclagem do pavimento e execução de TSD / Microrrevestimento asfáltico 8 mm </v>
      </c>
      <c r="I209" s="335">
        <f>'REGIÃO 24 - RESUMO'!K4</f>
        <v>3184726.38</v>
      </c>
      <c r="J209" s="335">
        <f>'REGIÃO 24 - HISTÓRICO'!F4</f>
        <v>3184363.95</v>
      </c>
      <c r="K209" s="335">
        <f>'REGIÃO 24 - HISTÓRICO'!G4</f>
        <v>362.42999999970198</v>
      </c>
      <c r="L209" s="335" t="str">
        <f>IF(OR('REGIÃO 24 - RESUMO'!L4="",'REGIÃO 24 - RESUMO'!L4=0),"",'REGIÃO 24 - RESUMO'!L4)</f>
        <v>Concluída</v>
      </c>
      <c r="M209" s="335">
        <f>'REGIÃO 24 - HISTÓRICO'!J4</f>
        <v>0</v>
      </c>
      <c r="N209" s="335">
        <f>'REGIÃO 24 - HISTÓRICO'!L4</f>
        <v>0</v>
      </c>
      <c r="O209" s="335">
        <f>'REGIÃO 24 - HISTÓRICO'!N4</f>
        <v>0</v>
      </c>
      <c r="P209" s="335">
        <f>'REGIÃO 24 - HISTÓRICO'!P4</f>
        <v>0</v>
      </c>
      <c r="Q209" s="335">
        <f>'REGIÃO 24 - HISTÓRICO'!R4</f>
        <v>0</v>
      </c>
      <c r="R209" s="335">
        <f>'REGIÃO 24 - HISTÓRICO'!T4</f>
        <v>0</v>
      </c>
      <c r="S209" s="335">
        <f>'REGIÃO 24 - HISTÓRICO'!V4</f>
        <v>0</v>
      </c>
      <c r="T209" s="335">
        <f>'REGIÃO 24 - HISTÓRICO'!X4</f>
        <v>3184363.95</v>
      </c>
      <c r="U209" s="335">
        <f>'REGIÃO 24 - HISTÓRICO'!Z4</f>
        <v>0</v>
      </c>
      <c r="V209" s="335">
        <f>'REGIÃO 24 - HISTÓRICO'!AB4</f>
        <v>0</v>
      </c>
      <c r="W209" s="335">
        <f>'REGIÃO 24 - HISTÓRICO'!AD4</f>
        <v>0</v>
      </c>
      <c r="X209" s="335">
        <f>'REGIÃO 24 - HISTÓRICO'!AF4</f>
        <v>0</v>
      </c>
      <c r="Y209" s="335"/>
      <c r="Z209" s="335"/>
      <c r="AA209" s="335" t="str">
        <f>IF($Z209="","",COUNTIFS($H$4:$H$217,$Z209,$B$4:$B$217,$Z$1))</f>
        <v/>
      </c>
      <c r="AB209" s="335" t="str">
        <f>IF($Z209="","",SUMIFS($I$4:$I$217,$H$4:$H$217,$Z209,$B$4:$B$217,$Z$1))</f>
        <v/>
      </c>
      <c r="AC209" s="335" t="str">
        <f>IF($Z209="","",$AB209-ROW()/1000000)</f>
        <v/>
      </c>
      <c r="AD209" s="335" t="str">
        <f>IFERROR(RANK($AC209,$AC$4:$AC$217),"")</f>
        <v/>
      </c>
      <c r="AE209" s="335"/>
      <c r="AF209" s="335" t="str">
        <f>$B209</f>
        <v>R24</v>
      </c>
      <c r="AG209" s="335" t="str">
        <f>$C209&amp;"."&amp;TEXT($D209,"0000")</f>
        <v>041.2025.0001</v>
      </c>
      <c r="AH209" s="335">
        <f>IF($B209="",-1,IF(OR($Z$1="?*",$B209=$Z$1),$I209,-1))</f>
        <v>-1</v>
      </c>
      <c r="AI209" s="335" t="str">
        <f>IF($AH209&lt;0,"",$AH209-ROW()/1000000)</f>
        <v/>
      </c>
      <c r="AJ209" s="335" t="str">
        <f>IFERROR(RANK($AI209,$AI$4:$AI$217),"")</f>
        <v/>
      </c>
    </row>
    <row r="210" spans="2:36" x14ac:dyDescent="0.3">
      <c r="B210" s="335" t="str">
        <f>IF(OR('REGIÃO 24 - RESUMO'!E5="",'REGIÃO 24 - RESUMO'!E5=0),"",'REGIÃO 24 - RESUMO'!C5)</f>
        <v>R24</v>
      </c>
      <c r="C210" s="335" t="str">
        <f>'REGIÃO 24 - RESUMO'!D5</f>
        <v>041.2025</v>
      </c>
      <c r="D210" s="81">
        <f>'REGIÃO 24 - RESUMO'!E5</f>
        <v>2</v>
      </c>
      <c r="E210" s="80" t="str">
        <f>'REGIÃO 24 - RESUMO'!F5</f>
        <v>Agosto</v>
      </c>
      <c r="F210" s="82">
        <f>'REGIÃO 24 - RESUMO'!H5</f>
        <v>254</v>
      </c>
      <c r="G210" s="335" t="str">
        <f>'REGIÃO 24 - RESUMO'!I5</f>
        <v>RODOVIA TO-110 - TRECHO COMBINADO - NOVO ALEGRE - DIVISA TO-GO</v>
      </c>
      <c r="H210" s="80" t="str">
        <f>'REGIÃO 24 - RESUMO'!J5</f>
        <v xml:space="preserve">Reciclagem do pavimento e execução de TSD / Microrrevestimento asfáltico 8 mm </v>
      </c>
      <c r="I210" s="335">
        <f>'REGIÃO 24 - RESUMO'!K5</f>
        <v>2346786.85</v>
      </c>
      <c r="J210" s="335">
        <f>'REGIÃO 24 - HISTÓRICO'!F5</f>
        <v>2156780.35</v>
      </c>
      <c r="K210" s="335">
        <f>'REGIÃO 24 - HISTÓRICO'!G5</f>
        <v>190006.5</v>
      </c>
      <c r="L210" s="335" t="str">
        <f>IF(OR('REGIÃO 24 - RESUMO'!L5="",'REGIÃO 24 - RESUMO'!L5=0),"",'REGIÃO 24 - RESUMO'!L5)</f>
        <v>Concluída</v>
      </c>
      <c r="M210" s="335">
        <f>'REGIÃO 24 - HISTÓRICO'!J5</f>
        <v>0</v>
      </c>
      <c r="N210" s="335">
        <f>'REGIÃO 24 - HISTÓRICO'!L5</f>
        <v>0</v>
      </c>
      <c r="O210" s="335">
        <f>'REGIÃO 24 - HISTÓRICO'!N5</f>
        <v>0</v>
      </c>
      <c r="P210" s="335">
        <f>'REGIÃO 24 - HISTÓRICO'!P5</f>
        <v>0</v>
      </c>
      <c r="Q210" s="335">
        <f>'REGIÃO 24 - HISTÓRICO'!R5</f>
        <v>0</v>
      </c>
      <c r="R210" s="335">
        <f>'REGIÃO 24 - HISTÓRICO'!T5</f>
        <v>0</v>
      </c>
      <c r="S210" s="335">
        <f>'REGIÃO 24 - HISTÓRICO'!V5</f>
        <v>0</v>
      </c>
      <c r="T210" s="335">
        <f>'REGIÃO 24 - HISTÓRICO'!X5</f>
        <v>2156780.35</v>
      </c>
      <c r="U210" s="335">
        <f>'REGIÃO 24 - HISTÓRICO'!Z5</f>
        <v>0</v>
      </c>
      <c r="V210" s="335">
        <f>'REGIÃO 24 - HISTÓRICO'!AB5</f>
        <v>0</v>
      </c>
      <c r="W210" s="335">
        <f>'REGIÃO 24 - HISTÓRICO'!AD5</f>
        <v>0</v>
      </c>
      <c r="X210" s="335">
        <f>'REGIÃO 24 - HISTÓRICO'!AF5</f>
        <v>0</v>
      </c>
      <c r="Y210" s="335"/>
      <c r="Z210" s="335"/>
      <c r="AA210" s="335" t="str">
        <f>IF($Z210="","",COUNTIFS($H$4:$H$217,$Z210,$B$4:$B$217,$Z$1))</f>
        <v/>
      </c>
      <c r="AB210" s="335" t="str">
        <f>IF($Z210="","",SUMIFS($I$4:$I$217,$H$4:$H$217,$Z210,$B$4:$B$217,$Z$1))</f>
        <v/>
      </c>
      <c r="AC210" s="335" t="str">
        <f>IF($Z210="","",$AB210-ROW()/1000000)</f>
        <v/>
      </c>
      <c r="AD210" s="335" t="str">
        <f>IFERROR(RANK($AC210,$AC$4:$AC$217),"")</f>
        <v/>
      </c>
      <c r="AE210" s="335"/>
      <c r="AF210" s="335" t="str">
        <f>$B210</f>
        <v>R24</v>
      </c>
      <c r="AG210" s="335" t="str">
        <f>$C210&amp;"."&amp;TEXT($D210,"0000")</f>
        <v>041.2025.0002</v>
      </c>
      <c r="AH210" s="335">
        <f>IF($B210="",-1,IF(OR($Z$1="?*",$B210=$Z$1),$I210,-1))</f>
        <v>-1</v>
      </c>
      <c r="AI210" s="335" t="str">
        <f>IF($AH210&lt;0,"",$AH210-ROW()/1000000)</f>
        <v/>
      </c>
      <c r="AJ210" s="335" t="str">
        <f>IFERROR(RANK($AI210,$AI$4:$AI$217),"")</f>
        <v/>
      </c>
    </row>
    <row r="211" spans="2:36" x14ac:dyDescent="0.3">
      <c r="B211" s="335" t="str">
        <f>IF(OR('REGIÃO 24 - RESUMO'!E6="",'REGIÃO 24 - RESUMO'!E6=0),"",'REGIÃO 24 - RESUMO'!C6)</f>
        <v>R24</v>
      </c>
      <c r="C211" s="335" t="str">
        <f>'REGIÃO 24 - RESUMO'!D6</f>
        <v>041.2025</v>
      </c>
      <c r="D211" s="81">
        <f>'REGIÃO 24 - RESUMO'!E6</f>
        <v>3</v>
      </c>
      <c r="E211" s="80" t="str">
        <f>'REGIÃO 24 - RESUMO'!F6</f>
        <v>Setembro</v>
      </c>
      <c r="F211" s="82">
        <f>'REGIÃO 24 - RESUMO'!H6</f>
        <v>253</v>
      </c>
      <c r="G211" s="335" t="str">
        <f>'REGIÃO 24 - RESUMO'!I6</f>
        <v>RODOVIA TO-110 - TRECHO AURORA DO TOCANTINS - LAVANDEIRA</v>
      </c>
      <c r="H211" s="80" t="str">
        <f>'REGIÃO 24 - RESUMO'!J6</f>
        <v xml:space="preserve">Reciclagem do pavimento e execução de TSD / Microrrevestimento asfáltico 8 mm </v>
      </c>
      <c r="I211" s="335">
        <f>'REGIÃO 24 - RESUMO'!K6</f>
        <v>1779597.57</v>
      </c>
      <c r="J211" s="335">
        <f>'REGIÃO 24 - HISTÓRICO'!F6</f>
        <v>1747140.42</v>
      </c>
      <c r="K211" s="335">
        <f>'REGIÃO 24 - HISTÓRICO'!G6</f>
        <v>32457.15000000014</v>
      </c>
      <c r="L211" s="335" t="str">
        <f>IF(OR('REGIÃO 24 - RESUMO'!L6="",'REGIÃO 24 - RESUMO'!L6=0),"",'REGIÃO 24 - RESUMO'!L6)</f>
        <v>Concluída</v>
      </c>
      <c r="M211" s="335">
        <f>'REGIÃO 24 - HISTÓRICO'!J6</f>
        <v>0</v>
      </c>
      <c r="N211" s="335">
        <f>'REGIÃO 24 - HISTÓRICO'!L6</f>
        <v>0</v>
      </c>
      <c r="O211" s="335">
        <f>'REGIÃO 24 - HISTÓRICO'!N6</f>
        <v>0</v>
      </c>
      <c r="P211" s="335">
        <f>'REGIÃO 24 - HISTÓRICO'!P6</f>
        <v>0</v>
      </c>
      <c r="Q211" s="335">
        <f>'REGIÃO 24 - HISTÓRICO'!R6</f>
        <v>0</v>
      </c>
      <c r="R211" s="335">
        <f>'REGIÃO 24 - HISTÓRICO'!T6</f>
        <v>0</v>
      </c>
      <c r="S211" s="335">
        <f>'REGIÃO 24 - HISTÓRICO'!V6</f>
        <v>0</v>
      </c>
      <c r="T211" s="335">
        <f>'REGIÃO 24 - HISTÓRICO'!X6</f>
        <v>0</v>
      </c>
      <c r="U211" s="335">
        <f>'REGIÃO 24 - HISTÓRICO'!Z6</f>
        <v>1747140.42</v>
      </c>
      <c r="V211" s="335">
        <f>'REGIÃO 24 - HISTÓRICO'!AB6</f>
        <v>0</v>
      </c>
      <c r="W211" s="335">
        <f>'REGIÃO 24 - HISTÓRICO'!AD6</f>
        <v>0</v>
      </c>
      <c r="X211" s="335">
        <f>'REGIÃO 24 - HISTÓRICO'!AF6</f>
        <v>0</v>
      </c>
      <c r="Y211" s="335"/>
      <c r="Z211" s="335"/>
      <c r="AA211" s="335" t="str">
        <f>IF($Z211="","",COUNTIFS($H$4:$H$217,$Z211,$B$4:$B$217,$Z$1))</f>
        <v/>
      </c>
      <c r="AB211" s="335" t="str">
        <f>IF($Z211="","",SUMIFS($I$4:$I$217,$H$4:$H$217,$Z211,$B$4:$B$217,$Z$1))</f>
        <v/>
      </c>
      <c r="AC211" s="335" t="str">
        <f>IF($Z211="","",$AB211-ROW()/1000000)</f>
        <v/>
      </c>
      <c r="AD211" s="335" t="str">
        <f>IFERROR(RANK($AC211,$AC$4:$AC$217),"")</f>
        <v/>
      </c>
      <c r="AE211" s="335"/>
      <c r="AF211" s="335" t="str">
        <f>$B211</f>
        <v>R24</v>
      </c>
      <c r="AG211" s="335" t="str">
        <f>$C211&amp;"."&amp;TEXT($D211,"0000")</f>
        <v>041.2025.0003</v>
      </c>
      <c r="AH211" s="335">
        <f>IF($B211="",-1,IF(OR($Z$1="?*",$B211=$Z$1),$I211,-1))</f>
        <v>-1</v>
      </c>
      <c r="AI211" s="335" t="str">
        <f>IF($AH211&lt;0,"",$AH211-ROW()/1000000)</f>
        <v/>
      </c>
      <c r="AJ211" s="335" t="str">
        <f>IFERROR(RANK($AI211,$AI$4:$AI$217),"")</f>
        <v/>
      </c>
    </row>
    <row r="212" spans="2:36" x14ac:dyDescent="0.3">
      <c r="B212" s="335" t="str">
        <f>IF(OR('REGIÃO 24 - RESUMO'!E7="",'REGIÃO 24 - RESUMO'!E7=0),"",'REGIÃO 24 - RESUMO'!C7)</f>
        <v>R24</v>
      </c>
      <c r="C212" s="335" t="str">
        <f>'REGIÃO 24 - RESUMO'!D7</f>
        <v>041.2025</v>
      </c>
      <c r="D212" s="81">
        <f>'REGIÃO 24 - RESUMO'!E7</f>
        <v>4</v>
      </c>
      <c r="E212" s="80" t="str">
        <f>'REGIÃO 24 - RESUMO'!F7</f>
        <v>Agosto</v>
      </c>
      <c r="F212" s="82">
        <f>'REGIÃO 24 - RESUMO'!H7</f>
        <v>256</v>
      </c>
      <c r="G212" s="335" t="str">
        <f>'REGIÃO 24 - RESUMO'!I7</f>
        <v>RODOVIA TO-110 - TRECHO ENTR. TO-040 - PONTE ALTA DO BOM JESUS</v>
      </c>
      <c r="H212" s="80" t="str">
        <f>'REGIÃO 24 - RESUMO'!J7</f>
        <v xml:space="preserve">Reciclagem do pavimento e execução de TSD / Microrrevestimento asfáltico 8 mm </v>
      </c>
      <c r="I212" s="335">
        <f>'REGIÃO 24 - RESUMO'!K7</f>
        <v>1496430.79</v>
      </c>
      <c r="J212" s="335">
        <f>'REGIÃO 24 - HISTÓRICO'!F7</f>
        <v>1496430.79</v>
      </c>
      <c r="K212" s="335">
        <f>'REGIÃO 24 - HISTÓRICO'!G7</f>
        <v>0</v>
      </c>
      <c r="L212" s="335" t="str">
        <f>IF(OR('REGIÃO 24 - RESUMO'!L7="",'REGIÃO 24 - RESUMO'!L7=0),"",'REGIÃO 24 - RESUMO'!L7)</f>
        <v>Concluída</v>
      </c>
      <c r="M212" s="335">
        <f>'REGIÃO 24 - HISTÓRICO'!J7</f>
        <v>0</v>
      </c>
      <c r="N212" s="335">
        <f>'REGIÃO 24 - HISTÓRICO'!L7</f>
        <v>0</v>
      </c>
      <c r="O212" s="335">
        <f>'REGIÃO 24 - HISTÓRICO'!N7</f>
        <v>0</v>
      </c>
      <c r="P212" s="335">
        <f>'REGIÃO 24 - HISTÓRICO'!P7</f>
        <v>0</v>
      </c>
      <c r="Q212" s="335">
        <f>'REGIÃO 24 - HISTÓRICO'!R7</f>
        <v>0</v>
      </c>
      <c r="R212" s="335">
        <f>'REGIÃO 24 - HISTÓRICO'!T7</f>
        <v>0</v>
      </c>
      <c r="S212" s="335">
        <f>'REGIÃO 24 - HISTÓRICO'!V7</f>
        <v>0</v>
      </c>
      <c r="T212" s="335">
        <f>'REGIÃO 24 - HISTÓRICO'!X7</f>
        <v>1496430.79</v>
      </c>
      <c r="U212" s="335">
        <f>'REGIÃO 24 - HISTÓRICO'!Z7</f>
        <v>0</v>
      </c>
      <c r="V212" s="335">
        <f>'REGIÃO 24 - HISTÓRICO'!AB7</f>
        <v>0</v>
      </c>
      <c r="W212" s="335">
        <f>'REGIÃO 24 - HISTÓRICO'!AD7</f>
        <v>0</v>
      </c>
      <c r="X212" s="335">
        <f>'REGIÃO 24 - HISTÓRICO'!AF7</f>
        <v>0</v>
      </c>
      <c r="Y212" s="335"/>
      <c r="Z212" s="335"/>
      <c r="AA212" s="335" t="str">
        <f>IF($Z212="","",COUNTIFS($H$4:$H$217,$Z212,$B$4:$B$217,$Z$1))</f>
        <v/>
      </c>
      <c r="AB212" s="335" t="str">
        <f>IF($Z212="","",SUMIFS($I$4:$I$217,$H$4:$H$217,$Z212,$B$4:$B$217,$Z$1))</f>
        <v/>
      </c>
      <c r="AC212" s="335" t="str">
        <f>IF($Z212="","",$AB212-ROW()/1000000)</f>
        <v/>
      </c>
      <c r="AD212" s="335" t="str">
        <f>IFERROR(RANK($AC212,$AC$4:$AC$217),"")</f>
        <v/>
      </c>
      <c r="AE212" s="335"/>
      <c r="AF212" s="335" t="str">
        <f>$B212</f>
        <v>R24</v>
      </c>
      <c r="AG212" s="335" t="str">
        <f>$C212&amp;"."&amp;TEXT($D212,"0000")</f>
        <v>041.2025.0004</v>
      </c>
      <c r="AH212" s="335">
        <f>IF($B212="",-1,IF(OR($Z$1="?*",$B212=$Z$1),$I212,-1))</f>
        <v>-1</v>
      </c>
      <c r="AI212" s="335" t="str">
        <f>IF($AH212&lt;0,"",$AH212-ROW()/1000000)</f>
        <v/>
      </c>
      <c r="AJ212" s="335" t="str">
        <f>IFERROR(RANK($AI212,$AI$4:$AI$217),"")</f>
        <v/>
      </c>
    </row>
    <row r="213" spans="2:36" x14ac:dyDescent="0.3">
      <c r="B213" s="335" t="str">
        <f>IF(OR('REGIÃO 24 - RESUMO'!E8="",'REGIÃO 24 - RESUMO'!E8=0),"",'REGIÃO 24 - RESUMO'!C8)</f>
        <v>R24</v>
      </c>
      <c r="C213" s="335" t="str">
        <f>'REGIÃO 24 - RESUMO'!D8</f>
        <v>041.2025</v>
      </c>
      <c r="D213" s="81">
        <f>'REGIÃO 24 - RESUMO'!E8</f>
        <v>5</v>
      </c>
      <c r="E213" s="80" t="str">
        <f>'REGIÃO 24 - RESUMO'!F8</f>
        <v>Setembro</v>
      </c>
      <c r="F213" s="82">
        <f>'REGIÃO 24 - RESUMO'!H8</f>
        <v>254</v>
      </c>
      <c r="G213" s="335" t="str">
        <f>'REGIÃO 24 - RESUMO'!I8</f>
        <v>RODOVIA TO-110 - TRECHO COMBINADO - NOVO ALEGRE - DIVISA TO-GO</v>
      </c>
      <c r="H213" s="80" t="str">
        <f>'REGIÃO 24 - RESUMO'!J8</f>
        <v xml:space="preserve">Reciclagem do pavimento e execução de TSD / Microrrevestimento asfáltico 8 mm </v>
      </c>
      <c r="I213" s="335">
        <f>'REGIÃO 24 - RESUMO'!K8</f>
        <v>6195938.1799999997</v>
      </c>
      <c r="J213" s="335">
        <f>'REGIÃO 24 - HISTÓRICO'!F8</f>
        <v>4044134.23</v>
      </c>
      <c r="K213" s="335">
        <f>'REGIÃO 24 - HISTÓRICO'!G8</f>
        <v>2151803.9499999997</v>
      </c>
      <c r="L213" s="335" t="str">
        <f>IF(OR('REGIÃO 24 - RESUMO'!L8="",'REGIÃO 24 - RESUMO'!L8=0),"",'REGIÃO 24 - RESUMO'!L8)</f>
        <v>Em andamento</v>
      </c>
      <c r="M213" s="335">
        <f>'REGIÃO 24 - HISTÓRICO'!J8</f>
        <v>0</v>
      </c>
      <c r="N213" s="335">
        <f>'REGIÃO 24 - HISTÓRICO'!L8</f>
        <v>0</v>
      </c>
      <c r="O213" s="335">
        <f>'REGIÃO 24 - HISTÓRICO'!N8</f>
        <v>0</v>
      </c>
      <c r="P213" s="335">
        <f>'REGIÃO 24 - HISTÓRICO'!P8</f>
        <v>0</v>
      </c>
      <c r="Q213" s="335">
        <f>'REGIÃO 24 - HISTÓRICO'!R8</f>
        <v>0</v>
      </c>
      <c r="R213" s="335">
        <f>'REGIÃO 24 - HISTÓRICO'!T8</f>
        <v>0</v>
      </c>
      <c r="S213" s="335">
        <f>'REGIÃO 24 - HISTÓRICO'!V8</f>
        <v>0</v>
      </c>
      <c r="T213" s="335">
        <f>'REGIÃO 24 - HISTÓRICO'!X8</f>
        <v>0</v>
      </c>
      <c r="U213" s="335">
        <f>'REGIÃO 24 - HISTÓRICO'!Z8</f>
        <v>4044134.23</v>
      </c>
      <c r="V213" s="335">
        <f>'REGIÃO 24 - HISTÓRICO'!AB8</f>
        <v>0</v>
      </c>
      <c r="W213" s="335">
        <f>'REGIÃO 24 - HISTÓRICO'!AD8</f>
        <v>0</v>
      </c>
      <c r="X213" s="335">
        <f>'REGIÃO 24 - HISTÓRICO'!AF8</f>
        <v>0</v>
      </c>
      <c r="Y213" s="335"/>
      <c r="Z213" s="335"/>
      <c r="AA213" s="335" t="str">
        <f>IF($Z213="","",COUNTIFS($H$4:$H$217,$Z213,$B$4:$B$217,$Z$1))</f>
        <v/>
      </c>
      <c r="AB213" s="335" t="str">
        <f>IF($Z213="","",SUMIFS($I$4:$I$217,$H$4:$H$217,$Z213,$B$4:$B$217,$Z$1))</f>
        <v/>
      </c>
      <c r="AC213" s="335" t="str">
        <f>IF($Z213="","",$AB213-ROW()/1000000)</f>
        <v/>
      </c>
      <c r="AD213" s="335" t="str">
        <f>IFERROR(RANK($AC213,$AC$4:$AC$217),"")</f>
        <v/>
      </c>
      <c r="AE213" s="335"/>
      <c r="AF213" s="335" t="str">
        <f>$B213</f>
        <v>R24</v>
      </c>
      <c r="AG213" s="335" t="str">
        <f>$C213&amp;"."&amp;TEXT($D213,"0000")</f>
        <v>041.2025.0005</v>
      </c>
      <c r="AH213" s="335">
        <f>IF($B213="",-1,IF(OR($Z$1="?*",$B213=$Z$1),$I213,-1))</f>
        <v>-1</v>
      </c>
      <c r="AI213" s="335" t="str">
        <f>IF($AH213&lt;0,"",$AH213-ROW()/1000000)</f>
        <v/>
      </c>
      <c r="AJ213" s="335" t="str">
        <f>IFERROR(RANK($AI213,$AI$4:$AI$217),"")</f>
        <v/>
      </c>
    </row>
    <row r="214" spans="2:36" x14ac:dyDescent="0.3">
      <c r="B214" s="335" t="str">
        <f>IF(OR('REGIÃO 24 - RESUMO'!E9="",'REGIÃO 24 - RESUMO'!E9=0),"",'REGIÃO 24 - RESUMO'!C9)</f>
        <v>R24</v>
      </c>
      <c r="C214" s="335" t="str">
        <f>'REGIÃO 24 - RESUMO'!D9</f>
        <v>041.2025</v>
      </c>
      <c r="D214" s="81">
        <f>'REGIÃO 24 - RESUMO'!E9</f>
        <v>6</v>
      </c>
      <c r="E214" s="80" t="str">
        <f>'REGIÃO 24 - RESUMO'!F9</f>
        <v>Setembro</v>
      </c>
      <c r="F214" s="82">
        <f>'REGIÃO 24 - RESUMO'!H9</f>
        <v>259</v>
      </c>
      <c r="G214" s="335" t="str">
        <f>'REGIÃO 24 - RESUMO'!I9</f>
        <v>RODOVIA TO-110 - TRECHO TAGUATINGA - AURORA DO TOCANTINS</v>
      </c>
      <c r="H214" s="80" t="str">
        <f>'REGIÃO 24 - RESUMO'!J9</f>
        <v xml:space="preserve">Reciclagem do pavimento e execução de TSD / Microrrevestimento asfáltico 8 mm </v>
      </c>
      <c r="I214" s="335">
        <f>'REGIÃO 24 - RESUMO'!K9</f>
        <v>208176.32</v>
      </c>
      <c r="J214" s="335">
        <f>'REGIÃO 24 - HISTÓRICO'!F9</f>
        <v>0</v>
      </c>
      <c r="K214" s="335">
        <f>'REGIÃO 24 - HISTÓRICO'!G9</f>
        <v>208176.32</v>
      </c>
      <c r="L214" s="335" t="str">
        <f>IF(OR('REGIÃO 24 - RESUMO'!L9="",'REGIÃO 24 - RESUMO'!L9=0),"",'REGIÃO 24 - RESUMO'!L9)</f>
        <v>Em elaboração</v>
      </c>
      <c r="M214" s="335">
        <f>'REGIÃO 24 - HISTÓRICO'!J9</f>
        <v>0</v>
      </c>
      <c r="N214" s="335">
        <f>'REGIÃO 24 - HISTÓRICO'!L9</f>
        <v>0</v>
      </c>
      <c r="O214" s="335">
        <f>'REGIÃO 24 - HISTÓRICO'!N9</f>
        <v>0</v>
      </c>
      <c r="P214" s="335">
        <f>'REGIÃO 24 - HISTÓRICO'!P9</f>
        <v>0</v>
      </c>
      <c r="Q214" s="335">
        <f>'REGIÃO 24 - HISTÓRICO'!R9</f>
        <v>0</v>
      </c>
      <c r="R214" s="335">
        <f>'REGIÃO 24 - HISTÓRICO'!T9</f>
        <v>0</v>
      </c>
      <c r="S214" s="335">
        <f>'REGIÃO 24 - HISTÓRICO'!V9</f>
        <v>0</v>
      </c>
      <c r="T214" s="335">
        <f>'REGIÃO 24 - HISTÓRICO'!X9</f>
        <v>0</v>
      </c>
      <c r="U214" s="335">
        <f>'REGIÃO 24 - HISTÓRICO'!Z9</f>
        <v>0</v>
      </c>
      <c r="V214" s="335">
        <f>'REGIÃO 24 - HISTÓRICO'!AB9</f>
        <v>0</v>
      </c>
      <c r="W214" s="335">
        <f>'REGIÃO 24 - HISTÓRICO'!AD9</f>
        <v>0</v>
      </c>
      <c r="X214" s="335">
        <f>'REGIÃO 24 - HISTÓRICO'!AF9</f>
        <v>0</v>
      </c>
      <c r="Y214" s="335"/>
      <c r="Z214" s="335"/>
      <c r="AA214" s="335" t="str">
        <f>IF($Z214="","",COUNTIFS($H$4:$H$217,$Z214,$B$4:$B$217,$Z$1))</f>
        <v/>
      </c>
      <c r="AB214" s="335" t="str">
        <f>IF($Z214="","",SUMIFS($I$4:$I$217,$H$4:$H$217,$Z214,$B$4:$B$217,$Z$1))</f>
        <v/>
      </c>
      <c r="AC214" s="335" t="str">
        <f>IF($Z214="","",$AB214-ROW()/1000000)</f>
        <v/>
      </c>
      <c r="AD214" s="335" t="str">
        <f>IFERROR(RANK($AC214,$AC$4:$AC$217),"")</f>
        <v/>
      </c>
      <c r="AE214" s="335"/>
      <c r="AF214" s="335" t="str">
        <f>$B214</f>
        <v>R24</v>
      </c>
      <c r="AG214" s="335" t="str">
        <f>$C214&amp;"."&amp;TEXT($D214,"0000")</f>
        <v>041.2025.0006</v>
      </c>
      <c r="AH214" s="335">
        <f>IF($B214="",-1,IF(OR($Z$1="?*",$B214=$Z$1),$I214,-1))</f>
        <v>-1</v>
      </c>
      <c r="AI214" s="335" t="str">
        <f>IF($AH214&lt;0,"",$AH214-ROW()/1000000)</f>
        <v/>
      </c>
      <c r="AJ214" s="335" t="str">
        <f>IFERROR(RANK($AI214,$AI$4:$AI$217),"")</f>
        <v/>
      </c>
    </row>
    <row r="215" spans="2:36" x14ac:dyDescent="0.3">
      <c r="B215" s="335" t="str">
        <f>IF(OR('REGIÃO 24 - RESUMO'!E10="",'REGIÃO 24 - RESUMO'!E10=0),"",'REGIÃO 24 - RESUMO'!C10)</f>
        <v/>
      </c>
      <c r="C215" s="335" t="str">
        <f>'REGIÃO 24 - RESUMO'!D10</f>
        <v/>
      </c>
      <c r="D215" s="81">
        <f>'REGIÃO 24 - RESUMO'!E10</f>
        <v>0</v>
      </c>
      <c r="E215" s="80">
        <f>'REGIÃO 24 - RESUMO'!F10</f>
        <v>0</v>
      </c>
      <c r="F215" s="82">
        <f>'REGIÃO 24 - RESUMO'!H10</f>
        <v>0</v>
      </c>
      <c r="G215" s="335">
        <f>'REGIÃO 24 - RESUMO'!I10</f>
        <v>0</v>
      </c>
      <c r="H215" s="80">
        <f>'REGIÃO 24 - RESUMO'!J10</f>
        <v>0</v>
      </c>
      <c r="I215" s="335">
        <f>'REGIÃO 24 - RESUMO'!K10</f>
        <v>0</v>
      </c>
      <c r="J215" s="335">
        <f>'REGIÃO 24 - HISTÓRICO'!F10</f>
        <v>0</v>
      </c>
      <c r="K215" s="335">
        <f>'REGIÃO 24 - HISTÓRICO'!G10</f>
        <v>0</v>
      </c>
      <c r="L215" s="335" t="str">
        <f>IF(OR('REGIÃO 24 - RESUMO'!L10="",'REGIÃO 24 - RESUMO'!L10=0),"",'REGIÃO 24 - RESUMO'!L10)</f>
        <v/>
      </c>
      <c r="M215" s="335">
        <f>'REGIÃO 24 - HISTÓRICO'!J10</f>
        <v>0</v>
      </c>
      <c r="N215" s="335">
        <f>'REGIÃO 24 - HISTÓRICO'!L10</f>
        <v>0</v>
      </c>
      <c r="O215" s="335">
        <f>'REGIÃO 24 - HISTÓRICO'!N10</f>
        <v>0</v>
      </c>
      <c r="P215" s="335">
        <f>'REGIÃO 24 - HISTÓRICO'!P10</f>
        <v>0</v>
      </c>
      <c r="Q215" s="335">
        <f>'REGIÃO 24 - HISTÓRICO'!R10</f>
        <v>0</v>
      </c>
      <c r="R215" s="335">
        <f>'REGIÃO 24 - HISTÓRICO'!T10</f>
        <v>0</v>
      </c>
      <c r="S215" s="335">
        <f>'REGIÃO 24 - HISTÓRICO'!V10</f>
        <v>0</v>
      </c>
      <c r="T215" s="335">
        <f>'REGIÃO 24 - HISTÓRICO'!X10</f>
        <v>0</v>
      </c>
      <c r="U215" s="335">
        <f>'REGIÃO 24 - HISTÓRICO'!Z10</f>
        <v>0</v>
      </c>
      <c r="V215" s="335">
        <f>'REGIÃO 24 - HISTÓRICO'!AB10</f>
        <v>0</v>
      </c>
      <c r="W215" s="335">
        <f>'REGIÃO 24 - HISTÓRICO'!AD10</f>
        <v>0</v>
      </c>
      <c r="X215" s="335">
        <f>'REGIÃO 24 - HISTÓRICO'!AF10</f>
        <v>0</v>
      </c>
      <c r="Y215" s="335"/>
      <c r="Z215" s="335"/>
      <c r="AA215" s="335" t="str">
        <f>IF($Z215="","",COUNTIFS($H$4:$H$217,$Z215,$B$4:$B$217,$Z$1))</f>
        <v/>
      </c>
      <c r="AB215" s="335" t="str">
        <f>IF($Z215="","",SUMIFS($I$4:$I$217,$H$4:$H$217,$Z215,$B$4:$B$217,$Z$1))</f>
        <v/>
      </c>
      <c r="AC215" s="335" t="str">
        <f>IF($Z215="","",$AB215-ROW()/1000000)</f>
        <v/>
      </c>
      <c r="AD215" s="335" t="str">
        <f>IFERROR(RANK($AC215,$AC$4:$AC$217),"")</f>
        <v/>
      </c>
      <c r="AE215" s="335"/>
      <c r="AF215" s="335" t="str">
        <f>$B215</f>
        <v/>
      </c>
      <c r="AG215" s="335" t="str">
        <f>$C215&amp;"."&amp;TEXT($D215,"0000")</f>
        <v>.0000</v>
      </c>
      <c r="AH215" s="335">
        <f>IF($B215="",-1,IF(OR($Z$1="?*",$B215=$Z$1),$I215,-1))</f>
        <v>-1</v>
      </c>
      <c r="AI215" s="335" t="str">
        <f>IF($AH215&lt;0,"",$AH215-ROW()/1000000)</f>
        <v/>
      </c>
      <c r="AJ215" s="335" t="str">
        <f>IFERROR(RANK($AI215,$AI$4:$AI$217),"")</f>
        <v/>
      </c>
    </row>
    <row r="216" spans="2:36" x14ac:dyDescent="0.3">
      <c r="B216" s="335" t="str">
        <f>IF(OR('REGIÃO 24 - RESUMO'!E11="",'REGIÃO 24 - RESUMO'!E11=0),"",'REGIÃO 24 - RESUMO'!C11)</f>
        <v/>
      </c>
      <c r="C216" s="335" t="str">
        <f>'REGIÃO 24 - RESUMO'!D11</f>
        <v/>
      </c>
      <c r="D216" s="81">
        <f>'REGIÃO 24 - RESUMO'!E11</f>
        <v>0</v>
      </c>
      <c r="E216" s="80">
        <f>'REGIÃO 24 - RESUMO'!F11</f>
        <v>0</v>
      </c>
      <c r="F216" s="82">
        <f>'REGIÃO 24 - RESUMO'!H11</f>
        <v>0</v>
      </c>
      <c r="G216" s="335">
        <f>'REGIÃO 24 - RESUMO'!I11</f>
        <v>0</v>
      </c>
      <c r="H216" s="80">
        <f>'REGIÃO 24 - RESUMO'!J11</f>
        <v>0</v>
      </c>
      <c r="I216" s="335">
        <f>'REGIÃO 24 - RESUMO'!K11</f>
        <v>0</v>
      </c>
      <c r="J216" s="335">
        <f>'REGIÃO 24 - HISTÓRICO'!F11</f>
        <v>0</v>
      </c>
      <c r="K216" s="335">
        <f>'REGIÃO 24 - HISTÓRICO'!G11</f>
        <v>0</v>
      </c>
      <c r="L216" s="335" t="str">
        <f>IF(OR('REGIÃO 24 - RESUMO'!L11="",'REGIÃO 24 - RESUMO'!L11=0),"",'REGIÃO 24 - RESUMO'!L11)</f>
        <v/>
      </c>
      <c r="M216" s="335">
        <f>'REGIÃO 24 - HISTÓRICO'!J11</f>
        <v>0</v>
      </c>
      <c r="N216" s="335">
        <f>'REGIÃO 24 - HISTÓRICO'!L11</f>
        <v>0</v>
      </c>
      <c r="O216" s="335">
        <f>'REGIÃO 24 - HISTÓRICO'!N11</f>
        <v>0</v>
      </c>
      <c r="P216" s="335">
        <f>'REGIÃO 24 - HISTÓRICO'!P11</f>
        <v>0</v>
      </c>
      <c r="Q216" s="335">
        <f>'REGIÃO 24 - HISTÓRICO'!R11</f>
        <v>0</v>
      </c>
      <c r="R216" s="335">
        <f>'REGIÃO 24 - HISTÓRICO'!T11</f>
        <v>0</v>
      </c>
      <c r="S216" s="335">
        <f>'REGIÃO 24 - HISTÓRICO'!V11</f>
        <v>0</v>
      </c>
      <c r="T216" s="335">
        <f>'REGIÃO 24 - HISTÓRICO'!X11</f>
        <v>0</v>
      </c>
      <c r="U216" s="335">
        <f>'REGIÃO 24 - HISTÓRICO'!Z11</f>
        <v>0</v>
      </c>
      <c r="V216" s="335">
        <f>'REGIÃO 24 - HISTÓRICO'!AB11</f>
        <v>0</v>
      </c>
      <c r="W216" s="335">
        <f>'REGIÃO 24 - HISTÓRICO'!AD11</f>
        <v>0</v>
      </c>
      <c r="X216" s="335">
        <f>'REGIÃO 24 - HISTÓRICO'!AF11</f>
        <v>0</v>
      </c>
      <c r="Y216" s="335"/>
      <c r="Z216" s="335"/>
      <c r="AA216" s="335" t="str">
        <f>IF($Z216="","",COUNTIFS($H$4:$H$217,$Z216,$B$4:$B$217,$Z$1))</f>
        <v/>
      </c>
      <c r="AB216" s="335" t="str">
        <f>IF($Z216="","",SUMIFS($I$4:$I$217,$H$4:$H$217,$Z216,$B$4:$B$217,$Z$1))</f>
        <v/>
      </c>
      <c r="AC216" s="335" t="str">
        <f>IF($Z216="","",$AB216-ROW()/1000000)</f>
        <v/>
      </c>
      <c r="AD216" s="335" t="str">
        <f>IFERROR(RANK($AC216,$AC$4:$AC$217),"")</f>
        <v/>
      </c>
      <c r="AE216" s="335"/>
      <c r="AF216" s="335" t="str">
        <f>$B216</f>
        <v/>
      </c>
      <c r="AG216" s="335" t="str">
        <f>$C216&amp;"."&amp;TEXT($D216,"0000")</f>
        <v>.0000</v>
      </c>
      <c r="AH216" s="335">
        <f>IF($B216="",-1,IF(OR($Z$1="?*",$B216=$Z$1),$I216,-1))</f>
        <v>-1</v>
      </c>
      <c r="AI216" s="335" t="str">
        <f>IF($AH216&lt;0,"",$AH216-ROW()/1000000)</f>
        <v/>
      </c>
      <c r="AJ216" s="335" t="str">
        <f>IFERROR(RANK($AI216,$AI$4:$AI$217),"")</f>
        <v/>
      </c>
    </row>
    <row r="217" spans="2:36" x14ac:dyDescent="0.3">
      <c r="B217" s="335" t="str">
        <f>IF(OR('REGIÃO 24 - RESUMO'!E12="",'REGIÃO 24 - RESUMO'!E12=0),"",'REGIÃO 24 - RESUMO'!C12)</f>
        <v/>
      </c>
      <c r="C217" s="335" t="str">
        <f>'REGIÃO 24 - RESUMO'!D12</f>
        <v/>
      </c>
      <c r="D217" s="81">
        <f>'REGIÃO 24 - RESUMO'!E12</f>
        <v>0</v>
      </c>
      <c r="E217" s="80">
        <f>'REGIÃO 24 - RESUMO'!F12</f>
        <v>0</v>
      </c>
      <c r="F217" s="82">
        <f>'REGIÃO 24 - RESUMO'!H12</f>
        <v>0</v>
      </c>
      <c r="G217" s="335" t="str">
        <f>'REGIÃO 24 - RESUMO'!I12</f>
        <v/>
      </c>
      <c r="H217" s="80">
        <f>'REGIÃO 24 - RESUMO'!J12</f>
        <v>0</v>
      </c>
      <c r="I217" s="335">
        <f>'REGIÃO 24 - RESUMO'!K12</f>
        <v>0</v>
      </c>
      <c r="J217" s="335">
        <f>'REGIÃO 24 - HISTÓRICO'!F12</f>
        <v>0</v>
      </c>
      <c r="K217" s="335">
        <f>'REGIÃO 24 - HISTÓRICO'!G12</f>
        <v>0</v>
      </c>
      <c r="L217" s="335" t="str">
        <f>IF(OR('REGIÃO 24 - RESUMO'!L12="",'REGIÃO 24 - RESUMO'!L12=0),"",'REGIÃO 24 - RESUMO'!L12)</f>
        <v/>
      </c>
      <c r="M217" s="335">
        <f>'REGIÃO 24 - HISTÓRICO'!J12</f>
        <v>0</v>
      </c>
      <c r="N217" s="335">
        <f>'REGIÃO 24 - HISTÓRICO'!L12</f>
        <v>0</v>
      </c>
      <c r="O217" s="335">
        <f>'REGIÃO 24 - HISTÓRICO'!N12</f>
        <v>0</v>
      </c>
      <c r="P217" s="335">
        <f>'REGIÃO 24 - HISTÓRICO'!P12</f>
        <v>0</v>
      </c>
      <c r="Q217" s="335">
        <f>'REGIÃO 24 - HISTÓRICO'!R12</f>
        <v>0</v>
      </c>
      <c r="R217" s="335">
        <f>'REGIÃO 24 - HISTÓRICO'!T12</f>
        <v>0</v>
      </c>
      <c r="S217" s="335">
        <f>'REGIÃO 24 - HISTÓRICO'!V12</f>
        <v>0</v>
      </c>
      <c r="T217" s="335">
        <f>'REGIÃO 24 - HISTÓRICO'!X12</f>
        <v>0</v>
      </c>
      <c r="U217" s="335">
        <f>'REGIÃO 24 - HISTÓRICO'!Z12</f>
        <v>0</v>
      </c>
      <c r="V217" s="335">
        <f>'REGIÃO 24 - HISTÓRICO'!AB12</f>
        <v>0</v>
      </c>
      <c r="W217" s="335">
        <f>'REGIÃO 24 - HISTÓRICO'!AD12</f>
        <v>0</v>
      </c>
      <c r="X217" s="335">
        <f>'REGIÃO 24 - HISTÓRICO'!AF12</f>
        <v>0</v>
      </c>
      <c r="Y217" s="335"/>
      <c r="Z217" s="335"/>
      <c r="AA217" s="335" t="str">
        <f>IF($Z217="","",COUNTIFS($H$4:$H$217,$Z217,$B$4:$B$217,$Z$1))</f>
        <v/>
      </c>
      <c r="AB217" s="335" t="str">
        <f>IF($Z217="","",SUMIFS($I$4:$I$217,$H$4:$H$217,$Z217,$B$4:$B$217,$Z$1))</f>
        <v/>
      </c>
      <c r="AC217" s="335" t="str">
        <f>IF($Z217="","",$AB217-ROW()/1000000)</f>
        <v/>
      </c>
      <c r="AD217" s="335" t="str">
        <f>IFERROR(RANK($AC217,$AC$4:$AC$217),"")</f>
        <v/>
      </c>
      <c r="AE217" s="335"/>
      <c r="AF217" s="335" t="str">
        <f>$B217</f>
        <v/>
      </c>
      <c r="AG217" s="335" t="str">
        <f>$C217&amp;"."&amp;TEXT($D217,"0000")</f>
        <v>.0000</v>
      </c>
      <c r="AH217" s="335">
        <f>IF($B217="",-1,IF(OR($Z$1="?*",$B217=$Z$1),$I217,-1))</f>
        <v>-1</v>
      </c>
      <c r="AI217" s="335" t="str">
        <f>IF($AH217&lt;0,"",$AH217-ROW()/1000000)</f>
        <v/>
      </c>
      <c r="AJ217" s="335" t="str">
        <f>IFERROR(RANK($AI217,$AI$4:$AI$217),"")</f>
        <v/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9</vt:i4>
      </vt:variant>
    </vt:vector>
  </HeadingPairs>
  <TitlesOfParts>
    <vt:vector size="28" baseType="lpstr">
      <vt:lpstr>DASHBOARD</vt:lpstr>
      <vt:lpstr>DETALHAMENTO</vt:lpstr>
      <vt:lpstr>REGIÃO 11 - RESUMO</vt:lpstr>
      <vt:lpstr>REGIÃO 11 - HISTÓRICO</vt:lpstr>
      <vt:lpstr>REGIÃO 12 - RESUMO</vt:lpstr>
      <vt:lpstr>REGIÃO 12 - HISTÓRICO</vt:lpstr>
      <vt:lpstr>REGIÃO 13 - RESUMO</vt:lpstr>
      <vt:lpstr>REGIÃO 13 - HISTÓRICO</vt:lpstr>
      <vt:lpstr>REGIÃO 22 - RESUMO</vt:lpstr>
      <vt:lpstr>REGIÃO 22 - HISTÓRICO</vt:lpstr>
      <vt:lpstr>REGIÃO 23 - RESUMO</vt:lpstr>
      <vt:lpstr>REGIÃO 23 - HISTÓRICO</vt:lpstr>
      <vt:lpstr>REGIÃO 24 - RESUMO</vt:lpstr>
      <vt:lpstr>REGIÃO 24 - HISTÓRICO</vt:lpstr>
      <vt:lpstr>REGIÃO 11 - TRECHOS</vt:lpstr>
      <vt:lpstr>REGIÃO 12 - TRECHOS</vt:lpstr>
      <vt:lpstr>REGIÃO 13 - TRECHOS</vt:lpstr>
      <vt:lpstr>Tabelas Auxiliares</vt:lpstr>
      <vt:lpstr>BASE DASHBOARD</vt:lpstr>
      <vt:lpstr>'REGIÃO 12 - HISTÓRICO'!tabOSP</vt:lpstr>
      <vt:lpstr>'REGIÃO 13 - HISTÓRICO'!tabOSP</vt:lpstr>
      <vt:lpstr>'REGIÃO 22 - HISTÓRICO'!tabOSP</vt:lpstr>
      <vt:lpstr>'REGIÃO 23 - HISTÓRICO'!tabOSP</vt:lpstr>
      <vt:lpstr>'REGIÃO 24 - HISTÓRICO'!tabOSP</vt:lpstr>
      <vt:lpstr>tabOSP</vt:lpstr>
      <vt:lpstr>tbContratos</vt:lpstr>
      <vt:lpstr>tbServicos</vt:lpstr>
      <vt:lpstr>tbSituacao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Vaz Freire</dc:creator>
  <cp:keywords/>
  <dc:description/>
  <cp:lastModifiedBy>Guilherme Vaz Freire</cp:lastModifiedBy>
  <cp:revision/>
  <cp:lastPrinted>2026-08-03T20:02:15Z</cp:lastPrinted>
  <dcterms:created xsi:type="dcterms:W3CDTF">2026-03-27T12:35:14Z</dcterms:created>
  <dcterms:modified xsi:type="dcterms:W3CDTF">2026-09-30T23:58:04Z</dcterms:modified>
  <cp:category/>
  <cp:contentStatus/>
</cp:coreProperties>
</file>